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jasonraziano/Downloads/"/>
    </mc:Choice>
  </mc:AlternateContent>
  <xr:revisionPtr revIDLastSave="0" documentId="8_{308B16D5-82F2-E14E-9BF5-E9A83073B75F}" xr6:coauthVersionLast="47" xr6:coauthVersionMax="47" xr10:uidLastSave="{00000000-0000-0000-0000-000000000000}"/>
  <bookViews>
    <workbookView xWindow="0" yWindow="760" windowWidth="29700" windowHeight="17720" tabRatio="500" xr2:uid="{00000000-000D-0000-FFFF-FFFF00000000}"/>
  </bookViews>
  <sheets>
    <sheet name="Data" sheetId="2" r:id="rId1"/>
    <sheet name="hidden_styles_1" sheetId="3" state="veryHidden" r:id="rId2"/>
    <sheet name="Disclaimer"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742" i="2" l="1"/>
  <c r="M742" i="2"/>
  <c r="AN741" i="2"/>
  <c r="Y741" i="2"/>
  <c r="M741" i="2"/>
  <c r="AN740" i="2"/>
  <c r="M740" i="2"/>
  <c r="AN739" i="2"/>
  <c r="M739" i="2"/>
  <c r="AN738" i="2"/>
  <c r="M738" i="2"/>
  <c r="AN737" i="2"/>
  <c r="M737" i="2"/>
  <c r="AN736" i="2"/>
  <c r="M736" i="2"/>
  <c r="AN735" i="2"/>
  <c r="M735" i="2"/>
  <c r="AN734" i="2"/>
  <c r="Y734" i="2"/>
  <c r="M734" i="2"/>
  <c r="AN733" i="2"/>
  <c r="M733" i="2"/>
  <c r="AN732" i="2"/>
  <c r="Y732" i="2"/>
  <c r="M732" i="2"/>
  <c r="AN731" i="2"/>
  <c r="Y731" i="2"/>
  <c r="M731" i="2"/>
  <c r="AN730" i="2"/>
  <c r="Y730" i="2"/>
  <c r="M730" i="2"/>
  <c r="AN729" i="2"/>
  <c r="M729" i="2"/>
  <c r="AN728" i="2"/>
  <c r="M728" i="2"/>
  <c r="AN727" i="2"/>
  <c r="Y727" i="2"/>
  <c r="M727" i="2"/>
  <c r="AN726" i="2"/>
  <c r="M726" i="2"/>
  <c r="AN725" i="2"/>
  <c r="M725" i="2"/>
  <c r="AN724" i="2"/>
  <c r="M724" i="2"/>
  <c r="AN723" i="2"/>
  <c r="Y723" i="2"/>
  <c r="M723" i="2"/>
  <c r="AN722" i="2"/>
  <c r="Y722" i="2"/>
  <c r="M722" i="2"/>
  <c r="AN721" i="2"/>
  <c r="Y721" i="2"/>
  <c r="M721" i="2"/>
  <c r="AN720" i="2"/>
  <c r="Y720" i="2"/>
  <c r="M720" i="2"/>
  <c r="AN719" i="2"/>
  <c r="Y719" i="2"/>
  <c r="M719" i="2"/>
  <c r="AN718" i="2"/>
  <c r="M718" i="2"/>
  <c r="AN717" i="2"/>
  <c r="Y717" i="2"/>
  <c r="M717" i="2"/>
  <c r="AN716" i="2"/>
  <c r="Y716" i="2"/>
  <c r="M716" i="2"/>
  <c r="AN715" i="2"/>
  <c r="Y715" i="2"/>
  <c r="M715" i="2"/>
  <c r="AN714" i="2"/>
  <c r="M714" i="2"/>
  <c r="AN713" i="2"/>
  <c r="Y713" i="2"/>
  <c r="M713" i="2"/>
  <c r="AN712" i="2"/>
  <c r="Y712" i="2"/>
  <c r="M712" i="2"/>
  <c r="AN711" i="2"/>
  <c r="Y711" i="2"/>
  <c r="M711" i="2"/>
  <c r="AN710" i="2"/>
  <c r="Y710" i="2"/>
  <c r="M710" i="2"/>
  <c r="AN709" i="2"/>
  <c r="Y709" i="2"/>
  <c r="M709" i="2"/>
  <c r="AN708" i="2"/>
  <c r="Y708" i="2"/>
  <c r="M708" i="2"/>
  <c r="AN707" i="2"/>
  <c r="M707" i="2"/>
  <c r="AN706" i="2"/>
  <c r="M706" i="2"/>
  <c r="AN705" i="2"/>
  <c r="Y705" i="2"/>
  <c r="M705" i="2"/>
  <c r="AN704" i="2"/>
  <c r="M704" i="2"/>
  <c r="AN703" i="2"/>
  <c r="Y703" i="2"/>
  <c r="M703" i="2"/>
  <c r="AN702" i="2"/>
  <c r="Y702" i="2"/>
  <c r="M702" i="2"/>
  <c r="AN701" i="2"/>
  <c r="M701" i="2"/>
  <c r="AN700" i="2"/>
  <c r="Y700" i="2"/>
  <c r="M700" i="2"/>
  <c r="AN699" i="2"/>
  <c r="M699" i="2"/>
  <c r="AN698" i="2"/>
  <c r="Y698" i="2"/>
  <c r="M698" i="2"/>
  <c r="AN697" i="2"/>
  <c r="Y697" i="2"/>
  <c r="M697" i="2"/>
  <c r="AN696" i="2"/>
  <c r="M696" i="2"/>
  <c r="AN695" i="2"/>
  <c r="M695" i="2"/>
  <c r="AN694" i="2"/>
  <c r="Y694" i="2"/>
  <c r="M694" i="2"/>
  <c r="AN693" i="2"/>
  <c r="Y693" i="2"/>
  <c r="M693" i="2"/>
  <c r="AN692" i="2"/>
  <c r="Y692" i="2"/>
  <c r="M692" i="2"/>
  <c r="AN691" i="2"/>
  <c r="Y691" i="2"/>
  <c r="M691" i="2"/>
  <c r="AN690" i="2"/>
  <c r="Y690" i="2"/>
  <c r="M690" i="2"/>
  <c r="AN689" i="2"/>
  <c r="Y689" i="2"/>
  <c r="M689" i="2"/>
  <c r="AN688" i="2"/>
  <c r="Y688" i="2"/>
  <c r="M688" i="2"/>
  <c r="AN687" i="2"/>
  <c r="Y687" i="2"/>
  <c r="M687" i="2"/>
  <c r="AN686" i="2"/>
  <c r="Y686" i="2"/>
  <c r="M686" i="2"/>
  <c r="AN685" i="2"/>
  <c r="Y685" i="2"/>
  <c r="M685" i="2"/>
  <c r="AN684" i="2"/>
  <c r="Y684" i="2"/>
  <c r="M684" i="2"/>
  <c r="AN683" i="2"/>
  <c r="M683" i="2"/>
  <c r="AN682" i="2"/>
  <c r="Y682" i="2"/>
  <c r="M682" i="2"/>
  <c r="AN681" i="2"/>
  <c r="M681" i="2"/>
  <c r="AN680" i="2"/>
  <c r="Y680" i="2"/>
  <c r="M680" i="2"/>
  <c r="AN679" i="2"/>
  <c r="Y679" i="2"/>
  <c r="M679" i="2"/>
  <c r="AN678" i="2"/>
  <c r="AN677" i="2"/>
  <c r="M677" i="2"/>
  <c r="AN676" i="2"/>
  <c r="M676" i="2"/>
  <c r="AN675" i="2"/>
  <c r="Y675" i="2"/>
  <c r="M675" i="2"/>
  <c r="AN674" i="2"/>
  <c r="M674" i="2"/>
  <c r="AN673" i="2"/>
  <c r="Y673" i="2"/>
  <c r="M673" i="2"/>
  <c r="AN672" i="2"/>
  <c r="M672" i="2"/>
  <c r="AN671" i="2"/>
  <c r="M671" i="2"/>
  <c r="AN670" i="2"/>
  <c r="Y670" i="2"/>
  <c r="M670" i="2"/>
  <c r="AN669" i="2"/>
  <c r="Y669" i="2"/>
  <c r="M669" i="2"/>
  <c r="AN668" i="2"/>
  <c r="M668" i="2"/>
  <c r="AN667" i="2"/>
  <c r="Y667" i="2"/>
  <c r="M667" i="2"/>
  <c r="AN666" i="2"/>
  <c r="M666" i="2"/>
  <c r="AN665" i="2"/>
  <c r="Y665" i="2"/>
  <c r="M665" i="2"/>
  <c r="AN664" i="2"/>
  <c r="Y664" i="2"/>
  <c r="M664" i="2"/>
  <c r="AN663" i="2"/>
  <c r="Y663" i="2"/>
  <c r="M663" i="2"/>
  <c r="AN662" i="2"/>
  <c r="M662" i="2"/>
  <c r="AN661" i="2"/>
  <c r="Y661" i="2"/>
  <c r="M661" i="2"/>
  <c r="AN660" i="2"/>
  <c r="Y660" i="2"/>
  <c r="M660" i="2"/>
  <c r="AN659" i="2"/>
  <c r="Y659" i="2"/>
  <c r="M659" i="2"/>
  <c r="AN658" i="2"/>
  <c r="Y658" i="2"/>
  <c r="M658" i="2"/>
  <c r="AN657" i="2"/>
  <c r="Y657" i="2"/>
  <c r="M657" i="2"/>
  <c r="AN656" i="2"/>
  <c r="M656" i="2"/>
  <c r="AN655" i="2"/>
  <c r="M655" i="2"/>
  <c r="AN654" i="2"/>
  <c r="M654" i="2"/>
  <c r="AN653" i="2"/>
  <c r="M653" i="2"/>
  <c r="AN652" i="2"/>
  <c r="Y652" i="2"/>
  <c r="M652" i="2"/>
  <c r="AN651" i="2"/>
  <c r="M651" i="2"/>
  <c r="AN650" i="2"/>
  <c r="Y650" i="2"/>
  <c r="M650" i="2"/>
  <c r="AN649" i="2"/>
  <c r="M649" i="2"/>
  <c r="AN648" i="2"/>
  <c r="M648" i="2"/>
  <c r="AN647" i="2"/>
  <c r="Y647" i="2"/>
  <c r="M647" i="2"/>
  <c r="AN646" i="2"/>
  <c r="M646" i="2"/>
  <c r="AN645" i="2"/>
  <c r="M645" i="2"/>
  <c r="AN644" i="2"/>
  <c r="Y644" i="2"/>
  <c r="M644" i="2"/>
  <c r="AN643" i="2"/>
  <c r="M643" i="2"/>
  <c r="AN642" i="2"/>
  <c r="M642" i="2"/>
  <c r="AN641" i="2"/>
  <c r="Y641" i="2"/>
  <c r="M641" i="2"/>
  <c r="AN640" i="2"/>
  <c r="M640" i="2"/>
  <c r="AN639" i="2"/>
  <c r="Y639" i="2"/>
  <c r="M639" i="2"/>
  <c r="AN638" i="2"/>
  <c r="Y638" i="2"/>
  <c r="M638" i="2"/>
  <c r="AN637" i="2"/>
  <c r="Y637" i="2"/>
  <c r="M637" i="2"/>
  <c r="AN636" i="2"/>
  <c r="Y636" i="2"/>
  <c r="M636" i="2"/>
  <c r="AN635" i="2"/>
  <c r="M635" i="2"/>
  <c r="AN634" i="2"/>
  <c r="Y634" i="2"/>
  <c r="M634" i="2"/>
  <c r="AN633" i="2"/>
  <c r="Y633" i="2"/>
  <c r="M633" i="2"/>
  <c r="AN632" i="2"/>
  <c r="M632" i="2"/>
  <c r="AN631" i="2"/>
  <c r="Y631" i="2"/>
  <c r="M631" i="2"/>
  <c r="AN630" i="2"/>
  <c r="Y630" i="2"/>
  <c r="M630" i="2"/>
  <c r="AN629" i="2"/>
  <c r="Y629" i="2"/>
  <c r="M629" i="2"/>
  <c r="AN628" i="2"/>
  <c r="Y628" i="2"/>
  <c r="M628" i="2"/>
  <c r="AN627" i="2"/>
  <c r="Y627" i="2"/>
  <c r="M627" i="2"/>
  <c r="AN626" i="2"/>
  <c r="M626" i="2"/>
  <c r="AN625" i="2"/>
  <c r="M625" i="2"/>
  <c r="AN624" i="2"/>
  <c r="Y624" i="2"/>
  <c r="M624" i="2"/>
  <c r="AN623" i="2"/>
  <c r="Y623" i="2"/>
  <c r="M623" i="2"/>
  <c r="AN622" i="2"/>
  <c r="Y622" i="2"/>
  <c r="M622" i="2"/>
  <c r="AN621" i="2"/>
  <c r="Y621" i="2"/>
  <c r="M621" i="2"/>
  <c r="AN620" i="2"/>
  <c r="M620" i="2"/>
  <c r="AN619" i="2"/>
  <c r="Y619" i="2"/>
  <c r="M619" i="2"/>
  <c r="AN618" i="2"/>
  <c r="M618" i="2"/>
  <c r="AN617" i="2"/>
  <c r="M617" i="2"/>
  <c r="AN616" i="2"/>
  <c r="Y616" i="2"/>
  <c r="M616" i="2"/>
  <c r="AN615" i="2"/>
  <c r="Y615" i="2"/>
  <c r="M615" i="2"/>
  <c r="AN614" i="2"/>
  <c r="Y614" i="2"/>
  <c r="M614" i="2"/>
  <c r="AN613" i="2"/>
  <c r="Y613" i="2"/>
  <c r="M613" i="2"/>
  <c r="AN612" i="2"/>
  <c r="M612" i="2"/>
  <c r="AN611" i="2"/>
  <c r="M611" i="2"/>
  <c r="AN610" i="2"/>
  <c r="Y610" i="2"/>
  <c r="M610" i="2"/>
  <c r="AN609" i="2"/>
  <c r="M609" i="2"/>
  <c r="AN608" i="2"/>
  <c r="Y608" i="2"/>
  <c r="M608" i="2"/>
  <c r="AN607" i="2"/>
  <c r="Y607" i="2"/>
  <c r="M607" i="2"/>
  <c r="AN606" i="2"/>
  <c r="Y606" i="2"/>
  <c r="M606" i="2"/>
  <c r="AN605" i="2"/>
  <c r="Y605" i="2"/>
  <c r="M605" i="2"/>
  <c r="AN604" i="2"/>
  <c r="Y604" i="2"/>
  <c r="M604" i="2"/>
  <c r="AN603" i="2"/>
  <c r="Y603" i="2"/>
  <c r="M603" i="2"/>
  <c r="AN602" i="2"/>
  <c r="Y602" i="2"/>
  <c r="M602" i="2"/>
  <c r="AN601" i="2"/>
  <c r="Y601" i="2"/>
  <c r="M601" i="2"/>
  <c r="AN600" i="2"/>
  <c r="Y600" i="2"/>
  <c r="M600" i="2"/>
  <c r="AN599" i="2"/>
  <c r="Y599" i="2"/>
  <c r="M599" i="2"/>
  <c r="AN598" i="2"/>
  <c r="M598" i="2"/>
  <c r="AN597" i="2"/>
  <c r="M597" i="2"/>
  <c r="AN596" i="2"/>
  <c r="M596" i="2"/>
  <c r="AN595" i="2"/>
  <c r="M595" i="2"/>
  <c r="AN594" i="2"/>
  <c r="Y594" i="2"/>
  <c r="M594" i="2"/>
  <c r="AN593" i="2"/>
  <c r="M593" i="2"/>
  <c r="AN592" i="2"/>
  <c r="M592" i="2"/>
  <c r="AN591" i="2"/>
  <c r="Y591" i="2"/>
  <c r="M591" i="2"/>
  <c r="AN590" i="2"/>
  <c r="M590" i="2"/>
  <c r="AN589" i="2"/>
  <c r="M589" i="2"/>
  <c r="AN588" i="2"/>
  <c r="Y588" i="2"/>
  <c r="M588" i="2"/>
  <c r="AN587" i="2"/>
  <c r="M587" i="2"/>
  <c r="AN586" i="2"/>
  <c r="M586" i="2"/>
  <c r="AN585" i="2"/>
  <c r="M585" i="2"/>
  <c r="AN584" i="2"/>
  <c r="Y584" i="2"/>
  <c r="M584" i="2"/>
  <c r="AN583" i="2"/>
  <c r="M583" i="2"/>
  <c r="AN582" i="2"/>
  <c r="M582" i="2"/>
  <c r="AN581" i="2"/>
  <c r="M581" i="2"/>
  <c r="AN580" i="2"/>
  <c r="M580" i="2"/>
  <c r="AN579" i="2"/>
  <c r="M579" i="2"/>
  <c r="AN578" i="2"/>
  <c r="M578" i="2"/>
  <c r="AN577" i="2"/>
  <c r="Y577" i="2"/>
  <c r="M577" i="2"/>
  <c r="AN576" i="2"/>
  <c r="Y576" i="2"/>
  <c r="M576" i="2"/>
  <c r="AN575" i="2"/>
  <c r="M575" i="2"/>
  <c r="AN574" i="2"/>
  <c r="M574" i="2"/>
  <c r="AN573" i="2"/>
  <c r="M573" i="2"/>
  <c r="AN572" i="2"/>
  <c r="Y572" i="2"/>
  <c r="M572" i="2"/>
  <c r="AN571" i="2"/>
  <c r="Y571" i="2"/>
  <c r="M571" i="2"/>
  <c r="AN570" i="2"/>
  <c r="Y570" i="2"/>
  <c r="M570" i="2"/>
  <c r="AN569" i="2"/>
  <c r="Y569" i="2"/>
  <c r="M569" i="2"/>
  <c r="AN568" i="2"/>
  <c r="Y568" i="2"/>
  <c r="M568" i="2"/>
  <c r="AN567" i="2"/>
  <c r="M567" i="2"/>
  <c r="AN566" i="2"/>
  <c r="M566" i="2"/>
  <c r="AN565" i="2"/>
  <c r="Y565" i="2"/>
  <c r="M565" i="2"/>
  <c r="AN564" i="2"/>
  <c r="Y564" i="2"/>
  <c r="M564" i="2"/>
  <c r="AN563" i="2"/>
  <c r="Y563" i="2"/>
  <c r="M563" i="2"/>
  <c r="AN562" i="2"/>
  <c r="Y562" i="2"/>
  <c r="M562" i="2"/>
  <c r="AN561" i="2"/>
  <c r="M561" i="2"/>
  <c r="AN560" i="2"/>
  <c r="M560" i="2"/>
  <c r="AN559" i="2"/>
  <c r="M559" i="2"/>
  <c r="AN558" i="2"/>
  <c r="Y558" i="2"/>
  <c r="M558" i="2"/>
  <c r="AN557" i="2"/>
  <c r="M557" i="2"/>
  <c r="AN556" i="2"/>
  <c r="Y556" i="2"/>
  <c r="M556" i="2"/>
  <c r="AN555" i="2"/>
  <c r="M555" i="2"/>
  <c r="AN554" i="2"/>
  <c r="M554" i="2"/>
  <c r="AN553" i="2"/>
  <c r="Y553" i="2"/>
  <c r="M553" i="2"/>
  <c r="AN552" i="2"/>
  <c r="M552" i="2"/>
  <c r="AN551" i="2"/>
  <c r="Y551" i="2"/>
  <c r="M551" i="2"/>
  <c r="AN550" i="2"/>
  <c r="Y550" i="2"/>
  <c r="M550" i="2"/>
  <c r="AN549" i="2"/>
  <c r="Y549" i="2"/>
  <c r="M549" i="2"/>
  <c r="AN548" i="2"/>
  <c r="Y548" i="2"/>
  <c r="M548" i="2"/>
  <c r="AN547" i="2"/>
  <c r="Y547" i="2"/>
  <c r="M547" i="2"/>
  <c r="AN546" i="2"/>
  <c r="M546" i="2"/>
  <c r="AN545" i="2"/>
  <c r="Y545" i="2"/>
  <c r="M545" i="2"/>
  <c r="AN544" i="2"/>
  <c r="Y544" i="2"/>
  <c r="M544" i="2"/>
  <c r="AN543" i="2"/>
  <c r="Y543" i="2"/>
  <c r="M543" i="2"/>
  <c r="AN542" i="2"/>
  <c r="Y542" i="2"/>
  <c r="M542" i="2"/>
  <c r="AN541" i="2"/>
  <c r="M541" i="2"/>
  <c r="AN540" i="2"/>
  <c r="Y540" i="2"/>
  <c r="M540" i="2"/>
  <c r="AN539" i="2"/>
  <c r="M539" i="2"/>
  <c r="AN538" i="2"/>
  <c r="M538" i="2"/>
  <c r="AN537" i="2"/>
  <c r="Y537" i="2"/>
  <c r="M537" i="2"/>
  <c r="AN536" i="2"/>
  <c r="M536" i="2"/>
  <c r="AN535" i="2"/>
  <c r="Y535" i="2"/>
  <c r="M535" i="2"/>
  <c r="AN534" i="2"/>
  <c r="Y534" i="2"/>
  <c r="M534" i="2"/>
  <c r="AN533" i="2"/>
  <c r="Y533" i="2"/>
  <c r="M533" i="2"/>
  <c r="AN532" i="2"/>
  <c r="M532" i="2"/>
  <c r="AN531" i="2"/>
  <c r="M531" i="2"/>
  <c r="AN530" i="2"/>
  <c r="M530" i="2"/>
  <c r="AN529" i="2"/>
  <c r="M529" i="2"/>
  <c r="AN528" i="2"/>
  <c r="M528" i="2"/>
  <c r="AN527" i="2"/>
  <c r="Y527" i="2"/>
  <c r="M527" i="2"/>
  <c r="AN526" i="2"/>
  <c r="Y526" i="2"/>
  <c r="M526" i="2"/>
  <c r="AN525" i="2"/>
  <c r="M525" i="2"/>
  <c r="AN524" i="2"/>
  <c r="M524" i="2"/>
  <c r="AN523" i="2"/>
  <c r="Y523" i="2"/>
  <c r="M523" i="2"/>
  <c r="AN522" i="2"/>
  <c r="Y522" i="2"/>
  <c r="M522" i="2"/>
  <c r="AN521" i="2"/>
  <c r="Y521" i="2"/>
  <c r="M521" i="2"/>
  <c r="AN520" i="2"/>
  <c r="Y520" i="2"/>
  <c r="M520" i="2"/>
  <c r="AN519" i="2"/>
  <c r="M519" i="2"/>
  <c r="AN518" i="2"/>
  <c r="M518" i="2"/>
  <c r="AN517" i="2"/>
  <c r="Y517" i="2"/>
  <c r="M517" i="2"/>
  <c r="AN516" i="2"/>
  <c r="Y516" i="2"/>
  <c r="M516" i="2"/>
  <c r="AN515" i="2"/>
  <c r="Y515" i="2"/>
  <c r="M515" i="2"/>
  <c r="AN514" i="2"/>
  <c r="M514" i="2"/>
  <c r="AN513" i="2"/>
  <c r="M513" i="2"/>
  <c r="AN512" i="2"/>
  <c r="M512" i="2"/>
  <c r="AN511" i="2"/>
  <c r="M511" i="2"/>
  <c r="AN510" i="2"/>
  <c r="Y510" i="2"/>
  <c r="M510" i="2"/>
  <c r="AN509" i="2"/>
  <c r="M509" i="2"/>
  <c r="AN508" i="2"/>
  <c r="Y508" i="2"/>
  <c r="M508" i="2"/>
  <c r="AN507" i="2"/>
  <c r="Y507" i="2"/>
  <c r="M507" i="2"/>
  <c r="AN506" i="2"/>
  <c r="Y506" i="2"/>
  <c r="M506" i="2"/>
  <c r="AN505" i="2"/>
  <c r="M505" i="2"/>
  <c r="AN504" i="2"/>
  <c r="M504" i="2"/>
  <c r="AN503" i="2"/>
  <c r="Y503" i="2"/>
  <c r="M503" i="2"/>
  <c r="AN502" i="2"/>
  <c r="M502" i="2"/>
  <c r="AN501" i="2"/>
  <c r="Y501" i="2"/>
  <c r="M501" i="2"/>
  <c r="AN500" i="2"/>
  <c r="Y500" i="2"/>
  <c r="M500" i="2"/>
  <c r="AN499" i="2"/>
  <c r="Y499" i="2"/>
  <c r="M499" i="2"/>
  <c r="AN498" i="2"/>
  <c r="Y498" i="2"/>
  <c r="M498" i="2"/>
  <c r="AN497" i="2"/>
  <c r="Y497" i="2"/>
  <c r="M497" i="2"/>
  <c r="AN496" i="2"/>
  <c r="Y496" i="2"/>
  <c r="M496" i="2"/>
  <c r="AN495" i="2"/>
  <c r="Y495" i="2"/>
  <c r="M495" i="2"/>
  <c r="AN494" i="2"/>
  <c r="Y494" i="2"/>
  <c r="M494" i="2"/>
  <c r="AN493" i="2"/>
  <c r="AN492" i="2"/>
  <c r="Y492" i="2"/>
  <c r="M492" i="2"/>
  <c r="AN491" i="2"/>
  <c r="Y491" i="2"/>
  <c r="M491" i="2"/>
  <c r="AN490" i="2"/>
  <c r="Y490" i="2"/>
  <c r="M490" i="2"/>
  <c r="AN489" i="2"/>
  <c r="Y489" i="2"/>
  <c r="M489" i="2"/>
  <c r="AN488" i="2"/>
  <c r="M488" i="2"/>
  <c r="AN487" i="2"/>
  <c r="M487" i="2"/>
  <c r="AN486" i="2"/>
  <c r="Y486" i="2"/>
  <c r="M486" i="2"/>
  <c r="AN485" i="2"/>
  <c r="Y485" i="2"/>
  <c r="M485" i="2"/>
  <c r="AN484" i="2"/>
  <c r="M484" i="2"/>
  <c r="AN483" i="2"/>
  <c r="M483" i="2"/>
  <c r="AN482" i="2"/>
  <c r="Y482" i="2"/>
  <c r="M482" i="2"/>
  <c r="AN481" i="2"/>
  <c r="M481" i="2"/>
  <c r="AN480" i="2"/>
  <c r="M480" i="2"/>
  <c r="AN479" i="2"/>
  <c r="M479" i="2"/>
  <c r="AN478" i="2"/>
  <c r="M478" i="2"/>
  <c r="AN477" i="2"/>
  <c r="M477" i="2"/>
  <c r="AN476" i="2"/>
  <c r="M476" i="2"/>
  <c r="AN475" i="2"/>
  <c r="Y475" i="2"/>
  <c r="M475" i="2"/>
  <c r="AN474" i="2"/>
  <c r="M474" i="2"/>
  <c r="AN473" i="2"/>
  <c r="Y473" i="2"/>
  <c r="M473" i="2"/>
  <c r="AN472" i="2"/>
  <c r="Y472" i="2"/>
  <c r="M472" i="2"/>
  <c r="AN471" i="2"/>
  <c r="Y471" i="2"/>
  <c r="M471" i="2"/>
  <c r="AN470" i="2"/>
  <c r="M470" i="2"/>
  <c r="AN469" i="2"/>
  <c r="Y469" i="2"/>
  <c r="M469" i="2"/>
  <c r="AN468" i="2"/>
  <c r="M468" i="2"/>
  <c r="AN467" i="2"/>
  <c r="Y467" i="2"/>
  <c r="M467" i="2"/>
  <c r="AN466" i="2"/>
  <c r="M466" i="2"/>
  <c r="AN465" i="2"/>
  <c r="Y465" i="2"/>
  <c r="M465" i="2"/>
  <c r="AN464" i="2"/>
  <c r="Y464" i="2"/>
  <c r="M464" i="2"/>
  <c r="AN463" i="2"/>
  <c r="M463" i="2"/>
  <c r="AN462" i="2"/>
  <c r="M462" i="2"/>
  <c r="AN461" i="2"/>
  <c r="M461" i="2"/>
  <c r="AN460" i="2"/>
  <c r="Y460" i="2"/>
  <c r="M460" i="2"/>
  <c r="AN459" i="2"/>
  <c r="Y459" i="2"/>
  <c r="M459" i="2"/>
  <c r="AN458" i="2"/>
  <c r="Y458" i="2"/>
  <c r="M458" i="2"/>
  <c r="AN457" i="2"/>
  <c r="Y457" i="2"/>
  <c r="M457" i="2"/>
  <c r="AN456" i="2"/>
  <c r="M456" i="2"/>
  <c r="AN455" i="2"/>
  <c r="M455" i="2"/>
  <c r="AN454" i="2"/>
  <c r="Y454" i="2"/>
  <c r="M454" i="2"/>
  <c r="AN453" i="2"/>
  <c r="M453" i="2"/>
  <c r="AN452" i="2"/>
  <c r="M452" i="2"/>
  <c r="AN451" i="2"/>
  <c r="Y451" i="2"/>
  <c r="M451" i="2"/>
  <c r="AN450" i="2"/>
  <c r="M450" i="2"/>
  <c r="AN449" i="2"/>
  <c r="M449" i="2"/>
  <c r="AN448" i="2"/>
  <c r="M448" i="2"/>
  <c r="AN447" i="2"/>
  <c r="M447" i="2"/>
  <c r="AN446" i="2"/>
  <c r="M446" i="2"/>
  <c r="AN445" i="2"/>
  <c r="M445" i="2"/>
  <c r="AN444" i="2"/>
  <c r="M444" i="2"/>
  <c r="AN443" i="2"/>
  <c r="Y443" i="2"/>
  <c r="M443" i="2"/>
  <c r="AN442" i="2"/>
  <c r="M442" i="2"/>
  <c r="AN441" i="2"/>
  <c r="Y441" i="2"/>
  <c r="M441" i="2"/>
  <c r="AN440" i="2"/>
  <c r="Y440" i="2"/>
  <c r="M440" i="2"/>
  <c r="AN439" i="2"/>
  <c r="M439" i="2"/>
  <c r="AN438" i="2"/>
  <c r="Y438" i="2"/>
  <c r="M438" i="2"/>
  <c r="AN437" i="2"/>
  <c r="Y437" i="2"/>
  <c r="M437" i="2"/>
  <c r="AN436" i="2"/>
  <c r="Y436" i="2"/>
  <c r="M436" i="2"/>
  <c r="AN435" i="2"/>
  <c r="M435" i="2"/>
  <c r="AN434" i="2"/>
  <c r="M434" i="2"/>
  <c r="AN433" i="2"/>
  <c r="M433" i="2"/>
  <c r="AN432" i="2"/>
  <c r="M432" i="2"/>
  <c r="AN431" i="2"/>
  <c r="M431" i="2"/>
  <c r="AN430" i="2"/>
  <c r="M430" i="2"/>
  <c r="AN429" i="2"/>
  <c r="M429" i="2"/>
  <c r="AN428" i="2"/>
  <c r="M428" i="2"/>
  <c r="AN427" i="2"/>
  <c r="Y427" i="2"/>
  <c r="M427" i="2"/>
  <c r="AN426" i="2"/>
  <c r="Y426" i="2"/>
  <c r="M426" i="2"/>
  <c r="AN425" i="2"/>
  <c r="M425" i="2"/>
  <c r="AN424" i="2"/>
  <c r="M424" i="2"/>
  <c r="AN423" i="2"/>
  <c r="Y423" i="2"/>
  <c r="M423" i="2"/>
  <c r="AN422" i="2"/>
  <c r="Y422" i="2"/>
  <c r="M422" i="2"/>
  <c r="AN421" i="2"/>
  <c r="Y421" i="2"/>
  <c r="M421" i="2"/>
  <c r="AN420" i="2"/>
  <c r="Y420" i="2"/>
  <c r="M420" i="2"/>
  <c r="AN419" i="2"/>
  <c r="Y419" i="2"/>
  <c r="M419" i="2"/>
  <c r="AN418" i="2"/>
  <c r="M418" i="2"/>
  <c r="AN417" i="2"/>
  <c r="M417" i="2"/>
  <c r="AN416" i="2"/>
  <c r="Y416" i="2"/>
  <c r="M416" i="2"/>
  <c r="AN415" i="2"/>
  <c r="Y415" i="2"/>
  <c r="M415" i="2"/>
  <c r="AN414" i="2"/>
  <c r="Y414" i="2"/>
  <c r="M414" i="2"/>
  <c r="AN413" i="2"/>
  <c r="M413" i="2"/>
  <c r="AN412" i="2"/>
  <c r="M412" i="2"/>
  <c r="AN411" i="2"/>
  <c r="M411" i="2"/>
  <c r="AN410" i="2"/>
  <c r="Y410" i="2"/>
  <c r="M410" i="2"/>
  <c r="AN409" i="2"/>
  <c r="M409" i="2"/>
  <c r="AN408" i="2"/>
  <c r="M408" i="2"/>
  <c r="AN407" i="2"/>
  <c r="Y407" i="2"/>
  <c r="M407" i="2"/>
  <c r="AN406" i="2"/>
  <c r="Y406" i="2"/>
  <c r="M406" i="2"/>
  <c r="AN405" i="2"/>
  <c r="M405" i="2"/>
  <c r="AN404" i="2"/>
  <c r="M404" i="2"/>
  <c r="AN403" i="2"/>
  <c r="M403" i="2"/>
  <c r="AN402" i="2"/>
  <c r="M402" i="2"/>
  <c r="AN401" i="2"/>
  <c r="M401" i="2"/>
  <c r="AN400" i="2"/>
  <c r="Y400" i="2"/>
  <c r="M400" i="2"/>
  <c r="AN399" i="2"/>
  <c r="AN398" i="2"/>
  <c r="Y398" i="2"/>
  <c r="M398" i="2"/>
  <c r="AN397" i="2"/>
  <c r="Y397" i="2"/>
  <c r="M397" i="2"/>
  <c r="AN396" i="2"/>
  <c r="Y396" i="2"/>
  <c r="M396" i="2"/>
  <c r="AN395" i="2"/>
  <c r="Y395" i="2"/>
  <c r="M395" i="2"/>
  <c r="AN394" i="2"/>
  <c r="Y394" i="2"/>
  <c r="M394" i="2"/>
  <c r="AN393" i="2"/>
  <c r="M393" i="2"/>
  <c r="AN392" i="2"/>
  <c r="Y392" i="2"/>
  <c r="M392" i="2"/>
  <c r="AN391" i="2"/>
  <c r="M391" i="2"/>
  <c r="AN390" i="2"/>
  <c r="Y390" i="2"/>
  <c r="M390" i="2"/>
  <c r="AN389" i="2"/>
  <c r="Y389" i="2"/>
  <c r="M389" i="2"/>
  <c r="AN388" i="2"/>
  <c r="Y388" i="2"/>
  <c r="M388" i="2"/>
  <c r="AN387" i="2"/>
  <c r="Y387" i="2"/>
  <c r="M387" i="2"/>
  <c r="AN386" i="2"/>
  <c r="M386" i="2"/>
  <c r="AN385" i="2"/>
  <c r="Y385" i="2"/>
  <c r="M385" i="2"/>
  <c r="AN384" i="2"/>
  <c r="Y384" i="2"/>
  <c r="M384" i="2"/>
  <c r="AN383" i="2"/>
  <c r="Y383" i="2"/>
  <c r="M383" i="2"/>
  <c r="AN382" i="2"/>
  <c r="Y382" i="2"/>
  <c r="M382" i="2"/>
  <c r="AN381" i="2"/>
  <c r="Y381" i="2"/>
  <c r="M381" i="2"/>
  <c r="AN380" i="2"/>
  <c r="Y380" i="2"/>
  <c r="M380" i="2"/>
  <c r="AN379" i="2"/>
  <c r="M379" i="2"/>
  <c r="AN378" i="2"/>
  <c r="Y378" i="2"/>
  <c r="M378" i="2"/>
  <c r="AN377" i="2"/>
  <c r="Y377" i="2"/>
  <c r="M377" i="2"/>
  <c r="AN376" i="2"/>
  <c r="Y376" i="2"/>
  <c r="M376" i="2"/>
  <c r="AN375" i="2"/>
  <c r="Y375" i="2"/>
  <c r="M375" i="2"/>
  <c r="AN374" i="2"/>
  <c r="Y374" i="2"/>
  <c r="M374" i="2"/>
  <c r="AN373" i="2"/>
  <c r="Y373" i="2"/>
  <c r="M373" i="2"/>
  <c r="AN372" i="2"/>
  <c r="Y372" i="2"/>
  <c r="M372" i="2"/>
  <c r="AN371" i="2"/>
  <c r="Y371" i="2"/>
  <c r="M371" i="2"/>
  <c r="AN370" i="2"/>
  <c r="M370" i="2"/>
  <c r="AN369" i="2"/>
  <c r="M369" i="2"/>
  <c r="AN368" i="2"/>
  <c r="Y368" i="2"/>
  <c r="M368" i="2"/>
  <c r="AN367" i="2"/>
  <c r="M367" i="2"/>
  <c r="AN366" i="2"/>
  <c r="M366" i="2"/>
  <c r="AN365" i="2"/>
  <c r="M365" i="2"/>
  <c r="AN364" i="2"/>
  <c r="Y364" i="2"/>
  <c r="M364" i="2"/>
  <c r="AN363" i="2"/>
  <c r="M363" i="2"/>
  <c r="AN362" i="2"/>
  <c r="M362" i="2"/>
  <c r="AN361" i="2"/>
  <c r="M361" i="2"/>
  <c r="AN360" i="2"/>
  <c r="M360" i="2"/>
  <c r="AN359" i="2"/>
  <c r="Y359" i="2"/>
  <c r="M359" i="2"/>
  <c r="AN358" i="2"/>
  <c r="M358" i="2"/>
  <c r="AN357" i="2"/>
  <c r="M357" i="2"/>
  <c r="AN356" i="2"/>
  <c r="Y356" i="2"/>
  <c r="M356" i="2"/>
  <c r="AN355" i="2"/>
  <c r="M355" i="2"/>
  <c r="AN354" i="2"/>
  <c r="Y354" i="2"/>
  <c r="M354" i="2"/>
  <c r="AN353" i="2"/>
  <c r="Y353" i="2"/>
  <c r="M353" i="2"/>
  <c r="AN352" i="2"/>
  <c r="Y352" i="2"/>
  <c r="M352" i="2"/>
  <c r="AN351" i="2"/>
  <c r="Y351" i="2"/>
  <c r="M351" i="2"/>
  <c r="AN350" i="2"/>
  <c r="M350" i="2"/>
  <c r="AN349" i="2"/>
  <c r="Y349" i="2"/>
  <c r="M349" i="2"/>
  <c r="AN348" i="2"/>
  <c r="Y348" i="2"/>
  <c r="M348" i="2"/>
  <c r="AN347" i="2"/>
  <c r="Y347" i="2"/>
  <c r="M347" i="2"/>
  <c r="AN346" i="2"/>
  <c r="M346" i="2"/>
  <c r="AN345" i="2"/>
  <c r="M345" i="2"/>
  <c r="AN344" i="2"/>
  <c r="Y344" i="2"/>
  <c r="M344" i="2"/>
  <c r="AN343" i="2"/>
  <c r="Y343" i="2"/>
  <c r="M343" i="2"/>
  <c r="AN342" i="2"/>
  <c r="M342" i="2"/>
  <c r="AN341" i="2"/>
  <c r="Y341" i="2"/>
  <c r="M341" i="2"/>
  <c r="AN340" i="2"/>
  <c r="M340" i="2"/>
  <c r="AN339" i="2"/>
  <c r="Y339" i="2"/>
  <c r="M339" i="2"/>
  <c r="AN338" i="2"/>
  <c r="M338" i="2"/>
  <c r="AN337" i="2"/>
  <c r="Y337" i="2"/>
  <c r="M337" i="2"/>
  <c r="AN336" i="2"/>
  <c r="Y336" i="2"/>
  <c r="M336" i="2"/>
  <c r="AN335" i="2"/>
  <c r="Y335" i="2"/>
  <c r="M335" i="2"/>
  <c r="AN334" i="2"/>
  <c r="Y334" i="2"/>
  <c r="M334" i="2"/>
  <c r="AN333" i="2"/>
  <c r="Y333" i="2"/>
  <c r="M333" i="2"/>
  <c r="AN332" i="2"/>
  <c r="M332" i="2"/>
  <c r="AN331" i="2"/>
  <c r="M331" i="2"/>
  <c r="AN330" i="2"/>
  <c r="Y330" i="2"/>
  <c r="M330" i="2"/>
  <c r="AN329" i="2"/>
  <c r="Y329" i="2"/>
  <c r="M329" i="2"/>
  <c r="AN328" i="2"/>
  <c r="M328" i="2"/>
  <c r="AN327" i="2"/>
  <c r="Y327" i="2"/>
  <c r="M327" i="2"/>
  <c r="AN326" i="2"/>
  <c r="M326" i="2"/>
  <c r="AN325" i="2"/>
  <c r="Y325" i="2"/>
  <c r="M325" i="2"/>
  <c r="AN324" i="2"/>
  <c r="Y324" i="2"/>
  <c r="M324" i="2"/>
  <c r="AN323" i="2"/>
  <c r="Y323" i="2"/>
  <c r="M323" i="2"/>
  <c r="AN322" i="2"/>
  <c r="Y322" i="2"/>
  <c r="M322" i="2"/>
  <c r="AN321" i="2"/>
  <c r="M321" i="2"/>
  <c r="AN320" i="2"/>
  <c r="Y320" i="2"/>
  <c r="M320" i="2"/>
  <c r="AN319" i="2"/>
  <c r="Y319" i="2"/>
  <c r="M319" i="2"/>
  <c r="AN318" i="2"/>
  <c r="Y318" i="2"/>
  <c r="M318" i="2"/>
  <c r="AN317" i="2"/>
  <c r="Y317" i="2"/>
  <c r="M317" i="2"/>
  <c r="AN316" i="2"/>
  <c r="M316" i="2"/>
  <c r="AN315" i="2"/>
  <c r="M315" i="2"/>
  <c r="AN314" i="2"/>
  <c r="Y314" i="2"/>
  <c r="M314" i="2"/>
  <c r="AN313" i="2"/>
  <c r="Y313" i="2"/>
  <c r="M313" i="2"/>
  <c r="AN312" i="2"/>
  <c r="Y312" i="2"/>
  <c r="M312" i="2"/>
  <c r="AN311" i="2"/>
  <c r="Y311" i="2"/>
  <c r="M311" i="2"/>
  <c r="AN310" i="2"/>
  <c r="Y310" i="2"/>
  <c r="M310" i="2"/>
  <c r="AN309" i="2"/>
  <c r="Y309" i="2"/>
  <c r="M309" i="2"/>
  <c r="AN308" i="2"/>
  <c r="Y308" i="2"/>
  <c r="M308" i="2"/>
  <c r="AN307" i="2"/>
  <c r="M307" i="2"/>
  <c r="AN306" i="2"/>
  <c r="Y306" i="2"/>
  <c r="M306" i="2"/>
  <c r="AN305" i="2"/>
  <c r="M305" i="2"/>
  <c r="AN304" i="2"/>
  <c r="M304" i="2"/>
  <c r="AN303" i="2"/>
  <c r="M303" i="2"/>
  <c r="AN302" i="2"/>
  <c r="Y302" i="2"/>
  <c r="M302" i="2"/>
  <c r="AN301" i="2"/>
  <c r="Y301" i="2"/>
  <c r="M301" i="2"/>
  <c r="AN300" i="2"/>
  <c r="M300" i="2"/>
  <c r="AN299" i="2"/>
  <c r="Y299" i="2"/>
  <c r="M299" i="2"/>
  <c r="AN298" i="2"/>
  <c r="Y298" i="2"/>
  <c r="M298" i="2"/>
  <c r="AN297" i="2"/>
  <c r="M297" i="2"/>
  <c r="AN296" i="2"/>
  <c r="Y296" i="2"/>
  <c r="M296" i="2"/>
  <c r="AN295" i="2"/>
  <c r="Y295" i="2"/>
  <c r="M295" i="2"/>
  <c r="AN294" i="2"/>
  <c r="M294" i="2"/>
  <c r="AN293" i="2"/>
  <c r="M293" i="2"/>
  <c r="AN292" i="2"/>
  <c r="M292" i="2"/>
  <c r="AN291" i="2"/>
  <c r="Y291" i="2"/>
  <c r="M291" i="2"/>
  <c r="AN290" i="2"/>
  <c r="Y290" i="2"/>
  <c r="M290" i="2"/>
  <c r="AN289" i="2"/>
  <c r="Y289" i="2"/>
  <c r="M289" i="2"/>
  <c r="AN288" i="2"/>
  <c r="M288" i="2"/>
  <c r="AN287" i="2"/>
  <c r="M287" i="2"/>
  <c r="AN286" i="2"/>
  <c r="Y286" i="2"/>
  <c r="M286" i="2"/>
  <c r="AN285" i="2"/>
  <c r="Y285" i="2"/>
  <c r="M285" i="2"/>
  <c r="AN284" i="2"/>
  <c r="M284" i="2"/>
  <c r="AN283" i="2"/>
  <c r="Y283" i="2"/>
  <c r="M283" i="2"/>
  <c r="AN282" i="2"/>
  <c r="Y282" i="2"/>
  <c r="M282" i="2"/>
  <c r="AN281" i="2"/>
  <c r="Y281" i="2"/>
  <c r="M281" i="2"/>
  <c r="AN280" i="2"/>
  <c r="M280" i="2"/>
  <c r="AN279" i="2"/>
  <c r="Y279" i="2"/>
  <c r="M279" i="2"/>
  <c r="AN278" i="2"/>
  <c r="M278" i="2"/>
  <c r="AN277" i="2"/>
  <c r="M277" i="2"/>
  <c r="AN276" i="2"/>
  <c r="M276" i="2"/>
  <c r="AN275" i="2"/>
  <c r="M275" i="2"/>
  <c r="AN274" i="2"/>
  <c r="Y274" i="2"/>
  <c r="M274" i="2"/>
  <c r="AN273" i="2"/>
  <c r="Y273" i="2"/>
  <c r="M273" i="2"/>
  <c r="AN272" i="2"/>
  <c r="M272" i="2"/>
  <c r="AN271" i="2"/>
  <c r="M271" i="2"/>
  <c r="AN270" i="2"/>
  <c r="M270" i="2"/>
  <c r="AN269" i="2"/>
  <c r="Y269" i="2"/>
  <c r="M269" i="2"/>
  <c r="AN268" i="2"/>
  <c r="Y268" i="2"/>
  <c r="M268" i="2"/>
  <c r="AN267" i="2"/>
  <c r="M267" i="2"/>
  <c r="AN266" i="2"/>
  <c r="Y266" i="2"/>
  <c r="M266" i="2"/>
  <c r="AN265" i="2"/>
  <c r="M265" i="2"/>
  <c r="AN264" i="2"/>
  <c r="Y264" i="2"/>
  <c r="M264" i="2"/>
  <c r="AN263" i="2"/>
  <c r="M263" i="2"/>
  <c r="AN262" i="2"/>
  <c r="M262" i="2"/>
  <c r="AN261" i="2"/>
  <c r="Y261" i="2"/>
  <c r="M261" i="2"/>
  <c r="AN260" i="2"/>
  <c r="M260" i="2"/>
  <c r="AN259" i="2"/>
  <c r="Y259" i="2"/>
  <c r="M259" i="2"/>
  <c r="AN258" i="2"/>
  <c r="Y258" i="2"/>
  <c r="M258" i="2"/>
  <c r="AN257" i="2"/>
  <c r="Y257" i="2"/>
  <c r="M257" i="2"/>
  <c r="AN256" i="2"/>
  <c r="M256" i="2"/>
  <c r="AN255" i="2"/>
  <c r="Y255" i="2"/>
  <c r="M255" i="2"/>
  <c r="AN254" i="2"/>
  <c r="Y254" i="2"/>
  <c r="M254" i="2"/>
  <c r="AN253" i="2"/>
  <c r="M253" i="2"/>
  <c r="AN252" i="2"/>
  <c r="M252" i="2"/>
  <c r="AN251" i="2"/>
  <c r="Y251" i="2"/>
  <c r="M251" i="2"/>
  <c r="AN250" i="2"/>
  <c r="Y250" i="2"/>
  <c r="M250" i="2"/>
  <c r="AN249" i="2"/>
  <c r="M249" i="2"/>
  <c r="AN248" i="2"/>
  <c r="Y248" i="2"/>
  <c r="M248" i="2"/>
  <c r="AN247" i="2"/>
  <c r="Y247" i="2"/>
  <c r="M247" i="2"/>
  <c r="AN246" i="2"/>
  <c r="Y246" i="2"/>
  <c r="M246" i="2"/>
  <c r="AN245" i="2"/>
  <c r="AN244" i="2"/>
  <c r="Y244" i="2"/>
  <c r="M244" i="2"/>
  <c r="AN243" i="2"/>
  <c r="M243" i="2"/>
  <c r="AN242" i="2"/>
  <c r="M242" i="2"/>
  <c r="AN241" i="2"/>
  <c r="M241" i="2"/>
  <c r="AN240" i="2"/>
  <c r="Y240" i="2"/>
  <c r="M240" i="2"/>
  <c r="AN239" i="2"/>
  <c r="M239" i="2"/>
  <c r="AN238" i="2"/>
  <c r="M238" i="2"/>
  <c r="AN237" i="2"/>
  <c r="Y237" i="2"/>
  <c r="M237" i="2"/>
  <c r="AN236" i="2"/>
  <c r="M236" i="2"/>
  <c r="AN235" i="2"/>
  <c r="Y235" i="2"/>
  <c r="M235" i="2"/>
  <c r="AN234" i="2"/>
  <c r="M234" i="2"/>
  <c r="AN233" i="2"/>
  <c r="M233" i="2"/>
  <c r="AN232" i="2"/>
  <c r="M232" i="2"/>
  <c r="AN231" i="2"/>
  <c r="M231" i="2"/>
  <c r="AN230" i="2"/>
  <c r="Y230" i="2"/>
  <c r="M230" i="2"/>
  <c r="AN229" i="2"/>
  <c r="Y229" i="2"/>
  <c r="M229" i="2"/>
  <c r="AN228" i="2"/>
  <c r="M228" i="2"/>
  <c r="AN227" i="2"/>
  <c r="Y227" i="2"/>
  <c r="M227" i="2"/>
  <c r="AN226" i="2"/>
  <c r="M226" i="2"/>
  <c r="AN225" i="2"/>
  <c r="M225" i="2"/>
  <c r="AN224" i="2"/>
  <c r="M224" i="2"/>
  <c r="AN223" i="2"/>
  <c r="M223" i="2"/>
  <c r="AN222" i="2"/>
  <c r="M222" i="2"/>
  <c r="AN221" i="2"/>
  <c r="M221" i="2"/>
  <c r="AN220" i="2"/>
  <c r="Y220" i="2"/>
  <c r="M220" i="2"/>
  <c r="AN219" i="2"/>
  <c r="Y219" i="2"/>
  <c r="M219" i="2"/>
  <c r="AN218" i="2"/>
  <c r="Y218" i="2"/>
  <c r="M218" i="2"/>
  <c r="AN217" i="2"/>
  <c r="M217" i="2"/>
  <c r="AN216" i="2"/>
  <c r="M216" i="2"/>
  <c r="AN215" i="2"/>
  <c r="M215" i="2"/>
  <c r="AN214" i="2"/>
  <c r="Y214" i="2"/>
  <c r="M214" i="2"/>
  <c r="AN213" i="2"/>
  <c r="Y213" i="2"/>
  <c r="M213" i="2"/>
  <c r="AN212" i="2"/>
  <c r="M212" i="2"/>
  <c r="AN211" i="2"/>
  <c r="M211" i="2"/>
  <c r="AN210" i="2"/>
  <c r="M210" i="2"/>
  <c r="AN209" i="2"/>
  <c r="M209" i="2"/>
  <c r="AN208" i="2"/>
  <c r="Y208" i="2"/>
  <c r="M208" i="2"/>
  <c r="AN207" i="2"/>
  <c r="M207" i="2"/>
  <c r="AN206" i="2"/>
  <c r="M206" i="2"/>
  <c r="AN205" i="2"/>
  <c r="Y205" i="2"/>
  <c r="M205" i="2"/>
  <c r="AN204" i="2"/>
  <c r="M204" i="2"/>
  <c r="AN203" i="2"/>
  <c r="M203" i="2"/>
  <c r="AN202" i="2"/>
  <c r="M202" i="2"/>
  <c r="AN201" i="2"/>
  <c r="Y201" i="2"/>
  <c r="M201" i="2"/>
  <c r="AN200" i="2"/>
  <c r="M200" i="2"/>
  <c r="AN199" i="2"/>
  <c r="Y199" i="2"/>
  <c r="M199" i="2"/>
  <c r="AN198" i="2"/>
  <c r="Y198" i="2"/>
  <c r="M198" i="2"/>
  <c r="AN197" i="2"/>
  <c r="M197" i="2"/>
  <c r="AN196" i="2"/>
  <c r="M196" i="2"/>
  <c r="AN195" i="2"/>
  <c r="Y195" i="2"/>
  <c r="M195" i="2"/>
  <c r="AN194" i="2"/>
  <c r="Y194" i="2"/>
  <c r="M194" i="2"/>
  <c r="AN193" i="2"/>
  <c r="M193" i="2"/>
  <c r="AN192" i="2"/>
  <c r="M192" i="2"/>
  <c r="AN191" i="2"/>
  <c r="Y191" i="2"/>
  <c r="M191" i="2"/>
  <c r="AN190" i="2"/>
  <c r="Y190" i="2"/>
  <c r="M190" i="2"/>
  <c r="AN189" i="2"/>
  <c r="Y189" i="2"/>
  <c r="M189" i="2"/>
  <c r="AN188" i="2"/>
  <c r="M188" i="2"/>
  <c r="AN187" i="2"/>
  <c r="M187" i="2"/>
  <c r="AN186" i="2"/>
  <c r="M186" i="2"/>
  <c r="AN185" i="2"/>
  <c r="M185" i="2"/>
  <c r="AN184" i="2"/>
  <c r="Y184" i="2"/>
  <c r="M184" i="2"/>
  <c r="AN183" i="2"/>
  <c r="M183" i="2"/>
  <c r="AN182" i="2"/>
  <c r="Y182" i="2"/>
  <c r="M182" i="2"/>
  <c r="AN181" i="2"/>
  <c r="M181" i="2"/>
  <c r="AN180" i="2"/>
  <c r="M180" i="2"/>
  <c r="AN179" i="2"/>
  <c r="M179" i="2"/>
  <c r="AN178" i="2"/>
  <c r="Y178" i="2"/>
  <c r="M178" i="2"/>
  <c r="AN177" i="2"/>
  <c r="Y177" i="2"/>
  <c r="M177" i="2"/>
  <c r="AN176" i="2"/>
  <c r="M176" i="2"/>
  <c r="AN175" i="2"/>
  <c r="M175" i="2"/>
  <c r="AN174" i="2"/>
  <c r="Y174" i="2"/>
  <c r="M174" i="2"/>
  <c r="AN173" i="2"/>
  <c r="Y173" i="2"/>
  <c r="M173" i="2"/>
  <c r="AN172" i="2"/>
  <c r="Y172" i="2"/>
  <c r="M172" i="2"/>
  <c r="AN171" i="2"/>
  <c r="Y171" i="2"/>
  <c r="M171" i="2"/>
  <c r="AN170" i="2"/>
  <c r="Y170" i="2"/>
  <c r="M170" i="2"/>
  <c r="AN169" i="2"/>
  <c r="Y169" i="2"/>
  <c r="M169" i="2"/>
  <c r="AN168" i="2"/>
  <c r="M168" i="2"/>
  <c r="AN167" i="2"/>
  <c r="M167" i="2"/>
  <c r="AN166" i="2"/>
  <c r="M166" i="2"/>
  <c r="AN165" i="2"/>
  <c r="Y165" i="2"/>
  <c r="M165" i="2"/>
  <c r="AN164" i="2"/>
  <c r="M164" i="2"/>
  <c r="AN163" i="2"/>
  <c r="M163" i="2"/>
  <c r="AN162" i="2"/>
  <c r="Y162" i="2"/>
  <c r="M162" i="2"/>
  <c r="AN161" i="2"/>
  <c r="M161" i="2"/>
  <c r="AN160" i="2"/>
  <c r="M160" i="2"/>
  <c r="AN159" i="2"/>
  <c r="M159" i="2"/>
  <c r="AN158" i="2"/>
  <c r="Y158" i="2"/>
  <c r="M158" i="2"/>
  <c r="AN157" i="2"/>
  <c r="Y157" i="2"/>
  <c r="AN156" i="2"/>
  <c r="Y156" i="2"/>
  <c r="M156" i="2"/>
  <c r="AN155" i="2"/>
  <c r="M155" i="2"/>
  <c r="AN154" i="2"/>
  <c r="M154" i="2"/>
  <c r="AN153" i="2"/>
  <c r="M153" i="2"/>
  <c r="AN152" i="2"/>
  <c r="Y152" i="2"/>
  <c r="M152" i="2"/>
  <c r="AN151" i="2"/>
  <c r="M151" i="2"/>
  <c r="AN150" i="2"/>
  <c r="M150" i="2"/>
  <c r="AN149" i="2"/>
  <c r="M149" i="2"/>
  <c r="AN148" i="2"/>
  <c r="M148" i="2"/>
  <c r="AN147" i="2"/>
  <c r="M147" i="2"/>
  <c r="AN146" i="2"/>
  <c r="Y146" i="2"/>
  <c r="M146" i="2"/>
  <c r="AN145" i="2"/>
  <c r="Y145" i="2"/>
  <c r="M145" i="2"/>
  <c r="AN144" i="2"/>
  <c r="Y144" i="2"/>
  <c r="M144" i="2"/>
  <c r="AN143" i="2"/>
  <c r="Y143" i="2"/>
  <c r="M143" i="2"/>
  <c r="AN142" i="2"/>
  <c r="Y142" i="2"/>
  <c r="M142" i="2"/>
  <c r="AN141" i="2"/>
  <c r="M141" i="2"/>
  <c r="AN140" i="2"/>
  <c r="Y140" i="2"/>
  <c r="M140" i="2"/>
  <c r="AN139" i="2"/>
  <c r="M139" i="2"/>
  <c r="AN138" i="2"/>
  <c r="Y138" i="2"/>
  <c r="M138" i="2"/>
  <c r="AN137" i="2"/>
  <c r="M137" i="2"/>
  <c r="AN136" i="2"/>
  <c r="M136" i="2"/>
  <c r="AN135" i="2"/>
  <c r="Y135" i="2"/>
  <c r="M135" i="2"/>
  <c r="AN134" i="2"/>
  <c r="Y134" i="2"/>
  <c r="M134" i="2"/>
  <c r="AN133" i="2"/>
  <c r="M133" i="2"/>
  <c r="AN132" i="2"/>
  <c r="Y132" i="2"/>
  <c r="M132" i="2"/>
  <c r="AN131" i="2"/>
  <c r="M131" i="2"/>
  <c r="AN130" i="2"/>
  <c r="M130" i="2"/>
  <c r="AN129" i="2"/>
  <c r="Y129" i="2"/>
  <c r="M129" i="2"/>
  <c r="AN128" i="2"/>
  <c r="M128" i="2"/>
  <c r="AN127" i="2"/>
  <c r="Y127" i="2"/>
  <c r="M127" i="2"/>
  <c r="AN126" i="2"/>
  <c r="M126" i="2"/>
  <c r="AN125" i="2"/>
  <c r="Y125" i="2"/>
  <c r="M125" i="2"/>
  <c r="AN124" i="2"/>
  <c r="M124" i="2"/>
  <c r="AN123" i="2"/>
  <c r="M123" i="2"/>
  <c r="AN122" i="2"/>
  <c r="Y122" i="2"/>
  <c r="M122" i="2"/>
  <c r="AN121" i="2"/>
  <c r="Y121" i="2"/>
  <c r="M121" i="2"/>
  <c r="AN120" i="2"/>
  <c r="Y120" i="2"/>
  <c r="M120" i="2"/>
  <c r="AN119" i="2"/>
  <c r="M119" i="2"/>
  <c r="AN118" i="2"/>
  <c r="Y118" i="2"/>
  <c r="M118" i="2"/>
  <c r="AN117" i="2"/>
  <c r="M117" i="2"/>
  <c r="AN116" i="2"/>
  <c r="Y116" i="2"/>
  <c r="M116" i="2"/>
  <c r="AN115" i="2"/>
  <c r="Y115" i="2"/>
  <c r="M115" i="2"/>
  <c r="AN114" i="2"/>
  <c r="Y114" i="2"/>
  <c r="M114" i="2"/>
  <c r="AN113" i="2"/>
  <c r="Y113" i="2"/>
  <c r="M113" i="2"/>
  <c r="AN112" i="2"/>
  <c r="M112" i="2"/>
  <c r="AN111" i="2"/>
  <c r="Y111" i="2"/>
  <c r="M111" i="2"/>
  <c r="AN110" i="2"/>
  <c r="M110" i="2"/>
  <c r="AN109" i="2"/>
  <c r="M109" i="2"/>
  <c r="AN108" i="2"/>
  <c r="M108" i="2"/>
  <c r="AN107" i="2"/>
  <c r="M107" i="2"/>
  <c r="AN106" i="2"/>
  <c r="Y106" i="2"/>
  <c r="M106" i="2"/>
  <c r="AN105" i="2"/>
  <c r="M105" i="2"/>
  <c r="AN104" i="2"/>
  <c r="M104" i="2"/>
  <c r="AN103" i="2"/>
  <c r="M103" i="2"/>
  <c r="AN102" i="2"/>
  <c r="M102" i="2"/>
  <c r="AN101" i="2"/>
  <c r="M101" i="2"/>
  <c r="AN100" i="2"/>
  <c r="Y100" i="2"/>
  <c r="M100" i="2"/>
  <c r="AN99" i="2"/>
  <c r="M99" i="2"/>
  <c r="AN98" i="2"/>
  <c r="M98" i="2"/>
  <c r="AN97" i="2"/>
  <c r="Y97" i="2"/>
  <c r="M97" i="2"/>
  <c r="AN96" i="2"/>
  <c r="M96" i="2"/>
  <c r="AN95" i="2"/>
  <c r="Y95" i="2"/>
  <c r="M95" i="2"/>
  <c r="AN94" i="2"/>
  <c r="Y94" i="2"/>
  <c r="M94" i="2"/>
  <c r="AN93" i="2"/>
  <c r="Y93" i="2"/>
  <c r="M93" i="2"/>
  <c r="AN92" i="2"/>
  <c r="Y92" i="2"/>
  <c r="M92" i="2"/>
  <c r="AN91" i="2"/>
  <c r="M91" i="2"/>
  <c r="AN90" i="2"/>
  <c r="Y90" i="2"/>
  <c r="M90" i="2"/>
  <c r="AN89" i="2"/>
  <c r="Y89" i="2"/>
  <c r="M89" i="2"/>
  <c r="AN88" i="2"/>
  <c r="Y88" i="2"/>
  <c r="M88" i="2"/>
  <c r="AN87" i="2"/>
  <c r="Y87" i="2"/>
  <c r="M87" i="2"/>
  <c r="AN86" i="2"/>
  <c r="Y86" i="2"/>
  <c r="M86" i="2"/>
  <c r="AN85" i="2"/>
  <c r="Y85" i="2"/>
  <c r="M85" i="2"/>
  <c r="AN84" i="2"/>
  <c r="M84" i="2"/>
  <c r="AN83" i="2"/>
  <c r="M83" i="2"/>
  <c r="AN82" i="2"/>
  <c r="Y82" i="2"/>
  <c r="M82" i="2"/>
  <c r="AN81" i="2"/>
  <c r="Y81" i="2"/>
  <c r="M81" i="2"/>
  <c r="AN80" i="2"/>
  <c r="Y80" i="2"/>
  <c r="M80" i="2"/>
  <c r="AN79" i="2"/>
  <c r="M79" i="2"/>
  <c r="AN78" i="2"/>
  <c r="Y78" i="2"/>
  <c r="M78" i="2"/>
  <c r="AN77" i="2"/>
  <c r="Y77" i="2"/>
  <c r="M77" i="2"/>
  <c r="AN76" i="2"/>
  <c r="Y76" i="2"/>
  <c r="M76" i="2"/>
  <c r="AN75" i="2"/>
  <c r="Y75" i="2"/>
  <c r="M75" i="2"/>
  <c r="AN74" i="2"/>
  <c r="Y74" i="2"/>
  <c r="M74" i="2"/>
  <c r="AN73" i="2"/>
  <c r="M73" i="2"/>
  <c r="AN72" i="2"/>
  <c r="Y72" i="2"/>
  <c r="M72" i="2"/>
  <c r="AN71" i="2"/>
  <c r="M71" i="2"/>
  <c r="AN70" i="2"/>
  <c r="M70" i="2"/>
  <c r="AN69" i="2"/>
  <c r="Y69" i="2"/>
  <c r="M69" i="2"/>
  <c r="AN68" i="2"/>
  <c r="Y68" i="2"/>
  <c r="M68" i="2"/>
  <c r="AN67" i="2"/>
  <c r="Y67" i="2"/>
  <c r="M67" i="2"/>
  <c r="AN66" i="2"/>
  <c r="Y66" i="2"/>
  <c r="M66" i="2"/>
  <c r="AN65" i="2"/>
  <c r="Y65" i="2"/>
  <c r="M65" i="2"/>
  <c r="AN64" i="2"/>
  <c r="Y64" i="2"/>
  <c r="M64" i="2"/>
  <c r="AN63" i="2"/>
  <c r="M63" i="2"/>
  <c r="AN62" i="2"/>
  <c r="Y62" i="2"/>
  <c r="M62" i="2"/>
  <c r="AN61" i="2"/>
  <c r="Y61" i="2"/>
  <c r="M61" i="2"/>
  <c r="AN60" i="2"/>
  <c r="M60" i="2"/>
  <c r="AN59" i="2"/>
  <c r="Y59" i="2"/>
  <c r="M59" i="2"/>
  <c r="AN58" i="2"/>
  <c r="Y58" i="2"/>
  <c r="M58" i="2"/>
  <c r="AN57" i="2"/>
  <c r="Y57" i="2"/>
  <c r="M57" i="2"/>
  <c r="AN56" i="2"/>
  <c r="Y56" i="2"/>
  <c r="M56" i="2"/>
  <c r="AN55" i="2"/>
  <c r="M55" i="2"/>
  <c r="AN54" i="2"/>
  <c r="Y54" i="2"/>
  <c r="M54" i="2"/>
  <c r="AN53" i="2"/>
  <c r="Y53" i="2"/>
  <c r="M53" i="2"/>
  <c r="AN52" i="2"/>
  <c r="Y52" i="2"/>
  <c r="M52" i="2"/>
  <c r="AN51" i="2"/>
  <c r="M51" i="2"/>
  <c r="AN50" i="2"/>
  <c r="M50" i="2"/>
  <c r="AN49" i="2"/>
  <c r="M49" i="2"/>
  <c r="AN48" i="2"/>
  <c r="Y48" i="2"/>
  <c r="M48" i="2"/>
  <c r="AN47" i="2"/>
  <c r="Y47" i="2"/>
  <c r="M47" i="2"/>
  <c r="AN46" i="2"/>
  <c r="Y46" i="2"/>
  <c r="M46" i="2"/>
  <c r="AN45" i="2"/>
  <c r="M45" i="2"/>
  <c r="AN44" i="2"/>
  <c r="M44" i="2"/>
  <c r="AN43" i="2"/>
  <c r="M43" i="2"/>
  <c r="AN42" i="2"/>
  <c r="Y42" i="2"/>
  <c r="M42" i="2"/>
  <c r="AN41" i="2"/>
  <c r="M41" i="2"/>
  <c r="AN40" i="2"/>
  <c r="M40" i="2"/>
  <c r="AN39" i="2"/>
  <c r="Y39" i="2"/>
  <c r="M39" i="2"/>
  <c r="AN38" i="2"/>
  <c r="M38" i="2"/>
  <c r="AN37" i="2"/>
  <c r="M37" i="2"/>
  <c r="AN36" i="2"/>
  <c r="M36" i="2"/>
  <c r="AN35" i="2"/>
  <c r="Y35" i="2"/>
  <c r="M35" i="2"/>
  <c r="AN34" i="2"/>
  <c r="M34" i="2"/>
  <c r="AN33" i="2"/>
  <c r="Y33" i="2"/>
  <c r="M33" i="2"/>
  <c r="AN32" i="2"/>
  <c r="Y32" i="2"/>
  <c r="M32" i="2"/>
  <c r="AN31" i="2"/>
  <c r="Y31" i="2"/>
  <c r="M31" i="2"/>
  <c r="AN30" i="2"/>
  <c r="M30" i="2"/>
  <c r="AN29" i="2"/>
  <c r="Y29" i="2"/>
  <c r="M29" i="2"/>
  <c r="AN28" i="2"/>
  <c r="M28" i="2"/>
  <c r="AN27" i="2"/>
  <c r="M27" i="2"/>
  <c r="AN26" i="2"/>
  <c r="M26" i="2"/>
  <c r="AN25" i="2"/>
  <c r="Y25" i="2"/>
  <c r="M25" i="2"/>
  <c r="AN24" i="2"/>
  <c r="Y24" i="2"/>
  <c r="M24" i="2"/>
  <c r="AN23" i="2"/>
  <c r="Y23" i="2"/>
  <c r="M23" i="2"/>
  <c r="AN22" i="2"/>
  <c r="Y22" i="2"/>
  <c r="M22" i="2"/>
  <c r="AN21" i="2"/>
  <c r="Y21" i="2"/>
  <c r="M21" i="2"/>
  <c r="AN20" i="2"/>
  <c r="Y20" i="2"/>
  <c r="M20" i="2"/>
  <c r="AN19" i="2"/>
  <c r="M19" i="2"/>
  <c r="AN18" i="2"/>
  <c r="Y18" i="2"/>
  <c r="M18" i="2"/>
  <c r="AN17" i="2"/>
  <c r="Y17" i="2"/>
  <c r="M17" i="2"/>
  <c r="AN16" i="2"/>
  <c r="Y16" i="2"/>
  <c r="M16" i="2"/>
  <c r="AN15" i="2"/>
  <c r="Y15" i="2"/>
  <c r="M15" i="2"/>
  <c r="AN14" i="2"/>
  <c r="Y14" i="2"/>
  <c r="M14" i="2"/>
  <c r="AN13" i="2"/>
  <c r="M13" i="2"/>
  <c r="AN12" i="2"/>
  <c r="Y12" i="2"/>
  <c r="M12" i="2"/>
  <c r="AN11" i="2"/>
  <c r="Y11" i="2"/>
  <c r="M11" i="2"/>
  <c r="AN10" i="2"/>
  <c r="Y10" i="2"/>
  <c r="M10" i="2"/>
  <c r="AN9" i="2"/>
  <c r="Y9" i="2"/>
  <c r="M9" i="2"/>
  <c r="AN8" i="2"/>
  <c r="Y8" i="2"/>
  <c r="M8" i="2"/>
  <c r="AN7" i="2"/>
  <c r="Y7" i="2"/>
  <c r="M7" i="2"/>
  <c r="AN6" i="2"/>
  <c r="M6" i="2"/>
  <c r="AN5" i="2"/>
  <c r="Y5" i="2"/>
  <c r="M5" i="2"/>
  <c r="AN4" i="2"/>
  <c r="Y4" i="2"/>
  <c r="M4" i="2"/>
  <c r="AN3" i="2"/>
  <c r="Y3" i="2"/>
  <c r="M3" i="2"/>
  <c r="AN2" i="2"/>
  <c r="Y2" i="2"/>
  <c r="M2" i="2"/>
</calcChain>
</file>

<file path=xl/sharedStrings.xml><?xml version="1.0" encoding="utf-8"?>
<sst xmlns="http://schemas.openxmlformats.org/spreadsheetml/2006/main" count="25284" uniqueCount="6086">
  <si>
    <t>Person ID</t>
  </si>
  <si>
    <t>People</t>
  </si>
  <si>
    <t>Latest Note</t>
  </si>
  <si>
    <t>Latest Note - Author</t>
  </si>
  <si>
    <t>PBId</t>
  </si>
  <si>
    <t>Last Name</t>
  </si>
  <si>
    <t>First Name</t>
  </si>
  <si>
    <t>Middle Name</t>
  </si>
  <si>
    <t>Prefix</t>
  </si>
  <si>
    <t>Gender</t>
  </si>
  <si>
    <t>Primary Company</t>
  </si>
  <si>
    <t>Primary Company Type</t>
  </si>
  <si>
    <t>Primary Company Website</t>
  </si>
  <si>
    <t>Primary Position</t>
  </si>
  <si>
    <t>Asset Class</t>
  </si>
  <si>
    <t>Biography</t>
  </si>
  <si>
    <t>University/Institution</t>
  </si>
  <si>
    <t>Board Seats</t>
  </si>
  <si>
    <t>Roles</t>
  </si>
  <si>
    <t>Mgt Roles</t>
  </si>
  <si>
    <t>Deal Roles</t>
  </si>
  <si>
    <t>Fund Roles</t>
  </si>
  <si>
    <t>Phone</t>
  </si>
  <si>
    <t>Email</t>
  </si>
  <si>
    <t>LinkedIn URL</t>
  </si>
  <si>
    <t>Location</t>
  </si>
  <si>
    <t>Address Line 1</t>
  </si>
  <si>
    <t>Address Line 2</t>
  </si>
  <si>
    <t>City</t>
  </si>
  <si>
    <t>State/Province</t>
  </si>
  <si>
    <t>Post Code</t>
  </si>
  <si>
    <t>Country/Territory/Region</t>
  </si>
  <si>
    <t>Fax</t>
  </si>
  <si>
    <t>Global Region</t>
  </si>
  <si>
    <t>Global Sub Region</t>
  </si>
  <si>
    <t>Daily Updates</t>
  </si>
  <si>
    <t>Weekly Updates</t>
  </si>
  <si>
    <t>Last Updated Date</t>
  </si>
  <si>
    <t>Year of Birth</t>
  </si>
  <si>
    <t>View People Online</t>
  </si>
  <si>
    <t>136818-10P</t>
  </si>
  <si>
    <t>Yasir AlRumayyan</t>
  </si>
  <si>
    <t/>
  </si>
  <si>
    <t>AlRumayyan</t>
  </si>
  <si>
    <t>Yasir</t>
  </si>
  <si>
    <t>Othman</t>
  </si>
  <si>
    <t>Mr.</t>
  </si>
  <si>
    <t>Male</t>
  </si>
  <si>
    <t>Saudi Arabia's Public Investment Fund</t>
  </si>
  <si>
    <t>Sovereign Wealth Fund</t>
  </si>
  <si>
    <t>Board Member and Governor</t>
  </si>
  <si>
    <t>Mr. Yasir AlRumayyan serves as Board Member and Governor at Saudi Arabia's Public Investment Fund. Mr. AlRumayyan serves as Chairman at LIV Golf. He serves as Chairman at Sanabil Investments. He served as a Board Member at Uber. He is a Chairman at Saudi Arabian Mining. He also serves as Vice Chairman at ROSHN. Mr. Al-Rumayyan serves as Non-Executive Chairman at Newcastle United Football Club. He also serves as a Board Member and Member of the Audit Committee at Uber Technologies. He also serves as a Trustee at Revolution Foundation. Previously, he served as CEO of Saudi Fransi Capital, and before that, he served as Director of Corporate Finance at Capital Market Authority. He holds a GMP from Harvard Business School. He also serves as a Board Member at Ceer.</t>
  </si>
  <si>
    <t>Harvard Business School</t>
  </si>
  <si>
    <t>+966 (0)11 405 0000</t>
  </si>
  <si>
    <t>yalrumayyan@pif.gov.sa</t>
  </si>
  <si>
    <t>Riyadh, Saudi Arabia</t>
  </si>
  <si>
    <t>Information Technology and Communications Complex, Building CS01</t>
  </si>
  <si>
    <t>Al Nakhil District, PO Box 6847</t>
  </si>
  <si>
    <t>Riyadh</t>
  </si>
  <si>
    <t>11452</t>
  </si>
  <si>
    <t>Saudi Arabia</t>
  </si>
  <si>
    <t>Middle East</t>
  </si>
  <si>
    <t>347346-01P</t>
  </si>
  <si>
    <t>Abdulaziz AlOthaim</t>
  </si>
  <si>
    <t>AlOthaim</t>
  </si>
  <si>
    <t>Abdulaziz</t>
  </si>
  <si>
    <t>Abdullah</t>
  </si>
  <si>
    <t>Kafaa invest</t>
  </si>
  <si>
    <t>Family Office</t>
  </si>
  <si>
    <t>Chairman &amp; Board Member</t>
  </si>
  <si>
    <t>Mr. Abdulaziz AlOthaim serves as Principal at Kafaa Invest. He is a Founder &amp; serves as Chief Executive Officer at Mad'a Investment. He serves as Chairman at L'azurde. He is a Founding Partner at Saudi Angel Investors. He previously worked as Chief Executive Officer at Mad'a Investment, Board Member at Abdulaziz Al Othaim &amp; Sons Holding Company (ASO&amp;SONS), Board Member at HyperPay, Board Member at KLAIM.AI, Board Member at OAK Group, Board Member at Badael Al-Bena Company, Board Member at support Warehouses company &amp; Board Member at Clinicy. He holds a Diploma from Leysin American School in Switzerland and a BS in Business Administration from Suffolk University.</t>
  </si>
  <si>
    <t>Suffolk University</t>
  </si>
  <si>
    <t>+966 (0)11 274 4446</t>
  </si>
  <si>
    <t>abdullah@minvest.sa</t>
  </si>
  <si>
    <t>Exit 5 Aban Complex</t>
  </si>
  <si>
    <t>13311</t>
  </si>
  <si>
    <t>71107-21P</t>
  </si>
  <si>
    <t>Tariq Al-Sudairy</t>
  </si>
  <si>
    <t>Al-Sudairy</t>
  </si>
  <si>
    <t>Tariq</t>
  </si>
  <si>
    <t>Jadwa Investment</t>
  </si>
  <si>
    <t>Asset Manager</t>
  </si>
  <si>
    <t>Board Member, Managing Director, Chief Executive Officer &amp; Chairman of the Executive Management Committee</t>
  </si>
  <si>
    <t>Mr. Tariq Al-Sudairy serves as Board Member, Managing Director, Chief Executive Officer &amp; Chairman of the Executive Management Committee at Jadwa Investment. Mr. Al-Sudairyhas vast experience in investment banking, advisory, and transactions, having held a number of senior roles in his career, including his most recent position as Head of Private Equity and Investment Banking at Jadwa Investment. He also serves as a Board member at Oqal Angel Investment Network. He holds a BA in Economics from Williams College and an MBA from Harvard Business School.</t>
  </si>
  <si>
    <t>Harvard Business School, Williams College</t>
  </si>
  <si>
    <t>+966 (0)11 279 1111</t>
  </si>
  <si>
    <t>talsudairy@jadwa.com</t>
  </si>
  <si>
    <t>Sky Towers, 4th Floor</t>
  </si>
  <si>
    <t>King Fahad Road Olaya Area, PO Box 60677</t>
  </si>
  <si>
    <t>11555</t>
  </si>
  <si>
    <t>+966 (0)11 279 1571</t>
  </si>
  <si>
    <t>53449-84P</t>
  </si>
  <si>
    <t>Alwaleed Al Saud</t>
  </si>
  <si>
    <t>Al Saud</t>
  </si>
  <si>
    <t>Alwaleed</t>
  </si>
  <si>
    <t>bin Talal bin Abdulaziz</t>
  </si>
  <si>
    <t>Kingdom Holding Company</t>
  </si>
  <si>
    <t>PE/Buyout</t>
  </si>
  <si>
    <t>Founder &amp; Chairman of the Board of Directors</t>
  </si>
  <si>
    <t>Mr. Alwaleed al Saud is the Founder and serves as Chairman of the Board of Directors at Kingdom Holding Company. Mr. Al Saud serves as Chairman at Rotana Holding. He is an Angel Investor. He earned BS degree in Business Administration from Menlo College in 1979 and Master's in Social Sciences from Syracuse University in 1985.</t>
  </si>
  <si>
    <t>Syracuse University, Menlo College</t>
  </si>
  <si>
    <t>+966 (0)11 211 1111</t>
  </si>
  <si>
    <t>alwaleed@kingdom.com.sa</t>
  </si>
  <si>
    <t>11321</t>
  </si>
  <si>
    <t>+966 (0)11 211 1112</t>
  </si>
  <si>
    <t>132730-84P</t>
  </si>
  <si>
    <t>Amin Nasser</t>
  </si>
  <si>
    <t>Nasser</t>
  </si>
  <si>
    <t>Amin</t>
  </si>
  <si>
    <t>H.</t>
  </si>
  <si>
    <t>Saudi Arabian Oil</t>
  </si>
  <si>
    <t>Public Company</t>
  </si>
  <si>
    <t>Chief Executive Officer &amp; Board Member</t>
  </si>
  <si>
    <t>Mr. Amin Nasser serves as President, Chief Executive Officer &amp; Board Member at Aramco. He serves as Board Member at HUMAIN. He serves as an independent director at BlackRock. He has been President &amp; CEO of Aramco since 2015. He has served in several leadership positions, including as senior vice president of Upstream. In that role, he led Saudi Aramco's largest capital investment program in its integrated oil and gas portfolio. He also serves as a Board Member at King Fahd University of Petroleum &amp; Minerals. At the same time, he is leading Saudi Aramco's efforts to produce cleaner energy and products through investments in promising technologies such as next-generation fuel-engine interfaces, crude oil-to-chemicals processes, and renewable energy applications; entrepreneurial start-ups focused on cleaner energy solutions; and industry-wide efforts to minimize greenhouse gas emissions, such as the Oil and Gas Climate Initiative (OGCI). He is a member of the International Advisory Board of the King Fahd University of Petroleum and Minerals; the Board of Trustees of the King Abdullah University of Science &amp; Technology; the World Economic Forum's International Business Council (IBC); the Massachusetts Institute of Technology Presidential CEO Advisory Board; the JP Morgan International Council; and the BlackRock Board of Directors. He holds a bachelor's degree in petroleum engineering from the King Fahd University of Petroleum and Minerals in Dhahran. He completed the Saudi Aramco Management Development Seminar in Washington, D.C., in 1999; the Saudi Aramco Global Business Program in 2000; and the Senior Executive Program at Columbia University in 2002.</t>
  </si>
  <si>
    <t>+966 (0)13 877 2828</t>
  </si>
  <si>
    <t>amin.nasser@aramco.com</t>
  </si>
  <si>
    <t>Dhahran, Saudi Arabia</t>
  </si>
  <si>
    <t>PO Box 5000</t>
  </si>
  <si>
    <t>Dhahran</t>
  </si>
  <si>
    <t>31311</t>
  </si>
  <si>
    <t>276039-01P</t>
  </si>
  <si>
    <t>Faisal Al-Abdulsalam</t>
  </si>
  <si>
    <t>Al-Abdulsalam</t>
  </si>
  <si>
    <t>Faisal</t>
  </si>
  <si>
    <t>Zetta Technologies</t>
  </si>
  <si>
    <t>Private Company</t>
  </si>
  <si>
    <t>Co-Founder &amp; Co-Chief Executive Officer</t>
  </si>
  <si>
    <t>Mr. Faisal Al-Abdulsalam is a Co-Founder &amp; serves as Co-Chief Executive Officer at Zetta Technologies. Mr. Al-Abdulsalam is an Angel Investor. He is the Business Owner, and serves as Chairman of the Board at Purity Tech. Mr. Faisal Al-Abdulsalam serves as Chairman of the Board at Purity Tech. He is a Co-Founder and serves as Co-Chief Executive Officer at Zetta Technologies. He is also a Co-Founder and serves as Chief Executive Officer at Core Vision Investments. He serves as Chief Executive Officer at Velents. He holds a bachelor's degree in Information Systems from King Saud University. He is an investor and advisor in various companies and sectors, with over 14 years of experience in business and information technology. He has worked as a Database Manager at Saudi Telecom Company and Advanced Electronics Company. He is also a strategic business solutions engineer with extensive experience in entrepreneurship and company establishment.</t>
  </si>
  <si>
    <t>King Saud University</t>
  </si>
  <si>
    <t>+966 (0)55 554 4308</t>
  </si>
  <si>
    <t>falabdulsalam@corevision.sa</t>
  </si>
  <si>
    <t>King Salman Bin Abdulaziz Road</t>
  </si>
  <si>
    <t>An Narjis</t>
  </si>
  <si>
    <t>13327</t>
  </si>
  <si>
    <t>201502-18P</t>
  </si>
  <si>
    <t>Shamsheer Vayalil MD</t>
  </si>
  <si>
    <t>Vayalil</t>
  </si>
  <si>
    <t>Shamsheer</t>
  </si>
  <si>
    <t>Amanat Holdings</t>
  </si>
  <si>
    <t>Chairman of the Board</t>
  </si>
  <si>
    <t>Dr. Shamsheer Vayalil serves as Chairman of the Board at Amanat Holdings. Dr. Vayalil is the Founder &amp; serves as Chairman &amp; Board Member at Burjeel Holdings. He serves as Chairman at Almasar Alshamil Education. He serves as Chairman and Managing Director at VPS Lakeshore. Dr. Vayalil serves as Chairman and Managing Director of VPS Healthcare, one of the leading healthcare groups in the Middle East, where he has overseen the group's expansion across four countries with 22 hospitals, over 125 medical centers, and one of the largest pharmaceutical plants in the United Arab Emirates. He previously served as a Board Member at Abu Dhabi University. Dr. Vayalil is an active member of the UAE Medical Council and serves on the Advisory Board at the Faculty of Medicine at the University of Sharjah College of Medicine. He is also a member of the Boards of Directors of Abu Dhabi University and Kannur International Airport Ltd., as well as the Kerala Non-Resident Keralites Welfare Board, which protects the rights and interests of non-resident Indians from Kerala. He has been recognized for his leadership and philanthropic contributions, receiving the Pravasi Bharatiya Samman Award from the Government of India, the highest honor for non-resident Indians, and being named among the Top Indian Leaders in the Arab World by Forbes Middle East in 2014. In 2018, he joined the Giving Pledge, a global initiative founded by Bill and Melinda Gates and Warren Buffett, committing the majority of his wealth to philanthropic causes. Dr. Vayalil holds a Master's degree in Medicine from Sri Ramachandra University and a Bachelor of Medicine degree from Kasturba Medical College, both in India. He also holds an honorary doctorate from Aligarh Muslim University. He also holds MD degree. He also holds MBBS degree.</t>
  </si>
  <si>
    <t>+971 (0)4 330 9999</t>
  </si>
  <si>
    <t>Dubai, United Arab Emirates</t>
  </si>
  <si>
    <t>One Central, The Offices 5, Level 1</t>
  </si>
  <si>
    <t>Office 108, PO Box 12012</t>
  </si>
  <si>
    <t>Dubai</t>
  </si>
  <si>
    <t>121012</t>
  </si>
  <si>
    <t>United Arab Emirates</t>
  </si>
  <si>
    <t>+971 (0)4 330 9000</t>
  </si>
  <si>
    <t>201409-75P</t>
  </si>
  <si>
    <t>Tareq Amin</t>
  </si>
  <si>
    <t>Tareq</t>
  </si>
  <si>
    <t>Rakuten Group (Former)</t>
  </si>
  <si>
    <t>Chief Technology Officer &amp; Group Executive Vice President</t>
  </si>
  <si>
    <t>Mr. Tareq Amin serves as Chief Executive Officer at HUMAIN. He serves as Chief Executive Officer of Aramco Digital at Saudi Arabian Oil. He served as Chief Executive Officer at Rakuten Symphony.</t>
  </si>
  <si>
    <t>Portland State University</t>
  </si>
  <si>
    <t>tareq@humain.ai</t>
  </si>
  <si>
    <t>80417-62P</t>
  </si>
  <si>
    <t>Talal Al Maiman</t>
  </si>
  <si>
    <t>Al Maiman</t>
  </si>
  <si>
    <t>Talal</t>
  </si>
  <si>
    <t>Ibrahim</t>
  </si>
  <si>
    <t>Mr. Talal Al Maiman serves as Chief Executive Officer &amp; Board Member at Kingdom Holding Company. He also serves as Chairman of the Board at Five Capital. He also serves as Vice Chairman at Banque Saudi Fransi. He joined in 1996, and he holds the responsibility of overseeing KHC's investment and operations, as well as identifying future private and public investment opportunities locally, regionally, and globally. In addition to sitting on the Board of Directors of KHC as well as being a member of the Investment Committee and Chairman of the Board of all domestic subsidiaries, he is also a Board Member and Executive Committee Member of National Industrialization Company, a multi-billion dollar publicly listed petrochemical diversified investment company, a Board Member and Executive Committee member of NAS Holding, a leading aviation company which owns NAS Jet (ex. NetJet Middle East) and NAS Airlines, one of the leading regional low-cost carrier. He also serves as a Chairman of the Board of Kingdom Real Estate Investment Company ("KRED"), the domestic arm of KHC as well as Chairman of Kingdom Investment and Development Company ("KIDC"), a newly formed closed joint-stock company with oversee assets in excess of USD 1 billion and as Chairman of Five Capital Fund I, a newly formed private equity fund with lead sponsors KHC and the investment arm of the French Sovereign Fund, CDC International Capital ("CDC") in addition of being a Board Member of Five Capital Advisors (DIFC), a regulated investment advisory firm jointly owned with CDC. He has served previously as a Board Member of Savola, a multi-billion industrial and retail listed company, and Saudi Research and Marketing Group, a leading listed media company in the MENA region. Prior to joining KHC, He was Director of Information Systems at the Saudi Arabian Monetary Agency (1986-1996) and Director of Operations and Maintenance at the Saudi Arabian Ministry of Interior (1979-1986). He holds a BS in Electrical Engineering from the University of Evansville and has completed an Executive Management Program at Harvard Business School. In 2009, he completed his MBA at the University of Liverpool.</t>
  </si>
  <si>
    <t>University of Liverpool, University of Evansville</t>
  </si>
  <si>
    <t>55722-25P</t>
  </si>
  <si>
    <t>Ahmed Ghouth</t>
  </si>
  <si>
    <t>Ghouth</t>
  </si>
  <si>
    <t>Ahmed</t>
  </si>
  <si>
    <t>Saud Hamzah</t>
  </si>
  <si>
    <t>Alkhabeer Capital</t>
  </si>
  <si>
    <t>Chief Executive Officer, Member of the Board Investment Committee, Member of the Board Risk Committee and Member of the Board Compliance Committee</t>
  </si>
  <si>
    <t>Mr. Ahmed Ghouth serves as Chief Executive Officer, Member of the Board Investment Committee, Member of the Board Risk Committee and Member of the Board Compliance Committee at Alkhabeer Capital. Mr. Ghouth has around 22 years of experience in investment banking, asset management, and corporate banking, which he gained in leadership roles in Alkhabeer Capital and earlier, the National Commercial Bank (now, Saudi National Bank), a leading financial institution in the Kingdom of Saudi Arabia. Ahmed Ghouth is currently a member and chairman of the boards of directors for 22 investment funds focused on real estate, private equity, and capital markets, with assets exceeding SAR 8 billion. He also serves on several of Alkhabeer Capital's Board of Directors committees, including the Investment Committee, the Risk Committee, and the Compliance Control Committee. Ahmed is the Chairman of Saudi Innova Healthcare Company and the Vice Chairman of AME Company for Medical Supplies in Saudi Arabia. Ahmed holds a bachelor's degree in Accounting from King Fahad University of Petroleum and Minerals, Dhahran, Saudi Arabia.</t>
  </si>
  <si>
    <t>+966 (0)12 658 8888</t>
  </si>
  <si>
    <t>a.ghouth@alkhabeer.com</t>
  </si>
  <si>
    <t>Jeddah, Saudi Arabia</t>
  </si>
  <si>
    <t>P.O. Box 128289</t>
  </si>
  <si>
    <t>Jeddah</t>
  </si>
  <si>
    <t>21362</t>
  </si>
  <si>
    <t>+966 (0)12 658 6663</t>
  </si>
  <si>
    <t>91119-07P</t>
  </si>
  <si>
    <t>Calum MacLean</t>
  </si>
  <si>
    <t>MacLean</t>
  </si>
  <si>
    <t>Calum</t>
  </si>
  <si>
    <t>Grigor</t>
  </si>
  <si>
    <t>Clariant International (Former)</t>
  </si>
  <si>
    <t>Board Member</t>
  </si>
  <si>
    <t>Mr. Calum MacLean serves as Board Member, Chairman of Remuneration and Nomination Committee &amp; Member of the Audit Committee and Investment Committee at Saudi Basic Industries. He is the CEO of Envalior. He served as a Board Member at Clariant (Multi-line Chemicals). He has been Chief Executive Officer of Synthomer plc (UK FTSE 250 listed), a specialty chemical company, since January 2015. Previously, he was a founding member of INEOS Group, established in 1998. During his time at INEOS, he held a number of senior executive roles, including Chief Executive Officer of INEOS Refining from December 2006 to 2011, Chief Executive Officer of EVC Corporation and subsequently INEOS ChlorVinyls until 2005, Chief Executive Officer of INEOS Styrenics and subsequently Chairman of Styrolution (at that time a joint venture with BASF), and Chief Executive Officer of Petronas Refining (a joint venture with Petro China). Additionally, he served as the Chairman and Chief Executive Officer of INEOS Olefins and Polymers Europe and Chief Executive Officer of INEOS Phenol. He holds a BSc (Hons) degree in chemistry from Aberdeen University, UK.</t>
  </si>
  <si>
    <t>University of Aberdeen</t>
  </si>
  <si>
    <t>+966 (0)11 225 8000</t>
  </si>
  <si>
    <t>Airport Road, Qordoba</t>
  </si>
  <si>
    <t>11422</t>
  </si>
  <si>
    <t>+966 (0)11 225 9000</t>
  </si>
  <si>
    <t>163048-87P</t>
  </si>
  <si>
    <t>Mohamed Farouk Abdelkhalek Ph.D</t>
  </si>
  <si>
    <t>Farouk Abdelkhalek</t>
  </si>
  <si>
    <t>Mohamed</t>
  </si>
  <si>
    <t>Dr.</t>
  </si>
  <si>
    <t>ADES International Holding</t>
  </si>
  <si>
    <t>Chief Executive Officer and Executive Director</t>
  </si>
  <si>
    <t>Dr. Mohamed Farouk Abdelkhalek serves as Non-Executive Board Member at Bonyan. He served as Chief Executive Officer, Managing Director and Executive Director at ADES International Holding. He serves as Non Executive Partner at Compass Capital. He serves as Board Member at Rameda Pharmaceuticals. He has served as Chief Executive Officer since 2012, during which time he has led the company's expansion into new markets and services as ADES transforms into a leading global rig operator. Dr. Farouk joined the Group from Invensys Operations Management (IOM), an FTSE 100 company, where he was most recently senior vice president for global delivery and operations based in Texas. He served earlier with Invensys as Director of Invensys Global Engineering Excellence Centres in Egypt, India, China and Argentina, prior to which he was the General Manager of Invensys Engineering and Services in Egypt. He began his career in 1991 as a Project Engineer at ConiSys Egypt, a provider of control and instrumentation systems technology. Dr. Farouk holds a Ph.D. in systems engineering and control from Case Western Reserve University of Ohio, USA. He was subsequently an associate professor of electrical engineering at Cairo University. His past directorships include service to the board of Schneider Electric for Process Systems; he is currently the Non-Executive Chairman of Invensys Engineering and Services Egypt.</t>
  </si>
  <si>
    <t>Cairo University, Case Western Reserve University</t>
  </si>
  <si>
    <t>+971 (0)2 527 7111</t>
  </si>
  <si>
    <t>Unit 517, Level 5, Index Tower</t>
  </si>
  <si>
    <t>Dubai International Financial Centre</t>
  </si>
  <si>
    <t>507118</t>
  </si>
  <si>
    <t>92025-01P</t>
  </si>
  <si>
    <t>Mazin Al-Dawood</t>
  </si>
  <si>
    <t>Al-Dawood</t>
  </si>
  <si>
    <t>Mazin</t>
  </si>
  <si>
    <t>Osool &amp; Bakheet Investment</t>
  </si>
  <si>
    <t>Chief Executive Officer</t>
  </si>
  <si>
    <t>Mr. Mazin Al-Dawood serves as Board Member at AL Maather. He serves as the Chief Executive Officer at Osool &amp; Bakheet Investment Company. He also serves as a Board of Directors at iMENA Group. He is the Chief Investment Officer &amp; Acting CEO of Saudi Venture Capital, where he focuses on investing in the SME sector in Saudi Arabia and the Real Estate sector locally and internationally. Prior to that, he served as the Head of Investment Banking at Shuaa Capital (Saudi Arabia), where he oversaw several sell-side advisory mandates for large family offices and corporate companies in Saudi Arabia. He was also the Director of Investment Banking at Al-Arabi Capital (Subsidiary of Arab Bank), where he led advisory and acquisition transactions in the Food &amp; Beverage, Pharmaceuticals, and Telecom sectors. He holds an MS in Management from Cass Business School at City University in the United Kingdom and a BBA in Finance from Portland State University in the United States.</t>
  </si>
  <si>
    <t>City University of New York (CUNY), Portland State University</t>
  </si>
  <si>
    <t>+966 (0)11 419 1797</t>
  </si>
  <si>
    <t>maldawood@obic.com.sa</t>
  </si>
  <si>
    <t>Mezzanine Floor, Post Office Box 63762</t>
  </si>
  <si>
    <t>Bahrain Tower, King Fahad Road</t>
  </si>
  <si>
    <t>11526</t>
  </si>
  <si>
    <t>+966 (0)11 460 4116</t>
  </si>
  <si>
    <t>293722-30P</t>
  </si>
  <si>
    <t>Olayan Alwetaid</t>
  </si>
  <si>
    <t>Alwetaid</t>
  </si>
  <si>
    <t>Olayan</t>
  </si>
  <si>
    <t>M.</t>
  </si>
  <si>
    <t>Saudi Telecom Company</t>
  </si>
  <si>
    <t>Group Chief Executive Officer</t>
  </si>
  <si>
    <t>Mr. Olayan Alwetaid serves as Group Chief Executive Officer at STC Bahrain. He serves as Group Chief Executive Officer at Saudi Telecom Company.</t>
  </si>
  <si>
    <t>+966 (0)11 452 7000</t>
  </si>
  <si>
    <t>uwetaid@viva.com.bh</t>
  </si>
  <si>
    <t>King Abdulaziz Complex</t>
  </si>
  <si>
    <t>Imam Mohammed Bin Saud Street Al Mursalat Area</t>
  </si>
  <si>
    <t>11652</t>
  </si>
  <si>
    <t>+966 (0)11 443 3530</t>
  </si>
  <si>
    <t>53889-76P</t>
  </si>
  <si>
    <t>Ammar Shata</t>
  </si>
  <si>
    <t>Shata</t>
  </si>
  <si>
    <t>Ammar</t>
  </si>
  <si>
    <t>Ahmed Saleh</t>
  </si>
  <si>
    <t>Founder, Member of the Board Investment Committee &amp; Chairman</t>
  </si>
  <si>
    <t>Mr. Ammar Shata is the Founder and serves as Member of the Board Investment Committee &amp; Chairman at Alkhabeer Capital. Mr. Shata is a Co-Founder and serves as President at GoTrah. Ammar began his investment banking career in 1990 building a successful record of accomplishments where, Ammar has been instrumental in transforming conventional finance into Sharia-compliant financial products. Ammar is a pioneer in developing Islamic strategic securities and financial products in the region, such as the first asset-backed securities investment fund, the first real estate development investment fund, the first real estate income investment fund, and the first Islamic credit card in Saudi Arabia. Ammar established Alkhabeer Financial Advisor in 2004 as a financial advisory and consultancy office with a capital of SAR 50,000 that formed the foundation on which Alkhabeer Capital was built in 2008. KFA has achieved great success, resulting in profits of over SAR 12 million in the last year of its operations. In 2005, Ammar founded Shariah Review Bureau, the first and leading professional independent institution in the GCC and some select countries worldwide, based out of Bahrain, that provides assessment of financial transactions to ensure their compliance with Islamic principles. In 2021, Ammar founded "Gotrah Venture", a Startup Studio that adds more than just cash. It uses a hands-on approach using a skilled and well experienced team, resources, and a solid validation process. In 2022, Ammar founded further company, namely "Tarteeb Consulting" which provides advice in key areas to senior management of companies/institutions in a joint venture with a corporate finance boutique firm. Ammar is recognized in the capital markets as a thought leader with the ability to identify local and international economic shifts and their subsequent correlation to global and local capital markets. Ammar earned a Bachelor's degree of Science in Electrical Engineering and a Master's Degree in Economic Planning from the University of Southern California, USA, and he is a CFA® charter holder.</t>
  </si>
  <si>
    <t>University of Southern California (USC)</t>
  </si>
  <si>
    <t>a.shata@alkhabeer.com</t>
  </si>
  <si>
    <t>50055-49P</t>
  </si>
  <si>
    <t>Ibrahim Al-Buainain</t>
  </si>
  <si>
    <t>Al-Buainain</t>
  </si>
  <si>
    <t>Saudi Aramco Base Oil Company</t>
  </si>
  <si>
    <t>Chairman</t>
  </si>
  <si>
    <t>Mr. Ibrahim Al-Buainain serves as Chairman at Saudi Aramco Base Oil Company. Mr. Al-Buainain served as Chief Executive Officer at Saudi Aramco Energy Ventures. He holds an MBA from the Massachusetts Institute of Technology (MIT) and an Executive Degree in General Management from IMD Business School.</t>
  </si>
  <si>
    <t>Massachusetts Institute of Technology (MIT), IMD Business School</t>
  </si>
  <si>
    <t>+966 (0)92 000 3550</t>
  </si>
  <si>
    <t>7168 Al Minaa, 3072 Petromin District</t>
  </si>
  <si>
    <t>PO Box 5518</t>
  </si>
  <si>
    <t>22411</t>
  </si>
  <si>
    <t>+966 (0)12 268 5250</t>
  </si>
  <si>
    <t>136554-31P</t>
  </si>
  <si>
    <t>Marco Arcelli</t>
  </si>
  <si>
    <t>Arcelli</t>
  </si>
  <si>
    <t>Marco</t>
  </si>
  <si>
    <t>Metro</t>
  </si>
  <si>
    <t>Mr. Marco Arcelli serves as Board Member at Metro (Wholesale Company). He is CEO EP Global Commerce a.s., Prague, Czech Republic. studied mechanical engineering at the University of Genoa (Italy) and graduated from Harvard's Advanced Management Program. Following his responsibility for renewable energies as Head of Corporate Development at EPH, Marco Arcelli has been CEO of EP Global Commerce since March 2020. From 2001 to 2016 he held various positions at Enel: Executive Vice President Upstream Gas (2009-2016), Head of Business Development and Operations Support (2007-2009), CEO of Slovenske Elektrarne (2005-2007) and President and CEO of Enel North America (2003-2005). Expertise / Main Focus Marco Arcelli has been active in international management for more than 20 years, especially in Southern and Eastern Europe. He has expertise in particular in the areas M&amp;A and digitalization/technology Activities in the Committees of the Supervisory Board of METRO AG. He serves as Chief Executive Officer at ACWA Power International.</t>
  </si>
  <si>
    <t>+49 (0)21 1688 60</t>
  </si>
  <si>
    <t>Dusseldorf, Germany</t>
  </si>
  <si>
    <t>Schlüterstr. 1</t>
  </si>
  <si>
    <t>Dusseldorf</t>
  </si>
  <si>
    <t>40235</t>
  </si>
  <si>
    <t>Germany</t>
  </si>
  <si>
    <t>Europe</t>
  </si>
  <si>
    <t>Western Europe</t>
  </si>
  <si>
    <t>127938-25P</t>
  </si>
  <si>
    <t>Mohammad Abunayyan</t>
  </si>
  <si>
    <t>Abunayyan</t>
  </si>
  <si>
    <t>Mohammad</t>
  </si>
  <si>
    <t>ACWA Power</t>
  </si>
  <si>
    <t>Mr. Mohammad Abunayyan is a Founder &amp; serves as Chairman at ACWA Power. He serves as Chairman &amp; Board of Director at Vision Invest. He also serves as Chairman and member of the Board of Directors (Board) of many reputed companies, including the National Agriculture Development Company and the Saudi Research and Marketing Group besides holding a number of prestigious leadership positions helping spearhead the kingdom's economic development.</t>
  </si>
  <si>
    <t>+966 (0)11 283 5555</t>
  </si>
  <si>
    <t>mabunayyan@acwapower.com</t>
  </si>
  <si>
    <t>Building 1, Ground Floor, Business Gate Office Complex, Airport Road</t>
  </si>
  <si>
    <t>P.O. Box 22616</t>
  </si>
  <si>
    <t>Al-Murjania District</t>
  </si>
  <si>
    <t>11416</t>
  </si>
  <si>
    <t>+966 (0)11 283 5500</t>
  </si>
  <si>
    <t>354678-76P</t>
  </si>
  <si>
    <t>Mohammed Al-Zamil</t>
  </si>
  <si>
    <t>Al-Zamil</t>
  </si>
  <si>
    <t>Mohammed</t>
  </si>
  <si>
    <t>Saud Abdulaziz</t>
  </si>
  <si>
    <t>Batic Investments and Logistics</t>
  </si>
  <si>
    <t>Group Chief Executive Officer, Managing Director, Board Member &amp; Investment Committee Member</t>
  </si>
  <si>
    <t>Mr. Mohammed Al-Zamil serves as Group Chief Executive Officer, Managing Director, Board Member &amp; Investment Committee Member at Batic Investments and Logistics. Mr. Al-Zamil serves as Board Member at AlSaif Stores for Dev. Mr. Al-zamil is a Founding Member of Saudi Venture Capital and Private Equity Association. He serves as Chairman at Almiras. Mr. Al-Zamil s serves as Board Member at Axis Inspection. He holds Bachelor's in Chemical Engineering from King Saud University and Master's in Manufacturing Systems Engineering from University of Warwick.</t>
  </si>
  <si>
    <t>University of Warwick, King Saud University</t>
  </si>
  <si>
    <t>+966 (0)11 418 7879</t>
  </si>
  <si>
    <t>mal-zamel@batic.sa</t>
  </si>
  <si>
    <t>Al Arz Street Rhoc</t>
  </si>
  <si>
    <t>Batic Building - 2nd Floor</t>
  </si>
  <si>
    <t>+966 (0)11 418 7801</t>
  </si>
  <si>
    <t>327004-66P</t>
  </si>
  <si>
    <t>Mohammed Alomair</t>
  </si>
  <si>
    <t>Alomair</t>
  </si>
  <si>
    <t>bin Abdulaziz</t>
  </si>
  <si>
    <t>Elm (IT Services and IT Consulting)</t>
  </si>
  <si>
    <t>Mr. Mohammed Alomair serves as Chief Executive Officer at Elm. He serves as Board Member at Syarah. He serves as Executive at Syarah.</t>
  </si>
  <si>
    <t>+966 (0)11 288 7444</t>
  </si>
  <si>
    <t>malomair@elm.sa</t>
  </si>
  <si>
    <t>Al Thaghr, Digital City 6614</t>
  </si>
  <si>
    <t>Al Nakheel District - Unit No. 2</t>
  </si>
  <si>
    <t>12382-4182</t>
  </si>
  <si>
    <t>+966 (0)11 288 7555</t>
  </si>
  <si>
    <t>189900-91P</t>
  </si>
  <si>
    <t>Nader Ashoor</t>
  </si>
  <si>
    <t>Ashoor</t>
  </si>
  <si>
    <t>Nader</t>
  </si>
  <si>
    <t>Muhammad Saleh</t>
  </si>
  <si>
    <t>Bupa Arabia</t>
  </si>
  <si>
    <t>Board Risk Committee Member</t>
  </si>
  <si>
    <t>Mr. Nader Ashoor serves as Board Risk Committee Member at Bupa Arabia. He was Bupa Arabia's Chief Financial Officer since November 2016. He was promoted to Deputy Chief Executive Officer in Jan 2023. He served as Board Member at Okadoc. He has previously served on numerous boards and committees memberships. He has over 14 years of experience with Saudi Aramco in various leadership roles. He is currently serving his second term as a Board Member at Bupa Arabia. Current positions: Bupa Arabia (Board Member and Deputy CEO and CFO); PIF Subsidiary (Audit Committee Member); Saudi Ground Services (Board Member, Audit Committee Member and Risk Committee Member); D360 Bank (Audit Committee Member); Jeddah Airports Company (Risk and Audit Committee Member); Saudi Industrial Services Co. (Board Member, Audit Committee Member, and NRC Member). Previous positions: Saudi Steel Pipe (Board Member); Saudi Steel Pipe (Audit Committee); Diaverum, Saudi Arabia (Board Member); Saudi Steel Pipe (Strategy Committee Member); Saudi Aramco Entrepreneurship Ventures Company (Investment Committee Member); Saudi Aramco (various roles, the final was Director of Finance Readiness-IPO). Qualifications: Bachelor's degree in Accounting, KFUPM; MBA, IMD International, Lausanne, Switzerland.</t>
  </si>
  <si>
    <t>nader.ashoor@bupa.com.sa</t>
  </si>
  <si>
    <t>3538 Alkhalideya</t>
  </si>
  <si>
    <t>Noor Elihsan, Unit 1</t>
  </si>
  <si>
    <t>75052-3423</t>
  </si>
  <si>
    <t>169114-33P</t>
  </si>
  <si>
    <t>Mohammed AlShammasi</t>
  </si>
  <si>
    <t>AlShammasi</t>
  </si>
  <si>
    <t>Derayah Financial</t>
  </si>
  <si>
    <t>Business Intermediary</t>
  </si>
  <si>
    <t>Mr. Mohammed AlShammasi serves as Chief Executive Officer at Derayah Financial. He also serves as a Board Member at Derayah Ventures. He serves as a Board member at Rajhi Invest. He has more than 16 years of experience in the areas of financial services, strategy, corporate governance and investment. Previously, he was the Chief Investment Officer for Derayah since 2014. He was responsible for the overall investment activities covering multiple asset classes. Before that, he was Head of Investment Management with NCB Capital, where he managed multiple teams with more than SAR 30 billion of assets under management. Before NCB Capital, he was a Portfolio Manager at Riyad Bank. He is a well-known investment professional in the GCC region with a successful track record of generating superior investment results, building investment processes and teams and providing professional advice. He structured award-winning investment products and strategies. He graduated with honours from King Fahd University of Petroleum and Minerals. He attended several management and leadership programs at Harvard Business School, Duke University, and INSEAD Business School. He also served as chairman of Derayah REIT Fund.</t>
  </si>
  <si>
    <t>+966 (0)11 299 8000</t>
  </si>
  <si>
    <t>mohammed.alshammasi@derayah.com</t>
  </si>
  <si>
    <t>Third Floor, Prestige Center</t>
  </si>
  <si>
    <t>Al Takhassousi Street, Al Olaya, P.O.Box 286546</t>
  </si>
  <si>
    <t>11323</t>
  </si>
  <si>
    <t>+966 (0)96 299 8071</t>
  </si>
  <si>
    <t>258066-10P</t>
  </si>
  <si>
    <t>Robert Wilt</t>
  </si>
  <si>
    <t>Wilt</t>
  </si>
  <si>
    <t>Robert</t>
  </si>
  <si>
    <t>Saudi Arabian Mining</t>
  </si>
  <si>
    <t>Mr. Robert Wilt serves as Chief Executive Officer &amp; Board Member at Saudi Arabian Mining. He assumed this position on 1st February 2022. He brings 30+ years of experience in various leadership positions, delivering strategic and operational results in a range of challenging global environments. Between February 2020 and January 2022, he was President and CEO of Sofina Foods one of Canada's largest food processing companies with a global footprint. Before this, he was President of the Metals Group at "Precision Castparts Corporation", managing two subsidiary aerospace and industrial companies. He was previously Executive Vice President of Alcoa, where he spent 17 years in multiple positions and was accountable for the world's largest bauxite mining and alumina refining system, and third-largest smelting system. He holds an MBA from Harvard Business School and a Bachelor's Degree in Engineering Management from the United States Military Academy at West Point, New York.</t>
  </si>
  <si>
    <t>+966 (0)11 874 8000</t>
  </si>
  <si>
    <t>wiltr@maaden.com.sa</t>
  </si>
  <si>
    <t>PO BOX 68861</t>
  </si>
  <si>
    <t>11537</t>
  </si>
  <si>
    <t>265821-58P</t>
  </si>
  <si>
    <t>Abdul Aziz Al-Kathiri</t>
  </si>
  <si>
    <t>Aziz Al-Kathiri</t>
  </si>
  <si>
    <t>Abdul</t>
  </si>
  <si>
    <t>Maharah Human Resources</t>
  </si>
  <si>
    <t>Chief Executive Officer, Executive Chairman &amp; Board Member</t>
  </si>
  <si>
    <t>Mr. Abdul Aziz Al-Kathiri serves as Chief Executive Officer &amp; Executive Chairman at Maharah Human Resources. He joined Maharah in 2013 as the company's first employee and has held several positions within it. He currently holds the position of CEO of the company and is a member of the boards of directors of companies affiliated with Maharah (Atyaf Support Services Company, The Perfect Help Company TPH, and Shifa Arabia Medical Company). He has memberships on the boards of directors of other companies, in addition to being Vice Chairman of the National Committee for Human Resources Companies affiliated with the Federation of Saudi Chambers and a member of the Coordinating Council for Human Resources Companies. Before joining Maharah, he had served as Administrative Director of King Fahad Medical City. He holds a Bachelor of Business Administration from King Faisal University, in addition to a diploma in hospital administration from the Institute of Public Administration. He is interested in the establishment, transformation projects, business development, and development programs in the company.</t>
  </si>
  <si>
    <t>+966 (0)92 001 1151</t>
  </si>
  <si>
    <t>a.kathiri@maharah.com</t>
  </si>
  <si>
    <t>Al Yasmeen Riyadh</t>
  </si>
  <si>
    <t>13124</t>
  </si>
  <si>
    <t>316553-14P</t>
  </si>
  <si>
    <t>Abdulatif Alseif</t>
  </si>
  <si>
    <t>Alseif</t>
  </si>
  <si>
    <t>Abdulatif</t>
  </si>
  <si>
    <t>Ali</t>
  </si>
  <si>
    <t>Sabeen Investment</t>
  </si>
  <si>
    <t>Co-Founder, Managing Director, Chief Executive Officer &amp; Board Member</t>
  </si>
  <si>
    <t>Mr. Abdulatif Alseif is a Co-Founder and serves as Managing Director, Chief Executive Officer &amp; Board Member at Sabeen Investment. Mr. Alseif serves as Chairman of Investment Committee at RIVA Investment. He also serves as Chairman of the Board of Directors at The Saudi Investment Bank. He has held several leadership positions at Saudi Aramco, King Abdullah University of Science and Technology, and MASIC Company, and then became the CEO of AlRa'idah Investment Company. Prior to joining the Saudi Investment Bank, he served on the Board of Directors and the Audit Committee of AlRajhi Bank, and he is currently involved in board memberships and committees in listed and unlisted companies. He holds a bachelor's and Master's degrees in Business Administration from Boston University in the United States, a Master's degree in Economics from the same university, and the Certified Public Accountant (CPA) and Chartered Financial Analyst (CFA) certifications.</t>
  </si>
  <si>
    <t>Boston University</t>
  </si>
  <si>
    <t>+966 (0)11 265 5010</t>
  </si>
  <si>
    <t>aalseif@sabeen.sa</t>
  </si>
  <si>
    <t>7843 Takhassusi Street, Al Mohammadiyyah District</t>
  </si>
  <si>
    <t>Unit 36</t>
  </si>
  <si>
    <t>12363</t>
  </si>
  <si>
    <t>379997-38P</t>
  </si>
  <si>
    <t>Abdulaziz Saleh Al-Wahaibi</t>
  </si>
  <si>
    <t>Saleh Al-Wahaibi</t>
  </si>
  <si>
    <t>Dallah Healthcare</t>
  </si>
  <si>
    <t>Chief Operating Officer</t>
  </si>
  <si>
    <t>Mr. Abdulaziz Saleh Al-Wahaibi serves as Chief Operating Officer at Dallah Healthcare Holding. He serves as Board Member at Meras Medical Company. He also serves as CEO of Saudi Grandparent Poultry and Director of Support Services - Dallah Hospital. He also serves as GASCO Strategy Team Manager and Director of the Riyadh branch at GASCO. He also serves as a Board Member and Managing director of Makkah Medical Center. He holds a Bachelor of Engineering in Petroleum Engineering from King Saud University and a Bachelor of Business Administration from King Saud University.</t>
  </si>
  <si>
    <t>+966 (0)11 225 5065</t>
  </si>
  <si>
    <t>King Fahad Road, Nakheel</t>
  </si>
  <si>
    <t>12381</t>
  </si>
  <si>
    <t>+966 (0)11 299 5555</t>
  </si>
  <si>
    <t>349805-26P</t>
  </si>
  <si>
    <t>Abdulla Al Zamil</t>
  </si>
  <si>
    <t>Al Zamil</t>
  </si>
  <si>
    <t>Abdulla</t>
  </si>
  <si>
    <t>SENAAT</t>
  </si>
  <si>
    <t>Mr. Abdulla Al Zamil serves as Chairman of the Board at Zamil Industrial Investment Company.</t>
  </si>
  <si>
    <t>+966 (0)3 810 8111</t>
  </si>
  <si>
    <t>Dammam, Saudi Arabia</t>
  </si>
  <si>
    <t>PO Box 14441</t>
  </si>
  <si>
    <t>Dammam</t>
  </si>
  <si>
    <t>31424</t>
  </si>
  <si>
    <t>+966 (0)13 810 8199</t>
  </si>
  <si>
    <t>318107-44P</t>
  </si>
  <si>
    <t>Abdulrahman Al-Fageeh</t>
  </si>
  <si>
    <t>Al-Fageeh</t>
  </si>
  <si>
    <t>Abdulrahman</t>
  </si>
  <si>
    <t>Saudi Basic Industries (Former)</t>
  </si>
  <si>
    <t>Chief Executive Officer, Board Member, and Member of the Investment Committee</t>
  </si>
  <si>
    <t>Mr. Abdulrahman Al-Fageeh serves as Chief Executive Officer, Board Member, and Member of the Investment Committee at Saudi Basic Industries. Mr. Al-Fageeh has held many senior executive positions in SABIC in Project Management, Plant Operations, and Corporate &amp; Business Management over the course of more than 35 years. Before assuming his present position, he was successively the Executive Vice President of Petrochemicals, Performance Chemicals, and Polymers' strategic business units. Other senior positions he held at SABIC include Vice President of the Polyethylene Business Unit and President of Yansab for 6 years. He was also the Chairman of Petrokemya, Sadaf, Ibn Sina, Shrouq, Yanpet, Kemya, SAMAC, SABIC SK Nexlene Company, Gulf Coast Growth Ventures, and SABIC Fujian. Moreover, he was Vice Chairman of the Board of Ibn Zahr, and a board member of Ar-Razi and SABIC Capital B.V. He is the Chairman of both the Gulf Petrochemicals and Chemicals Association (GPCA) and the Saudi Petrochemical Manufacturers Committee. He is also a board member of the Royal Commission for Jubail and Yanbu. Moreover, he is an independent board member of the General Authority of Foreign Trade. Furthermore, he is a member of the Board of Directors of the Boao Forum for Asia.</t>
  </si>
  <si>
    <t>+966 (0)13 340 6621</t>
  </si>
  <si>
    <t>Jubail, Saudi Arabia</t>
  </si>
  <si>
    <t>Post Office Box 11044</t>
  </si>
  <si>
    <t>Jubail</t>
  </si>
  <si>
    <t>31961</t>
  </si>
  <si>
    <t>+966 (0)13 341 2367</t>
  </si>
  <si>
    <t>276635-17P</t>
  </si>
  <si>
    <t>Abdulrahman Alismail</t>
  </si>
  <si>
    <t>Alismail</t>
  </si>
  <si>
    <t>Saudi Industrial Investment Group</t>
  </si>
  <si>
    <t>Mr. Abdulrahman Alismail serves as Chief Executive Officer at Saudi Industrial Investment Group. Mr. Abdulrahman Alismail served as Managing Director at The National Petrochemical Company. He serves as Board Member at Unibio.</t>
  </si>
  <si>
    <t>+966 (0)1 279 2522</t>
  </si>
  <si>
    <t>PO Box 99833</t>
  </si>
  <si>
    <t>11625</t>
  </si>
  <si>
    <t>+966 (0)1 279 2523</t>
  </si>
  <si>
    <t>56411-74P</t>
  </si>
  <si>
    <t>Abdulwahhab Abed</t>
  </si>
  <si>
    <t>Abed</t>
  </si>
  <si>
    <t>Abdulwahhab</t>
  </si>
  <si>
    <t>MADAK</t>
  </si>
  <si>
    <t>Vice Chairman of the Board of Directors</t>
  </si>
  <si>
    <t>Hedge Fund, Infrastructure, Natural Resources, Private Debt, Private Equity, Real Estate, Venture Capital</t>
  </si>
  <si>
    <t>Mr. Abdulwahhab Abed serves as Vice Chairman of the Board of Directors at MADAK. He serves as Chief Executive Officer at SEDCO Capital. He was the Chief Business Development Officer - his latest role in a 17-year association with SEDCO Capital. He chairs the Company's Product Development Committee and sits on the Investment and Management Committees. His long experience at SEDCO Capital makes him particularly a skilled strategy developer for private equity Funds and co-investments. His previous roles at SEDCO Capital include Head of Corporate Finance and Vice President and Director of Private Equity, where he was involved in a portfolio of almost a hundred (100) private equity investments around the world.</t>
  </si>
  <si>
    <t>Bentley University</t>
  </si>
  <si>
    <t>+966 (0)12 690 6520</t>
  </si>
  <si>
    <t>327004-03P</t>
  </si>
  <si>
    <t>Fawaz Dansh</t>
  </si>
  <si>
    <t>Dansh</t>
  </si>
  <si>
    <t>Fawaz</t>
  </si>
  <si>
    <t>Abdullah Ahmed</t>
  </si>
  <si>
    <t>Budget RentaCar</t>
  </si>
  <si>
    <t>Chief Executive Officer, President &amp; Manager</t>
  </si>
  <si>
    <t>Mr. Fawaz Dansh serves as Chief Executive Officer, President &amp; Manager at United International Transportation. He is a Chairman at Muttawiffy Hujjaj South Asia Co. and an Independent Non-Executive Director at Gas Arabian Services Co. Ltd. He is on the Board of Directors at Unitrans Infotech Services Pvt Ltd. and Gas Arabian Services Co. Ltd. He also served as Board Member at Transless Holding Company Ltd, Board Member at Tatweer Educational Transportation Services Company (TTC), General Manager at Allied Cooperative Insurance Group (ACIG), Legal Adviser at Jeddah Chamber and Attorney at Savola Group. He received his graduate degree from George Washington University and a B.A. in law, King Abdulaziz University, Jeddah.</t>
  </si>
  <si>
    <t>George Washington University</t>
  </si>
  <si>
    <t>+966 (0)92 000 4124</t>
  </si>
  <si>
    <t>fawaz@budgetsaudi.com</t>
  </si>
  <si>
    <t>Building No. 6695 - King Abdul Aziz Road</t>
  </si>
  <si>
    <t>Al Basatin District 3 Unit 92</t>
  </si>
  <si>
    <t>23719</t>
  </si>
  <si>
    <t>+966 (0)12 692 7171</t>
  </si>
  <si>
    <t>261636-94P</t>
  </si>
  <si>
    <t>Mohammed Abunayyan Ibrahim</t>
  </si>
  <si>
    <t>Mohammed Abunayyan</t>
  </si>
  <si>
    <t>Al Hassan Ghazi Ibrahim Shaker</t>
  </si>
  <si>
    <t>Mr. Mohammed Abunayyan Ibrahim serves as Chief Executive Officer at Al Hassan Ghazi Ibrahim Shaker. Mr. Ibrahim serves as Board Member at Cashew. Appointed CEO in 2020, Mohammed Abunayyan holds strategic planning credentials from London Business School and INSEAD. He also serves on the board of Abunayyan Holding, Cashew Payments, WETICO and Arabian Oud, leveraging his extensive experience to drive corporate growth and innovation.</t>
  </si>
  <si>
    <t>mohammed.ibrahimabunayyan@shaker.com.sa</t>
  </si>
  <si>
    <t>As Sahafah</t>
  </si>
  <si>
    <t>Al Sahafah District</t>
  </si>
  <si>
    <t>384889-69P</t>
  </si>
  <si>
    <t>Mohammed Hammadi</t>
  </si>
  <si>
    <t>Hammadi</t>
  </si>
  <si>
    <t>Hammadi Holding</t>
  </si>
  <si>
    <t>Chief Executive Officer &amp; Managing Director</t>
  </si>
  <si>
    <t>Mr. Mohammed Hammadi serves as Chief Executive Officer and Managing Director at Hammadi Holding. He serves as Board Member at Sudair Pharma.</t>
  </si>
  <si>
    <t>+966 (0)11 232 9999</t>
  </si>
  <si>
    <t>mohammed@alhammadi.com</t>
  </si>
  <si>
    <t>P.O.Box 55004</t>
  </si>
  <si>
    <t>Khalid Ibn Yazid Ibn Muawiyah</t>
  </si>
  <si>
    <t>Al Olaya</t>
  </si>
  <si>
    <t>11534</t>
  </si>
  <si>
    <t>+966 (0)11 231 9999</t>
  </si>
  <si>
    <t>214460-29P</t>
  </si>
  <si>
    <t>Rakan Abunayyan</t>
  </si>
  <si>
    <t>Rakan</t>
  </si>
  <si>
    <t>Noria Capital</t>
  </si>
  <si>
    <t>Venture Capital</t>
  </si>
  <si>
    <t>General Partner</t>
  </si>
  <si>
    <t>Mr. Rakan Abunayyan serves as General Partner at Noria Capital. Mr. Abunayyan served as Chairman at The Mediterranean &amp; Gulf Insurance &amp; Reinsurance Company. He serves as Board Member at Lendo.</t>
  </si>
  <si>
    <t>rabunayyan@noriacapital.co</t>
  </si>
  <si>
    <t>364563-64P</t>
  </si>
  <si>
    <t>Saad Alfadly</t>
  </si>
  <si>
    <t>Alfadly</t>
  </si>
  <si>
    <t>Saad</t>
  </si>
  <si>
    <t>Abdulmohsen</t>
  </si>
  <si>
    <t>National Medical Care</t>
  </si>
  <si>
    <t>Mr. Saad Alfadly serves as Chairman of the Board of Directors at National Medical Care.</t>
  </si>
  <si>
    <t>+966 (0)11 437 8888</t>
  </si>
  <si>
    <t>Riyadh Care Hospital Unayzah Street</t>
  </si>
  <si>
    <t>Al Rawab</t>
  </si>
  <si>
    <t>Al Rayan</t>
  </si>
  <si>
    <t>29393</t>
  </si>
  <si>
    <t>96007-42P</t>
  </si>
  <si>
    <t>Sulaiman Al Rajhi</t>
  </si>
  <si>
    <t>Al Rajhi</t>
  </si>
  <si>
    <t>Sulaiman</t>
  </si>
  <si>
    <t>Al Rajhi Banking and Investment</t>
  </si>
  <si>
    <t>Commercial Bank</t>
  </si>
  <si>
    <t>Mr. Sulaiman Al Rajhi is an Angel Investor. He is Chairman at Al Rajhi Bank. He also serves as Non-Executive Member &amp; Chairman of Audit Committee at Al Rajhi Capital.</t>
  </si>
  <si>
    <t>alrajhis@alrajhibank.com.sa</t>
  </si>
  <si>
    <t>8467 King Fahd Road - Al Muruj District</t>
  </si>
  <si>
    <t>Unit Number 1</t>
  </si>
  <si>
    <t>12263-2743</t>
  </si>
  <si>
    <t>127938-97P</t>
  </si>
  <si>
    <t>Sulaiman Al-Muhaidib</t>
  </si>
  <si>
    <t>Al-Muhaidib</t>
  </si>
  <si>
    <t>A.K.</t>
  </si>
  <si>
    <t>Vision Invest</t>
  </si>
  <si>
    <t>Infrastructure</t>
  </si>
  <si>
    <t>Vice Chairman &amp; Board of Director</t>
  </si>
  <si>
    <t>Mr. Sulaiman Al-Muhaidib serves as Vice Chairman &amp; Board of Director at Vision Invest. He serves as Vice Chairman &amp; Board of Director at Vision Invest. He serves as Chairman at Savola Group. He co-founded LaanCare and served as Director, Business Intelligence &amp; Board Member at Vision Invest. He is the Chairman of Al Muhaidib Group and a number of companies including Al Oula Development Company, Middle East Paper Company, Amwal Al Khaleej Commercial Investment Company, RAFAL Real Estate Development Company, Al Shamiyah Urban Development Company, and Swicorp Joussour. He also sits on the Board of Directors of Saudi Arabian British Bank (SABB), Almarai Company, National Industrialization Company (TASNEE), Prince Salman Center for Disability Research, Prince Fahad Bin Salman Charity Association for Renal Failure Patients Care, and The Centennial Fund.</t>
  </si>
  <si>
    <t>+966 (0)11 250 6300</t>
  </si>
  <si>
    <t>salmuhaidib@visioninvest.com</t>
  </si>
  <si>
    <t>Thumamah Road at the Cross Roads with Abi Baker Al-Siddiq Road</t>
  </si>
  <si>
    <t>Alia Plaza - Office Area, First Floor</t>
  </si>
  <si>
    <t>11473</t>
  </si>
  <si>
    <t>166516-66P</t>
  </si>
  <si>
    <t>Ziad Al-Murshed</t>
  </si>
  <si>
    <t>Al-Murshed</t>
  </si>
  <si>
    <t>Ziad</t>
  </si>
  <si>
    <t>Thamer</t>
  </si>
  <si>
    <t>Executive Vice President and Chief Financial Officer</t>
  </si>
  <si>
    <t>Mr. Ziad Al-Murshed serves as Executive Vice President and Chief Financial Officer at Saudi Arabian Oil. He has been appointed as Executive Vice President &amp; Chief Financial Officer effective May 1, 2022. Previous to this, he was acting service line head for Finance, Strategy &amp; Development. Prior to that role, he had served as the vice president of Fuels and lubricants, vice president of International Operations, vice president of Downstream Growth and integration and executive director of New Business Development. He also served as the general manager and head of Transaction Execution in New Business Development, director of the Strategic Planning Department, director of the Economic and Energy Analysis Department, and manager of the Business Analysis Department. He joined Saudi Aramco in 1991. He started his career in Exploration and Producing as a producing engineer. He then moved to Downstream in 1998 and assumed several responsibilities covering refining, marketing and joint venture development and coordination. He served as Foreman of Operations then Superintendent of Operations at Ras Tanura Refinery, and manager of the Yanbu' NGL Fractionation Department. He holds a Bachelor of Science degree in Chemical Engineering from Arizona State University and an MBA from the Sloan School of Management at the Massachusetts Institute of Technology. He is also a graduate of the General Management Program at Harvard Business School.</t>
  </si>
  <si>
    <t>Arizona State University, Harvard Business School, Massachusetts Institute of Technology</t>
  </si>
  <si>
    <t>ziad.al-murshed@aramco.com</t>
  </si>
  <si>
    <t>410023-45P</t>
  </si>
  <si>
    <t>Zulfiqar Hamadani</t>
  </si>
  <si>
    <t>Hamadani</t>
  </si>
  <si>
    <t>Zulfiqar</t>
  </si>
  <si>
    <t>Tanmiah Food</t>
  </si>
  <si>
    <t>Mr. Zulfiqar Hamadani serves as Chief Executive Officer at Tanmiah Food.</t>
  </si>
  <si>
    <t>+966 (0)92 001 0100</t>
  </si>
  <si>
    <t>zulfiqar.hamadani@tanmiah.com</t>
  </si>
  <si>
    <t>King Fahad Street, Building Number 7292</t>
  </si>
  <si>
    <t>Ar Rahmaniyah District -4253</t>
  </si>
  <si>
    <t>12341</t>
  </si>
  <si>
    <t>+966 (0)11 291 9863</t>
  </si>
  <si>
    <t>357699-43P</t>
  </si>
  <si>
    <t>Abdul Latif Al-Barrak</t>
  </si>
  <si>
    <t>Latif Al-Barrak</t>
  </si>
  <si>
    <t>Filing &amp; Packing Materials Manufacturing</t>
  </si>
  <si>
    <t>Mr. Abdul Latif Al-Barrak serves as Chairman at Filing &amp; Packing Materials Manufacturing. He serves as Chief Executive Officer at Bina Industrial Investment Holding.</t>
  </si>
  <si>
    <t>+966 (0)11 265 2299</t>
  </si>
  <si>
    <t>Second Industrial City in Riyadh</t>
  </si>
  <si>
    <t>14335</t>
  </si>
  <si>
    <t>+966 (0)11 265 1275</t>
  </si>
  <si>
    <t>372422-98P</t>
  </si>
  <si>
    <t>Abdulaziz Aloud</t>
  </si>
  <si>
    <t>Aloud</t>
  </si>
  <si>
    <t>Saudi Pharmaceutical Industries &amp; Medical Appliances</t>
  </si>
  <si>
    <t>Chief Financial Officer</t>
  </si>
  <si>
    <t>Mr. Abdulaziz Aloud serves as Chief Financial Officer at Saudi Pharmaceutical Industries &amp; Medical Appliances.</t>
  </si>
  <si>
    <t>+966 (0)11 252 3333</t>
  </si>
  <si>
    <t>abdulaziz.aloud@spimaco.sa</t>
  </si>
  <si>
    <t>PO BOX 20001</t>
  </si>
  <si>
    <t>11455</t>
  </si>
  <si>
    <t>+966 (0)11 252 3300</t>
  </si>
  <si>
    <t>384888-97P</t>
  </si>
  <si>
    <t>Abdulaziz Hammadi</t>
  </si>
  <si>
    <t>Al</t>
  </si>
  <si>
    <t>Mr. Abdulaziz Hammadi serves as Chief Operating Officer at Hammadi Holding. He serves as Board Member at Sudair Pharma.</t>
  </si>
  <si>
    <t>abdulaziz@alhammadi.com</t>
  </si>
  <si>
    <t>256364-56P</t>
  </si>
  <si>
    <t>Abdullah Al-Bader</t>
  </si>
  <si>
    <t>Al-Bader</t>
  </si>
  <si>
    <t>Bin Nasser</t>
  </si>
  <si>
    <t>Almarai</t>
  </si>
  <si>
    <t>Mr. Abdullah Bader serves as Chief Executive Officer at Almarai. Mr. Al-Badr joined Almarai Company in 2000, and rose through the ranks of its strategic sectors until he was chosen as CEO of the company in March 2021. Over a career of more than 20 years, Al Badr moved between many job positions in Almarai, including working in sectors; Manufacturing, distribution, sales, marketing, and shared services, most recently as Executive Vice President of the Bakery Sector. Al-Badr obtained a Master's degree in Business Administration from the University of Leicester.</t>
  </si>
  <si>
    <t>University of Leicester</t>
  </si>
  <si>
    <t>+966 (0)11 528 7171</t>
  </si>
  <si>
    <t>abdullah.albader@almarai.com</t>
  </si>
  <si>
    <t>P. O. Box 8524</t>
  </si>
  <si>
    <t>11492</t>
  </si>
  <si>
    <t>341619-22P</t>
  </si>
  <si>
    <t>Abdullah Al-Humaidhi</t>
  </si>
  <si>
    <t>Al-Humaidhi</t>
  </si>
  <si>
    <t>Saudi Advanced Industries</t>
  </si>
  <si>
    <t>Mr. Abdullah Al-Humaidhi serves as Chairman at Saudi Advanced Industries. He served as Board Member at Masar Al-Numou Finance.</t>
  </si>
  <si>
    <t>Takhasusi Street with Othman bin Affan Road</t>
  </si>
  <si>
    <t>PO Box 51743 Al-Narjis district</t>
  </si>
  <si>
    <t>11553</t>
  </si>
  <si>
    <t>247182-49P</t>
  </si>
  <si>
    <t>Abdullah Al-Khalifa</t>
  </si>
  <si>
    <t>Al-Khalifa</t>
  </si>
  <si>
    <t>Bin Ali</t>
  </si>
  <si>
    <t>Alinma Bank</t>
  </si>
  <si>
    <t>Managing Director &amp; Chief Executive Officer</t>
  </si>
  <si>
    <t>Mr. Abdullah Al-Khalifa serves as Chief Executive Officer at Alinma Bank. He is the Managing Director and Chief Executive Officer, bringing over 30 years of experience in the banking sector. Previously served as Chief Financial Officer at Banque Saudi Fransi and Al Rajhi Bank, and as Financial Director at Arab National Bank. Holds a Master's degree in Accounting from the University of Miami and a Bachelor's degree in Accounting from King Saud University.</t>
  </si>
  <si>
    <t>King Saud University, University of Miami</t>
  </si>
  <si>
    <t>+966 (0)11 218 5555</t>
  </si>
  <si>
    <t>9033 King Fahad Road</t>
  </si>
  <si>
    <t>Unit 8, Olaya</t>
  </si>
  <si>
    <t>12214-2370</t>
  </si>
  <si>
    <t>+966 (0)11 218 5000</t>
  </si>
  <si>
    <t>206251-75P</t>
  </si>
  <si>
    <t>Abdullah Al-Oraini</t>
  </si>
  <si>
    <t>Al-Oraini</t>
  </si>
  <si>
    <t>Riyad Bank</t>
  </si>
  <si>
    <t>Mr. Abdullah Al-Oraini serves as Chief Financial Officer at Riyad Bank. He serves as Board Member &amp; Chairman of Audit Committee at Riyad Capital. He served as Chief Financial Officer at Alawwal Bank. He joined Riyadh Bank as its Chief Financial Officer in 2019. His 16+ years of experience stems from diversified work engagements at the local and international banking sector to include MENA countries, such as UAE, Oman, and Egypt where he worked on mega projects concerning strategic financial and performance management, investor relations, capital and asset liability management, and mergers and acquisitions. Prior to joining Riyad Bank, Mr. Al-Oraini held leadership positions at various banks, including Chief Financial Officer of AlAwwal Bank (formally known as Saudi Hollandi Bank), Head of Accounting, Asset and Liability Management and Investor Relations Department at the Saudi British Bank (SABB), Head of Capital and Liquidity Management at the National Commercial Bank (NCB).</t>
  </si>
  <si>
    <t>University of Waterloo</t>
  </si>
  <si>
    <t>+966 (0)50 445 5481</t>
  </si>
  <si>
    <t>aal-oraini@riyadbank.com</t>
  </si>
  <si>
    <t>P.O. Box 22622</t>
  </si>
  <si>
    <t>162550-63P</t>
  </si>
  <si>
    <t>Abdullah Al-Saadoon</t>
  </si>
  <si>
    <t>Al-Saadoon</t>
  </si>
  <si>
    <t>S.</t>
  </si>
  <si>
    <t>Saudi International Petrochemical</t>
  </si>
  <si>
    <t>Mr. Abdullah Al-Saadoon serves as Chief Executive Officer at Saudi International Petrochemical. He served as President of the International Acetyl Company. He is an industry veteran and accomplished business leader with more than 35 years of experience. Since joining Sipchem in 2001 as President, Operations and Manufacturing, he has been a part of the company's growth and evolution over the past two decades. He rose through the ranks holding progressive responsibilities in various positions including the President, Operations and Manufacturing. He joined Sipchem from SABIC, where he held several leadership positions. Previously and following the completion of his graduation, he worked with the Saline Water Conversion Corporation (SWCC). He earned his Bachelor of Science degree in chemical engineering from the King Fahd University of Petroleum and Minerals.</t>
  </si>
  <si>
    <t>+966 (0)13 801 9392</t>
  </si>
  <si>
    <t>aal-saadoon@sipchem.com</t>
  </si>
  <si>
    <t>Al Khobar, Saudi Arabia</t>
  </si>
  <si>
    <t>SABIC Building, King Saud Road</t>
  </si>
  <si>
    <t>Al Hada District</t>
  </si>
  <si>
    <t>Al Khobar</t>
  </si>
  <si>
    <t>31952</t>
  </si>
  <si>
    <t>401227-21P</t>
  </si>
  <si>
    <t>Abdullah Timyat</t>
  </si>
  <si>
    <t>Timyat</t>
  </si>
  <si>
    <t>Saudi Manpower Solutions</t>
  </si>
  <si>
    <t>Acquirer</t>
  </si>
  <si>
    <t>Mr. Abdullah Al Timyat serves as Chief Executive Officer at Saudi Manpower Solutions. He hold Bachelor's Degree in Business Administration, King Abdulaziz University, Jeddah, Saudi Arabia, 2012.</t>
  </si>
  <si>
    <t>+966 (0)11 224 7001</t>
  </si>
  <si>
    <t>6527 Olaya Street, Al Ghadeer District</t>
  </si>
  <si>
    <t>PO Box 91279</t>
  </si>
  <si>
    <t>+966 (0)11 453 2025</t>
  </si>
  <si>
    <t>465469-84P</t>
  </si>
  <si>
    <t>Abdulrahman Al-Sadhan</t>
  </si>
  <si>
    <t>Al-Sadhan</t>
  </si>
  <si>
    <t>Zain</t>
  </si>
  <si>
    <t>Mr. Abdulrahman Al-Sadhan serves as Chief Executive Officer at Zain.</t>
  </si>
  <si>
    <t>+966 (0)59 241 1111</t>
  </si>
  <si>
    <t>Granada Business Park - Building A3</t>
  </si>
  <si>
    <t>PO Box 295814</t>
  </si>
  <si>
    <t>11351</t>
  </si>
  <si>
    <t>291174-31P</t>
  </si>
  <si>
    <t>Abdulrahman Shamsaddin</t>
  </si>
  <si>
    <t>Shamsaddin</t>
  </si>
  <si>
    <t>A.</t>
  </si>
  <si>
    <t>SABIC Agri-Nutrients</t>
  </si>
  <si>
    <t>Mr. Abdulrahman Shamsaddin serves as Chief Executive Officer at SABIC Agri-Nutrients. Prior to this Mr. Shamsaddin served as Executive Vice President, SABIC Shared Services before he was appointed as Chief Executive Office for SABIC Agri-Nutrients Company. He also hold position of Vice President of Internal Audit at SABIC prior to his appointment as Shared Services EVP. During his career, Abdulrahman covered several operational and management capacities covering Process Safety Management, Reliability, Engineering/Project Management, Maintenance and Operations functions in refinery and petrochemical plants. He also took up the responsibility of the company's Enterprise Risk Management as General Manager, which encompassed Risk Management, Internal Controls, Business Continuity Management, Global Insurance and Credit Management. He was also a member of SABIC Risk Management's Executive Committee and the secretary of the SABIC Board Risk &amp; Compliance Committee. He was part of the Corporate Finance Leadership Team and led several projects and global initiatives. As the Company's Chief Audit Executive, he was accountable to the Board Audit Committee for the Corporate Internal Audit. In his early professional career, Abdulrahman served at Saudi Aramco-Exxon Mobil Refinery (SAMREF) with global secondment experiences at refinery/chemical sites. He then joined SABIC as Manufacturing Turnaround Sr. Manager at SABIC Manufacturing and was promoted as Manufacturing Services/Planning GM. He also served as Operations GM at Ibn Rushd and Continuous Improvement GM at SABIC Manufacturing Center of Excellence. He was part of several high-profile leadership assignments, 2025 strategy formulation teams and governance structures. He was also among the first SABIC CEO Leadership Challenge Program Graduates. He is currently serving as Chairman of YANSAB, a SABIC affiliate, as well as sitting on other Boards/Committees. Abdulrahman has a B.Sc. degree in Applied Mechanical Engineering (Hons) from King Fahd University of Petroleum &amp; Minerals (KFUPM), KSA.</t>
  </si>
  <si>
    <t>ashamsaddin@sabic-agrinutrients.com</t>
  </si>
  <si>
    <t>126250-66P</t>
  </si>
  <si>
    <t>Abdulrazzag BinDawood</t>
  </si>
  <si>
    <t>BinDawood</t>
  </si>
  <si>
    <t>Abdulrazzag</t>
  </si>
  <si>
    <t>Bindawood</t>
  </si>
  <si>
    <t>Dr. Abdulrazzaq BinDawood is a Co-Owner and serves as Chairman and Founding Director at Bindawood Group of Companies.</t>
  </si>
  <si>
    <t>+966 (0)12 605 3557</t>
  </si>
  <si>
    <t>dawood@bindawood.com</t>
  </si>
  <si>
    <t>Al-Madinah Al-Munawarah Road</t>
  </si>
  <si>
    <t>Al Naeem</t>
  </si>
  <si>
    <t>21530</t>
  </si>
  <si>
    <t>319065-85P</t>
  </si>
  <si>
    <t>Aiedh Al-Zahrani</t>
  </si>
  <si>
    <t>Al-Zahrani</t>
  </si>
  <si>
    <t>Aiedh</t>
  </si>
  <si>
    <t>Arab National Bank</t>
  </si>
  <si>
    <t>Mr. Aiedh Al Zahrani serves as Chief Operating Officer at Arab National Bank.</t>
  </si>
  <si>
    <t>+966 (0)11 402 9000</t>
  </si>
  <si>
    <t>azahrani@anb.com.sa</t>
  </si>
  <si>
    <t>PO Box 56921</t>
  </si>
  <si>
    <t>11564</t>
  </si>
  <si>
    <t>+966 (0)11 405 0244</t>
  </si>
  <si>
    <t>247161-25P</t>
  </si>
  <si>
    <t>Babar Khan</t>
  </si>
  <si>
    <t>Khan</t>
  </si>
  <si>
    <t>Babar</t>
  </si>
  <si>
    <t>Axa Cooperative Insurance</t>
  </si>
  <si>
    <t>Chief Financial Officer &amp; Deputy CEO</t>
  </si>
  <si>
    <t>Mr. Babar Khan serves as Chief Financial Officer &amp; Deputy CEO at Axa Cooperative Insurance. Mr. Khan serves as Chief Financial Officer at AXA Insurance (Gulf).</t>
  </si>
  <si>
    <t>babar.khan@gig.sa</t>
  </si>
  <si>
    <t>Kanoo Tower, King Abdul Aziz Road 2nd Floor</t>
  </si>
  <si>
    <t>Post Office Box 753</t>
  </si>
  <si>
    <t>11421</t>
  </si>
  <si>
    <t>392727-79P</t>
  </si>
  <si>
    <t>Basil Abulhamayel</t>
  </si>
  <si>
    <t>Abulhamayel</t>
  </si>
  <si>
    <t>Basil</t>
  </si>
  <si>
    <t>Bahri</t>
  </si>
  <si>
    <t>Mr. Basil Abulhamayel serves as Chief Financial Officer at Bahri. He serves as Board Member at Folk Maritime.</t>
  </si>
  <si>
    <t>+966 (0)11 478 5454</t>
  </si>
  <si>
    <t>babulhamayel@bahri.sa</t>
  </si>
  <si>
    <t>Olaya Towers (Tower B), Floors 12-15</t>
  </si>
  <si>
    <t>Olaya District, Olaya Street</t>
  </si>
  <si>
    <t>+966 (0)11 477 8036</t>
  </si>
  <si>
    <t>328614-85P</t>
  </si>
  <si>
    <t>Borjan Sehovac</t>
  </si>
  <si>
    <t>Sehovac</t>
  </si>
  <si>
    <t>Borjan</t>
  </si>
  <si>
    <t>Milorad Boro</t>
  </si>
  <si>
    <t>Riyadh Cables Group</t>
  </si>
  <si>
    <t>Mr. Borjan Sehovac serves as Chief Executive Officer at Riyadh Cables Group. Mr. Sehovac is the largest cable manufacturer in the Middle East and Africa, and amongst the largest cable companies globally. Our huge production capacity and competitiveness allowed us to be the undisputable cable market leader in Saudi Arabia and the largest cable market in the Region. We are actively contributing to the implementation of the ambitious Vision 2030 in supplying our cables to all major projects, in fact, we are also targeting to increase our market share as we are expanding in both capacity and capability. Riyadh Cables Group is looking forward to further enhancing its track record in the expansion of its geographical footprint serving local customers at the highest quality level with fastest delivery time</t>
  </si>
  <si>
    <t>University of Milan</t>
  </si>
  <si>
    <t>+966 (0)11 265 0850</t>
  </si>
  <si>
    <t>borjan.sehovac@riyadh-cables.com</t>
  </si>
  <si>
    <t>D, 2nd industrial City, Al Kharj Road Street</t>
  </si>
  <si>
    <t>Number 175, 3rd Lane Zone, P.O. Box 26862</t>
  </si>
  <si>
    <t>11496</t>
  </si>
  <si>
    <t>413281-54P</t>
  </si>
  <si>
    <t>Fahad Maamer</t>
  </si>
  <si>
    <t>Maamer</t>
  </si>
  <si>
    <t>Fahad</t>
  </si>
  <si>
    <t>The Company for Cooperative Insurance</t>
  </si>
  <si>
    <t>Chief Executive Officer of Investments</t>
  </si>
  <si>
    <t>Mr. Fahad Maamer serves as Chief Executive Officer of Investments at Company for Cooperative Insurance. He served as Chief Investment Officer at Company for Cooperative Insurance.</t>
  </si>
  <si>
    <t>+966 (0)11 252 5800</t>
  </si>
  <si>
    <t>6507 Thomamah Road (Takhassusi)</t>
  </si>
  <si>
    <t>Ar Rabi</t>
  </si>
  <si>
    <t>11632</t>
  </si>
  <si>
    <t>+966 (0)11 400 0844</t>
  </si>
  <si>
    <t>245387-89P</t>
  </si>
  <si>
    <t>Faisal Al-Nassar</t>
  </si>
  <si>
    <t>Al-Nassar</t>
  </si>
  <si>
    <t>Abdullah Ali</t>
  </si>
  <si>
    <t>Dr Sulaiman Al Habib</t>
  </si>
  <si>
    <t>Chief Executive Officer, Chief Financial Officer &amp; Board Member</t>
  </si>
  <si>
    <t>Mr. Faisal Al-Nassar serves as Chief Executive Officer, Chief Financial Officer &amp; Board Member at Dr Sulaiman Al Habib. He served as President at Dr Sulaiman Al Habib. He also served as Chief Financial Officer at Dr Sulaiman Al Habib. He also served as Advisor at G Square Investments and as a member of the Board of Directors of the Saudi Serco Services Company. He also held the position of CEO of Financial Management and Investment and a member of the Board of Directors and Executive Committee of Vision Investment Company (formerly Aqua Holding) from 2006 AD until 2011 AD. He holds a bachelor's degree in accounting and information systems from the College of Industrial Management at King Fahd University Petroleum and Minerals in Dhahran in 2001</t>
  </si>
  <si>
    <t>faisal.nassar@hmg.com</t>
  </si>
  <si>
    <t>King Fahd Road - Olaya</t>
  </si>
  <si>
    <t>11643</t>
  </si>
  <si>
    <t>Deal Role (New) Eraf Medical Company, Joint Venture, 2023|Completed</t>
  </si>
  <si>
    <t>Deal Role (New) Eraf Medical Company, Joint Venture, 2023|Completed, Email (Update)</t>
  </si>
  <si>
    <t>161912-98P</t>
  </si>
  <si>
    <t>Faisal Al-Omran</t>
  </si>
  <si>
    <t>Al-Omran</t>
  </si>
  <si>
    <t>The Saudi Investment Bank</t>
  </si>
  <si>
    <t>Mr. Faisal Al-Omran serves as Board Member at Chief Executive Officer at Amlak International. He serves as Chief Executive Officer at The Saudi Investment Bank. He served as Country Head of Commercial Banking at The Saudi Investment Bank.</t>
  </si>
  <si>
    <t>fal-omran@saib.com.sa</t>
  </si>
  <si>
    <t>8081 Sheikh Abdul Rahman bin Hassan, Al-Wizarat, Al Maather</t>
  </si>
  <si>
    <t>Unit Number 2</t>
  </si>
  <si>
    <t>12622</t>
  </si>
  <si>
    <t>416296-45P</t>
  </si>
  <si>
    <t>Faris Al Henaki</t>
  </si>
  <si>
    <t>Al Henaki</t>
  </si>
  <si>
    <t>Faris</t>
  </si>
  <si>
    <t>Tamkeen HR</t>
  </si>
  <si>
    <t>Mr. Faris Al Henaki serves as Chief Executive Officer at Tamkeen HR.</t>
  </si>
  <si>
    <t>+966 (0)92 000 0199</t>
  </si>
  <si>
    <t>falhenaki@tamkeenhr.com</t>
  </si>
  <si>
    <t>2nd Floor, building 3720</t>
  </si>
  <si>
    <t>Northern Ring Road Exit 5</t>
  </si>
  <si>
    <t>AI Nafl District</t>
  </si>
  <si>
    <t>12333</t>
  </si>
  <si>
    <t>239931-91P</t>
  </si>
  <si>
    <t>Feras Al Bawardi</t>
  </si>
  <si>
    <t>Al Bawardi</t>
  </si>
  <si>
    <t>Feras</t>
  </si>
  <si>
    <t>Trukkin</t>
  </si>
  <si>
    <t>Mr. Feras Al Bawardi serves as Board Member at Trukkin. He serves as Vice Chairman &amp; Executive &amp; Investment Committee Member at Batic Investments and Logistics. He served as Chairman at Axis Inspection. Boasting an abundance of knowledge from the topmost levels of the corporate ladder, He is an experienced finance professional and Board Member for multiple companies within the investing and industrial sectors. He is currently a Board Member &amp; Chairman of the Remuneration and Nomination Committee for Batic Investments &amp; Logistics Services. In addition to this, he sits on several Boards such as Taaqaat Professional Services, Performance Minerals Factory, and Al Jazeera Gypsum Factory. He is also the Chief Investment Officer for Jazil Investments and holds a Bachelor's Degree in Finance from the University of Oregon. He has also spent some time working with the Saudi Innovation Forum, which aims to bring together leaders in business, government, and academia to reach breakthroughs in the country's economy.</t>
  </si>
  <si>
    <t>University of Oregon, Eugene</t>
  </si>
  <si>
    <t>+971 (0)8 878 5546</t>
  </si>
  <si>
    <t>F41-44, The Curve Building</t>
  </si>
  <si>
    <t>Sheikh Zayed Road</t>
  </si>
  <si>
    <t>132469-12P</t>
  </si>
  <si>
    <t>Ghannam Al-Ghannam</t>
  </si>
  <si>
    <t>Al-Ghannam</t>
  </si>
  <si>
    <t>Ghannam</t>
  </si>
  <si>
    <t>Head of Private and Institutional Client Investments &amp; Member of the Executive Management Committee</t>
  </si>
  <si>
    <t>Mr. Ghannam Al-Ghannam serves as Head of Private and Institutional Client Investments &amp; Member of the Executive Management Committee at Jadwa Investment. He also serves as chairman at Jadwa REIT. Prior to joining Jadwa, he was a Senior Investment Advisor for private clients at HSBC Saudi Arabia. He has over 11 years of experience in business development and wealth management maintaining a high-quality approach to all sales, services, operational, and risk management processes. Organized and planned campaigns for private equity, asset management, and real estate. He is a certified financial planner with an MIS degree from Ohio.</t>
  </si>
  <si>
    <t>Ohio University, University of Toledo</t>
  </si>
  <si>
    <t>galghannam@jadwa.com</t>
  </si>
  <si>
    <t>231629-50P</t>
  </si>
  <si>
    <t>Ghassab Bin Mandeel</t>
  </si>
  <si>
    <t>Bin Mandeel</t>
  </si>
  <si>
    <t>Ghassab</t>
  </si>
  <si>
    <t>Bin Salman Bin Ghassab</t>
  </si>
  <si>
    <t>Jahez Group</t>
  </si>
  <si>
    <t>Co-Founder, Chief Executive Officer &amp; Board Member</t>
  </si>
  <si>
    <t>Mr. Ghassab Al-Mandil is a Co-Founder and serves as Chief Executive Officer &amp; Board Member at Jahez Group. He holds a Bchelor's degree in Computer Science from King Saud University in SAudi Arabia.</t>
  </si>
  <si>
    <t>ghassab@jahez.net</t>
  </si>
  <si>
    <t>King Abdullah Ibn Abdul Aziz Road</t>
  </si>
  <si>
    <t>King Salman District</t>
  </si>
  <si>
    <t>12444</t>
  </si>
  <si>
    <t>296566-39P</t>
  </si>
  <si>
    <t>Harun Al Rasheed</t>
  </si>
  <si>
    <t>Al Rasheed</t>
  </si>
  <si>
    <t>Harun</t>
  </si>
  <si>
    <t>Bin Rasheed</t>
  </si>
  <si>
    <t>Al Ramz Real Estate (Riyadh)</t>
  </si>
  <si>
    <t>Mr. Harun Al Rasheed serves as Chief Executive Officer &amp; Managing Director at Alramz Real Estate.</t>
  </si>
  <si>
    <t>+966 (0)92 003 1440</t>
  </si>
  <si>
    <t>Al Fasilah Square Complex, Al Malqa District</t>
  </si>
  <si>
    <t>Abdul Latif Bin Abdul Malik Al Sheikh Road</t>
  </si>
  <si>
    <t>13521</t>
  </si>
  <si>
    <t>259439-68P</t>
  </si>
  <si>
    <t>Ibrahim Alkhelaifi</t>
  </si>
  <si>
    <t>Alkhelaifi</t>
  </si>
  <si>
    <t>Mr. Ibrahim Alkhelaifi serves as Chief Operating Officer at National Medical Care. He obtained his Bachelor's Degree in Biomedical Technology - Instruments from King Saud University, and achieved his Master's Degree (MSc) in Medical Physics and Clinical Engineering from Sheffield, United Kingdom. He is an Operations Leader with more than 28 years of working experience in various areas of Operations Services particularly in a healthcare set up. He started is career in the field of Biomedical in King Faisal Specialist Hospital &amp; Research Center (KFSHRC). He eventually upgraded and entrusted a wider responsibility handling an executive role as Chief Operation Officer in King Fahad Medical City (KFMC). Last position he held prior to joining Care as Chief Executive Officer in Spectra Support Services. Under his responsibility are Supply Chain Management Department, Marketing Department, Call Center Department, Biomedical Services Department and Operations Services Department in two hospitals Care Medical Rawabi and Care Medical Malaz, plus handling multiple projects within CARE Company.</t>
  </si>
  <si>
    <t>University of Sheffield, King Saud University</t>
  </si>
  <si>
    <t>ialkhelaifi@care.med.sa</t>
  </si>
  <si>
    <t>342420-49P</t>
  </si>
  <si>
    <t>Jeroen van der Meer</t>
  </si>
  <si>
    <t>van der Meer</t>
  </si>
  <si>
    <t>Jeroen</t>
  </si>
  <si>
    <t>Takween Advanced Industries</t>
  </si>
  <si>
    <t>Mr. Jeroen van der Meer serves as Chief Operating Officer at Takween Advanced Industries. Mr. Jeroen van der Meer serves as Chief Executive Officer at Heesen Yachts (Oss).</t>
  </si>
  <si>
    <t>+966 (0)13 853 4355</t>
  </si>
  <si>
    <t>Al-Khobar, Saudi Arabia</t>
  </si>
  <si>
    <t>P.O. Box 2500</t>
  </si>
  <si>
    <t>Al-Tuwairqi Tower, 2nd Floor, King Fahad Road</t>
  </si>
  <si>
    <t>Al-Khobar</t>
  </si>
  <si>
    <t>Rakkah District</t>
  </si>
  <si>
    <t>+966 (0)13 853 4343</t>
  </si>
  <si>
    <t>327451-06P</t>
  </si>
  <si>
    <t>Jerome Cabannes</t>
  </si>
  <si>
    <t>Cabannes</t>
  </si>
  <si>
    <t>Jerome</t>
  </si>
  <si>
    <t>Mr. Jerome Cabannes serves as Chief Executive Officer at Saudi Pharmaceutical Industries &amp; Medical Appliances. He serves as Chief Operating Officer at AJ Biologics.</t>
  </si>
  <si>
    <t>jerome.cabannes@spimaco.sa</t>
  </si>
  <si>
    <t>328620-79P</t>
  </si>
  <si>
    <t>Jomana Alrashid</t>
  </si>
  <si>
    <t>Alrashid</t>
  </si>
  <si>
    <t>Jomana</t>
  </si>
  <si>
    <t>Rashid</t>
  </si>
  <si>
    <t>Ms.</t>
  </si>
  <si>
    <t>Female</t>
  </si>
  <si>
    <t>Saudi Research and Media Group</t>
  </si>
  <si>
    <t>Ms. Jomana Alrashid serves as Chief Executive Officer at Saudi Research and Marketing Group. She serves as a Board member at King Saud University. She is a Board member and Chief Executive Officer at SRMG, a role she has held since October 2020. She is a seasoned communications and media professional, responsible for steering the region's leading media house through its new transformation strategy, focusing on platform expansion and international partnerships. Prior to joining SRMG, she worked as the London correspondent of Al-Riyadh newspaper and was posted to the Saudi Embassy in London as a senior aide and adviser to the Ambassador, with an emphasis on media relations and head of the Embassy's media department. After a successful tenure in London, she worked in a media advisory role assisting the private and public sectors in Riyadh. She sits on the board of Argaam Investment Company. She holds a bachelor's degree in Politics from SOAS University of London and a master's degree in International Journalism from City University.</t>
  </si>
  <si>
    <t>City University, London</t>
  </si>
  <si>
    <t>+966 (0)11 212 8000</t>
  </si>
  <si>
    <t>jomana@srmg.com</t>
  </si>
  <si>
    <t>PO Box 53108</t>
  </si>
  <si>
    <t>Makkah Road</t>
  </si>
  <si>
    <t>178108-21P</t>
  </si>
  <si>
    <t>Khalid Al Hussan</t>
  </si>
  <si>
    <t>Al Hussan</t>
  </si>
  <si>
    <t>Khalid</t>
  </si>
  <si>
    <t>Saudi Tadawul Group</t>
  </si>
  <si>
    <t>Mr. Khalid Al Hussan serves as Chief Executive Officer &amp; Board Member at Saudi Tadawul Group. He is also a member of the Investment Committee. He also serves as the Chairman of the Saudi Exchange, the Securities Depository Center Company (Edaa), the Securities Clearing Center Company (Muqassa), Wamid, an applied technology services business and the innovation arm of Saudi Tadawul Group and the Arab Federation of Exchanges (AFE). Additionally, he is a board member of the World Federation of Exchanges (WFE) and Tadawul Real Estate Company. He has more than 14 years of capital market and financial sector experience and possesses a wide range of expertise from business development and corporate planning to strategy and operations. Preceding his appointment as CEO of the Group, he was the CEO of The Saudi Stock Exchange (Tadawul) - now known as the Saudi Exchange - for more than 5 years. Throughout his tenure at the Exchange, he has overseen the introduction and implementation of several key development programs, including the Qualified Foreign Investor (QFI) framework, the inclusion of Tadawul in the emerging markets indices, the launch of Nomu and the derivative markets, the development of the fixed income market and the record-setting IPO of Saudi Aramco. Notably and most recently, led the transformation into the Saudi Tadawul Group. Prior to joining the Exchange, he worked in the insurance sector, managing areas of business, marketing and strategy. He is an engineer and holds an MBA from the University of Colorado, where he is also a certified entrepreneur.</t>
  </si>
  <si>
    <t>University of Colorado</t>
  </si>
  <si>
    <t>khalid.alhussan@tadawulgroup.sa</t>
  </si>
  <si>
    <t>6897 King Fahd Road - Al Ulaya</t>
  </si>
  <si>
    <t>Unit Number: 15</t>
  </si>
  <si>
    <t>12211-3388</t>
  </si>
  <si>
    <t>471871-00P</t>
  </si>
  <si>
    <t>Khalid Alghamdi</t>
  </si>
  <si>
    <t>Alghamdi</t>
  </si>
  <si>
    <t>Mr. Khalid Alghamdi serves as Chief Executive Officer at Arab National Bank.</t>
  </si>
  <si>
    <t>282499-03P</t>
  </si>
  <si>
    <t>Loay Nazer</t>
  </si>
  <si>
    <t>Nazer</t>
  </si>
  <si>
    <t>Loay</t>
  </si>
  <si>
    <t>Hisham</t>
  </si>
  <si>
    <t>Mr. Loay Hisham Nazer is the founder and serves as Chairman of the Nazer Group of Companies. He also serves as the Chairman &amp; Board Member at Bupa Arabia. He has a B.S. in Mechanical Engineering from the University of California in Los Angeles (UCLA, 1987) and received his Masters Degree in Business Administration (MBA) from the Anderson Graduate School of Management at UCLA (1989). In June 2005, he was awarded an Honorary Doctorate of Humane Letters from Goodwin College in Connecticut, USA. In 2013, he was invited to join the Board of Visitors of the UCLA Anderson School of Management. He was elected to serve as the Chairman of the International Board of Directors for the year 2006-2007 of the Young Presidents' Organization. In October 2013, he was appointed by the President of the Saudi Arabian Olympic Committee as Chairman of the Saudi Arabian Judo Federation for 3 years and was elected by the Saudi Olympic General Assembly as a Board Member. Then he was elected as Vice-Chairman of the Saudi Olympic Committee. In 2016, he was appointed as Chairman of the Advisory Council of King Abdullah Medical City in Makkah, one of the five medical cities in the Kingdom of Saudi Arabia. He was also appointed by the Public Investment Fund as a Board Member at the National Unified Procurement Company for Medical Supplies "NUPCO" for three years from 1/1/2016. In 2007, he was appointed by the Saudi Council of Ministers as a Board member of the Cooperative Council for Health Insurance. He is the leading negotiator with the various governmental institutions for the development of the insurance industry in the country. He was re-appointed in 2010 to serve a second term of three years as a member of the Board. He lectures regionally on globalization and Principled-Decision making.</t>
  </si>
  <si>
    <t>University of California, Los Angeles (UCLA)</t>
  </si>
  <si>
    <t>342622-27P</t>
  </si>
  <si>
    <t>Majed Abdullah Al Issa</t>
  </si>
  <si>
    <t>Al Issa</t>
  </si>
  <si>
    <t>Majed Abdullah</t>
  </si>
  <si>
    <t>Sadr Logistics</t>
  </si>
  <si>
    <t>Mr. Majed Abdullah Al Issa serves as Chief Executive Officer at Sadr Logistics. Mr. Al Issa serves as Board Member at Saudi Ceramic.</t>
  </si>
  <si>
    <t>+966 (0)11 241 6262</t>
  </si>
  <si>
    <t>Building 04 Alrawakeb Street</t>
  </si>
  <si>
    <t>Anas Bin Malek RD Alyasmeen District</t>
  </si>
  <si>
    <t>326156-59P</t>
  </si>
  <si>
    <t>Majed Al Nasser</t>
  </si>
  <si>
    <t>Al Nasser</t>
  </si>
  <si>
    <t>Majed</t>
  </si>
  <si>
    <t>Bin Abdullah Bin Mohammed</t>
  </si>
  <si>
    <t>Banan Real Estate</t>
  </si>
  <si>
    <t>Mr. Majed Al Nasser serves as Chief Executive Officer at Banan Real Estate.</t>
  </si>
  <si>
    <t>+966 (0)11 480 8085</t>
  </si>
  <si>
    <t>malnasser@bananrealestate.com</t>
  </si>
  <si>
    <t>At Takhassusi Street</t>
  </si>
  <si>
    <t>BD NO 7120</t>
  </si>
  <si>
    <t>+966 (0)11 480 1457</t>
  </si>
  <si>
    <t>317920-78P</t>
  </si>
  <si>
    <t>Majed Nofal</t>
  </si>
  <si>
    <t>Nofal</t>
  </si>
  <si>
    <t>Mazen</t>
  </si>
  <si>
    <t>Mr. Majed Nofal serves as Chief Executive Officer at Takween Advanced Industries. He served as Chief Executive Officer at Western Bakeries. He also serves as Independent Board Member at Milling Company 3.</t>
  </si>
  <si>
    <t>mnofal@takweenai.com</t>
  </si>
  <si>
    <t>326218-78P</t>
  </si>
  <si>
    <t>Mohammed Al Kaoud</t>
  </si>
  <si>
    <t>Al Kaoud</t>
  </si>
  <si>
    <t>Bin Abdulrahman</t>
  </si>
  <si>
    <t>Shatirah House Restaurant</t>
  </si>
  <si>
    <t>Mr. Mohammed Al Kaoud serves as Chief Executive Officer at Shatirah House Restaurant.</t>
  </si>
  <si>
    <t>+966 (0)11 520 0999</t>
  </si>
  <si>
    <t>Post Office Box 7277</t>
  </si>
  <si>
    <t>Aloyaynah Street, Dhahrat Laban</t>
  </si>
  <si>
    <t>12562</t>
  </si>
  <si>
    <t>+966 (0)11 520 0998</t>
  </si>
  <si>
    <t>33621-76P</t>
  </si>
  <si>
    <t>Mohammed Moumena</t>
  </si>
  <si>
    <t>Moumena</t>
  </si>
  <si>
    <t>Edward W. Kelley &amp; Partners</t>
  </si>
  <si>
    <t>Recruiting Firm</t>
  </si>
  <si>
    <t>Co-Founder &amp; Managing Director</t>
  </si>
  <si>
    <t>Mr. Mohammed Moumena is a Co-Founder &amp; serves as Managing Director at Edward W. Kelley &amp; Partners. Mr. Moumena serves as Independent Chairman of the Board at Fad International. He co-founded Edward W Kelley &amp; Partners in the Middle East in December 2006. With over 25 years' work experience, his career comprised the management of a family conglomerate within real estate, hospitality and contracting in Saudi Arabia and the United Kingdom as well as vast experience in the areas of asset management, healthcare, strategy, governance, human capital and investment. In cooperation with Edward W. Kelly and Partners International, Mohammed advanced the Middle Eastern company to offer specialisations such as the restructuring of family businesses, the development of policies and procedures for human capital, the evaluation of executive competencies and compensation, and the design and implementation of leadership development.</t>
  </si>
  <si>
    <t>+966 (0)2 263 5151</t>
  </si>
  <si>
    <t>mohammed.moumena@ewkp.net</t>
  </si>
  <si>
    <t>Office 203 Yaslam Plaza</t>
  </si>
  <si>
    <t>Ibrahim Al-Juffali Street</t>
  </si>
  <si>
    <t>21422</t>
  </si>
  <si>
    <t>+966 (0)2 263 4545</t>
  </si>
  <si>
    <t>443718-10P</t>
  </si>
  <si>
    <t>Mojeeb Althunayan</t>
  </si>
  <si>
    <t>Althunayan</t>
  </si>
  <si>
    <t>Mojeeb</t>
  </si>
  <si>
    <t>Ahmad</t>
  </si>
  <si>
    <t>Middle East Financial Investment</t>
  </si>
  <si>
    <t>Mr. Mojeeb Althunayan serves as Chief Operating Officer at Middle East Financial Investment. Mr. Althunayan has over 28 years of experience in the financial industry, he has successfully transitioned across various roles. Before MEFIC, he was the information technology head of Samba Capital, where he skillfully managed IT systems in perfect alignment with business strategies. Before that, he showcased his adaptability as the investment and private banking relationship manager at Samba Financial Group. His professional journey also includes roles as a Saudi Hollandi Bank business analyst and project manager at the Arab National Bank. He earned his Bachelor's in Computer Science from King Fahd University of Petroleum and Minerals in 1995.</t>
  </si>
  <si>
    <t>+966 (0)11 218 6666</t>
  </si>
  <si>
    <t>malthunayan@mefic.com.sa</t>
  </si>
  <si>
    <t>King Fahad Road, Al Malqa</t>
  </si>
  <si>
    <t>7th Floor, Building 7702</t>
  </si>
  <si>
    <t>13524-4204</t>
  </si>
  <si>
    <t>+966 (0)11 218 6777</t>
  </si>
  <si>
    <t>443456-20P</t>
  </si>
  <si>
    <t>Namir Akabi</t>
  </si>
  <si>
    <t>Akabi</t>
  </si>
  <si>
    <t>Namir</t>
  </si>
  <si>
    <t>El</t>
  </si>
  <si>
    <t>Amwaj International</t>
  </si>
  <si>
    <t>Founder, Chairman &amp; Owner</t>
  </si>
  <si>
    <t>Mr. Namir Akabi is the Founder &amp; Owner and serves as Chairman of Amwaj International.</t>
  </si>
  <si>
    <t>+966 (0)11 215 3405</t>
  </si>
  <si>
    <t>aakabi@amwaj-trd.com</t>
  </si>
  <si>
    <t>Al-Orubah Road</t>
  </si>
  <si>
    <t>Building Number 467, Olaya</t>
  </si>
  <si>
    <t>+966 (0)11 215 3410</t>
  </si>
  <si>
    <t>Email (Update)</t>
  </si>
  <si>
    <t>287876-62P</t>
  </si>
  <si>
    <t>Nayef bin Sultan bin Saud Al Kabir</t>
  </si>
  <si>
    <t>bin Saud Al Kabir</t>
  </si>
  <si>
    <t>Nayef bin Sultan</t>
  </si>
  <si>
    <t>bin Mohammed</t>
  </si>
  <si>
    <t>Arabian Shield Cooperative Insurance</t>
  </si>
  <si>
    <t>Mr. Nayef bin Sultan bin Saud Al Kabir serves as Chairman at Arabian Shield Cooperative Insurance. Mr. bin Saud Al Kabir holds a Bachelor's degree in Business Administration (Marketing) from King Saud University in 1997. He is considered one of the successful entrepreneurs, and has extensive experience in many diverse fields, as His Highness holds a number of leadership positions, including: Chairman of the Board of Directors of Almarai Company, Zain Saudi Arabia, and Sultan Holding Company. He is also Vice Chairman of the Board of Directors of Al Farabi Petrochemical Company, and a member of the Board of Directors of Tajouri Company, Yamama Saudi Cement Company, Kuwait China Investment Company, Tarabut Investment and Development Company, Al Mithali Factory for Sweets and Pastries Company, Al Nafoura Food Supplies Company, Dar Al Silal Factory Company, and Al Diplomacy Sweets and Pastries Company</t>
  </si>
  <si>
    <t>+966 (0)1 250 5400</t>
  </si>
  <si>
    <t>P.O. Box 61352</t>
  </si>
  <si>
    <t>Number 15 Cercon Building, 3rd Floor, Olaya Main Road</t>
  </si>
  <si>
    <t>11565</t>
  </si>
  <si>
    <t>+966 (0)1 463 1294</t>
  </si>
  <si>
    <t>295038-01P</t>
  </si>
  <si>
    <t>Patrick Stillhart</t>
  </si>
  <si>
    <t>Stillhart</t>
  </si>
  <si>
    <t>Patrick</t>
  </si>
  <si>
    <t>Saudia Dairy &amp; Foodstuff</t>
  </si>
  <si>
    <t>Mr. Patrick Stillhart serves as Chief Executive Officer at Saudia Dairy &amp; Foodstuff. He serves as Chairman at Mlekoma. Patrick joined SADAFCO as its Chief Executive Officer in November 1, 2021. He holds Master of Business Administration degree, with major in Marketing, from the University of St. Gallen in Switzerland. He has completed various Executive Leadership programs in Marketing, Sales, Leadership, Innovation, Digital, and Artificial Intelligence &amp; Machine Learning (AI&amp;ML) at several renowned business schools. His international career expands more than 23 years in the FMCG industry; 20+ years with Nestlé and 3+ years with DKSH. Besides Switzerland, Patrick has lived and worked in UAE, Malaysia, Indonesia and Singapore. Proven track record in implementation of commercial strategies, entering new markets and develop/create operational excellence to deliver strategic objectives and transform organizations. A team-player with strong executive presence, capable of inspiring and developing teams and creating an environment of trust, respect and excellence to deliver results beyond expectations. Delivered strong results in challenging environments for complex businesses with revenues close to 2Bln USD.</t>
  </si>
  <si>
    <t>University of St. Gallen</t>
  </si>
  <si>
    <t>pstillhart@sadafco.com</t>
  </si>
  <si>
    <t>S.S.C. Building, Ibrahim Al Malki Street, Al Nakheel District</t>
  </si>
  <si>
    <t>PO Box 5043</t>
  </si>
  <si>
    <t>Makkah</t>
  </si>
  <si>
    <t>331402-33P</t>
  </si>
  <si>
    <t>Raed Al-ldrissi</t>
  </si>
  <si>
    <t>Al-ldrissi</t>
  </si>
  <si>
    <t>Raed</t>
  </si>
  <si>
    <t>Saudi Ground Services Company</t>
  </si>
  <si>
    <t>Mr. Raed Al-ldrissi serves as Chief Executive Officer at Saudi Ground Services Company. He serves as Chairman at TLD Arabia Equipment Services. Prior to joining SGS, Raed started his career in operations with Saudi Aramco back in 2001, serving various roles in the company and making major contributions everywhere he lands; most significantly, achieving a record cost avoidance of almost 1b SAR. In 2016, he became the Chief of Ground Services Operations, which he served in until 2019. In his latest role at Aramco, Raed led multiple successful projects; including utilizing technology to rehabilitate the Shaybah Runway, obtaining the International Standard for Business Aircraft Handling (ISBAH) Certificate for eleven Aramco stations, and remarkably improving the operational processes resulting in better turnaround performance reaching 97% in on-time performance. Raed is an alumnus of King Fahad University of Petroleum and Minerals, holding an Executive MBA and a Bachelor's degree in Industrial Management.</t>
  </si>
  <si>
    <t>+966 (0)2 690 9999</t>
  </si>
  <si>
    <t>ralldrissi@saudiags.com</t>
  </si>
  <si>
    <t>6649 King Abdul Aziz Road</t>
  </si>
  <si>
    <t>Al Basatin Dist. Unit No 3</t>
  </si>
  <si>
    <t>+966 (0)12 690 9866</t>
  </si>
  <si>
    <t>395386-21P</t>
  </si>
  <si>
    <t>Rania Al Turki Ph.D</t>
  </si>
  <si>
    <t>Al Turki</t>
  </si>
  <si>
    <t>Rania</t>
  </si>
  <si>
    <t>Sami</t>
  </si>
  <si>
    <t>Ms. Rania Al Turki serves as Chief Operating Officer at The Company for Cooperative Insurance. Mr. Al Turki serves as a Board Member at Najm Insurance Services. has served as Executive Vice President at Saudi Airlines Group, a governmental company engaging in the aviation field since 2021. She serves as Chief Operating Officer at The Company for Cooperative Insurance (formerly known as National Company for Cooperative Insurance) since February 24, 2020. She has served as Director at SEDCO Capital, a Saudi joint stock company engaging in the field of investments since 2018. Since 2018, she has served as Director at Makkah Healthcare Cluster, a governmental company engaging in the field of healthcare management. From 2020 to 2021, she served as Chief Operating Officer at Tawuniya Insurance Company, a joint stock company engaging in the insurance sector. From 2017 to 2020, she served as Head of Human Resources and Transformation at Panda Retail Company, a closed joint stock company engaging in the field of retail. From 2015 to 2017, she served as Head of Human Resources at Savola Group, a joint stock company engaging in the field of retail. From 2007 to 2015, she served as Senior Vice President at the National Commercial Bank, a joint stock company engaging in the field of banking and investment. She holds a Bachelor's Degree in Computer Science from Indiana State University, United States in 2001. She holds a Master's Degree in Computer Science from George Washington University, United States in 2004. She holds a PhD Degree in Information Technology from George Mason University, United States in 2007. She earned a Certificate in Emerging Leadership from London Business School, United Kingdom in 2014.</t>
  </si>
  <si>
    <t>London Business School, George Washington University</t>
  </si>
  <si>
    <t>342067-33P</t>
  </si>
  <si>
    <t>Saad Al-Sadhan</t>
  </si>
  <si>
    <t>ABDULRAHMAN</t>
  </si>
  <si>
    <t>Mr. Saad Al-Sadhan serves as Chief Executive Officer at Zain Saudi Arabia. He served as Chief Business and Wholesale Officer at Zain Saudi Arabia. In this role, he is responsible for Zain KSA's wholesale business and the end-to-end management of its carrier customers and suppliers globally. He improves the company's network capabilities through strategic investments to continually meet both retail and wholesale demand. As a substantial contribution to Zain, he played a key role in launching Zain Cloud, which is based in the Kingdom to enhance the capabilities of the business sector, to achieve big data capacity, and to process it quickly with enhanced responsiveness. He joined Zain KSA in July 2016 as Wholesale Senior Director. He previously served as the Executive General Manager within the Wholesale Commercial Department at major telecom companies in the Kingdom. Prior to that, he served as a Communication Engineer at Ericsson. He has 19 years of experience in the telecommunications industry and holds a Bachelor's degree in Electrical Engineering from King Fahd University of Petroleum and Minerals (KFUPM), and a general management program certificate from Institut Européen d'Administration des Affaires "INSEAD".</t>
  </si>
  <si>
    <t>saad.alsadhan@sa.zain.com</t>
  </si>
  <si>
    <t>193792-33P</t>
  </si>
  <si>
    <t>Sabih Masri</t>
  </si>
  <si>
    <t>Masri</t>
  </si>
  <si>
    <t>Sabih</t>
  </si>
  <si>
    <t>Taher</t>
  </si>
  <si>
    <t>Astra Industrial Group</t>
  </si>
  <si>
    <t>Mr. Sabih Masri is the Chairman at Arab Bank.</t>
  </si>
  <si>
    <t>+966 (0)11 475 2002</t>
  </si>
  <si>
    <t>PO Box 1560</t>
  </si>
  <si>
    <t>11441</t>
  </si>
  <si>
    <t>+966 (0)11 475 2001</t>
  </si>
  <si>
    <t>273862-18P</t>
  </si>
  <si>
    <t>Saeed Al-Ghamdi</t>
  </si>
  <si>
    <t>Al-Ghamdi</t>
  </si>
  <si>
    <t>Saeed</t>
  </si>
  <si>
    <t>Jabal Omar Development</t>
  </si>
  <si>
    <t>Mr. Saeed Mohammed Al-Ghamdi, Current Positions, Memberships:Saudi National Bank (SNB AlAhli) Board Chairman, Executive Committee Member ; Mohammed bin Salman Foundation (MISK) Board Member, Executive Committee Member, Nomination and Remuneration Committee Chairman; Jabal Omar Development Co. (JODC) Board Chairman, Nomination and Remuneration Committee; Mohammed Bin Salman Nonprofit City (MiSK City) Board Member; SNK Company Board Member. Previous Positions, Experiences, and Memberships: Simah Saudi Credit Bureau Board Chairman; Second Health Cluster Board Chairman; Real Estate General Authority (REGA) Board Member; Institute of International Finance (IIF) Board Member; Mastercard, Middle East and Africa, Regional Advisory Council (RAC) Member; Alrajhi Bank Deputy CEO; Alrajhi Bank - Malaysia Board Member; Alrajhi Capital Board Member; Al Rajhi Takaful Board Member; Turkiye Finans Katilim Bankasi Board Chairman, Executive Committee Chairman; National Commercial Bank CEO; National Commercial Bank Board Chairman; SNB Capital Company Board Chairman; Saudi National Bank (SNB AlAhli) Managing Director, CEO. Qualifications: Bachelor's Degree, Computer Engineering.</t>
  </si>
  <si>
    <t>+966 (0)12 601 7180</t>
  </si>
  <si>
    <t>s.alghamdi@alahli.com</t>
  </si>
  <si>
    <t>Trio Boulevard, 3rd Floor</t>
  </si>
  <si>
    <t>Ash Shati District</t>
  </si>
  <si>
    <t>92381-77P</t>
  </si>
  <si>
    <t>Saeid Mohammed Binzagr</t>
  </si>
  <si>
    <t>Mohammed Binzagr</t>
  </si>
  <si>
    <t>Saeid</t>
  </si>
  <si>
    <t>Board Member &amp; Chairman of the Board Investment Committee</t>
  </si>
  <si>
    <t>Mr. Saeid Mohammed Binzagr serves as Board Member &amp; Chairman of the Board Investment Committee at Alkhabeer Capital. Mr. Mohammed Binzagr is an Angel Investor. Mr. Mohammed Binzagr has over 24 years' experience in commerce and industry. He is Honorary Consul of the Republic of Finland, the President and Chief Operating Officer of Abdullah &amp; Said M.O. Binzagr Company Limited whose main joint ventures include Binzagr Unilever Limited and Binzagr Co-Ro Limited, Co-President of Binzagr Factory for Insulation Materials, Board member of Said M.O. Binzagr &amp; Partners Company Limited, Board Member of Binzagr Unilever Distribution Company Limited and founder of Diyar Al-Khayyal. He holds a Bachelor of Science degree from Linfield College, Oregon, USA.</t>
  </si>
  <si>
    <t>Linfield College</t>
  </si>
  <si>
    <t>349615-18P</t>
  </si>
  <si>
    <t>Saud Kamakhi</t>
  </si>
  <si>
    <t>Kamakhi</t>
  </si>
  <si>
    <t>Saud</t>
  </si>
  <si>
    <t>Mr. Saud Kamakhi serves as Chief Financial Officer at Saudi Aramco Base Oil Company. He serves as Chief Financial Officer at CNTXT. He served as Controller - Finance Representative at Amiral Project, Account Payable Division Head (A), Supervisor, Supervisor, Services Accounting Unit - Payable Accounting, Accounting Analyst III - Accounting Policies and Systems Department and Accounting Analyst IIII - Payroll Division at aramco. He eraned BS in Accounting (Accounting) (2002-2006) and MBA (Accounting) from Willamette University (2010-2012).</t>
  </si>
  <si>
    <t>Willamette University, Salem</t>
  </si>
  <si>
    <t>317663-11P</t>
  </si>
  <si>
    <t>Sharjeel Aslam</t>
  </si>
  <si>
    <t>Aslam</t>
  </si>
  <si>
    <t>Sharjeel</t>
  </si>
  <si>
    <t>Miahona</t>
  </si>
  <si>
    <t>Mr. M. Aslam serves as Chief Financial Officer at Miahona. Mr. Sharjeel Aslam serves as Chief Financial Officer at Vision Invest. Mr. Aslam has been associated with Riyadh Water Production Company - RWPC since March 2018, serving as a Board Member for over 6 years.1 His role at Miahona as CFO also began around the same time, suggesting he has been instrumental in shaping the financial strategies of these water-related companies in Saudi Arabia. M. Sharjeel Aslam is a Fellow Chartered Accountant (FCA)1, indicating he has achieved the highest level of professional qualification in accounting. His expertise lies in finance, accounting, strategic financial management, and general management.</t>
  </si>
  <si>
    <t>+966 (0)11 296 0560</t>
  </si>
  <si>
    <t>Post Office Box 6709</t>
  </si>
  <si>
    <t>13316-8580</t>
  </si>
  <si>
    <t>+966 (0)11 470 1958</t>
  </si>
  <si>
    <t>332078-23P</t>
  </si>
  <si>
    <t>Stefan Verlee</t>
  </si>
  <si>
    <t>Verlee</t>
  </si>
  <si>
    <t>Stefan</t>
  </si>
  <si>
    <t>First National Operation &amp; Maintenance Company</t>
  </si>
  <si>
    <t>Chief Executive Officer &amp; President</t>
  </si>
  <si>
    <t>Mr. Stefan Verlee serves as Chief Executive Officer &amp; President at First National Operation &amp; Maintenance Company. Mr. Verlee also serves as Chief Operating Officer at ACWA Power. He was appointed President and Chief Executive Officer of First National Operations and Maintenance Company (NOMAC) in July 2022. A professional engineer with over 25 years' experience in operation and maintenance, he previously served as Executive Vice President of NOMAC, leading the expansion of the international business since 2017 in providing safe, reliable, and cost-effective power and water to the communities we operate in while being fully engaged in the energy transition. Prior to joining NOMAC, he worked with Engie, a leading energy company focused on energy transition, electricity and water generation, distribution, and services. He oversaw the operation and maintenance activities of large-scale power and water projects in various continents, most recently as Chief Operating Officer of ENGIE Power and Water Middle East. He holds a master's degree in electro-mechanical engineering from the University of Leuven (Belgium) and an MBA in European Utility Management from Jacobs University of Bremen (Germany).</t>
  </si>
  <si>
    <t>+966 (0)12 618 9000</t>
  </si>
  <si>
    <t>stefan.verlee@nomac.com</t>
  </si>
  <si>
    <t>Al Shatei District 6, King Abdullaziz Road, 7368 Karam Allah Business Center</t>
  </si>
  <si>
    <t>PO Box 8337</t>
  </si>
  <si>
    <t>21482</t>
  </si>
  <si>
    <t>436632-85P</t>
  </si>
  <si>
    <t>Suleiman Al-Tuwaijri</t>
  </si>
  <si>
    <t>Al-Tuwaijri</t>
  </si>
  <si>
    <t>Suleiman</t>
  </si>
  <si>
    <t>Bin Abdulaziz</t>
  </si>
  <si>
    <t>National Agriculture Development</t>
  </si>
  <si>
    <t>Dr. Suleiman Al-Tuwaijri serves as Chief Executive Officer at National Agriculture Development.</t>
  </si>
  <si>
    <t>+966 (0)11 202 7777</t>
  </si>
  <si>
    <t>saituwaijri@nadec.com</t>
  </si>
  <si>
    <t>Building No. 7049, Sub No. 2467 Prince Abdulrahman Bin Abdulaziz Road</t>
  </si>
  <si>
    <t>Al Murabba District PO Box 2557</t>
  </si>
  <si>
    <t>11461</t>
  </si>
  <si>
    <t>193542-67P</t>
  </si>
  <si>
    <t>Taha AlKuwaiz</t>
  </si>
  <si>
    <t>AlKuwaiz</t>
  </si>
  <si>
    <t>Taha</t>
  </si>
  <si>
    <t>D360 Bank</t>
  </si>
  <si>
    <t>Mr. Taha AlKuwaiz is a Co-Founder and serves as Chairman at Derayah Financial. Mr. AlKuwaiz played a pivotal role in the company creation. During his career, he gained extensive knowledge in the financial field. He was formerly the Chairman of AlJazerah Bank and the Chairman of The Saudi Stock exchange. Previously, he has worked as the CEO of NCB, the largest financial institution in the Arab World and was a former Director of Banking Technology at Saudi Arabian Monetary Agency. Mr. AlKwaiz is a member of the Board of Directors of Saudi Telecom Company and he was a former BOD member of Saudi Kayan Petrochemical Company Sanabil Company. Taha holds a bachelor's degree in Computer Science from King Fahad University for Petroleum and Minerals - Dhahran, Saudi Arabia 1984. He attended programs such as program for Management Development, Harvard University and Stanford Executive Program, Stanford University.</t>
  </si>
  <si>
    <t>Harvard University, Stanford University</t>
  </si>
  <si>
    <t>taha@d360.com</t>
  </si>
  <si>
    <t>7913 King Abdulaziz Road</t>
  </si>
  <si>
    <t>2122 Al Arid District</t>
  </si>
  <si>
    <t>13332</t>
  </si>
  <si>
    <t>286558-57P</t>
  </si>
  <si>
    <t>Taha Azhari</t>
  </si>
  <si>
    <t>Azhari</t>
  </si>
  <si>
    <t>Mohammed Abdul Wahid</t>
  </si>
  <si>
    <t>Zahrat Al Waha</t>
  </si>
  <si>
    <t>Deputy Chairman of Board of Directors, Chairman of Audit committee &amp; Chairman of Nominations and Remunerations committee</t>
  </si>
  <si>
    <t>Mr. Taha Azhari serves as Deputy Chairman of the Board of Directors, Chairman of the Audit Committee &amp; Chairman of the Nominations and Remunerations Committee at Zahrat Al Waha. He serves as a Board Member at Raqamyah. For over 25 years, he has been a notable leader in the banking, finance, retail, and semi-governmental sectors. He has worked as the Chief Financial Officer at the Matarat Holding Co., where he successfully set up the finance department, developed policies and procedures, led the Asset Valuation project (Valued SAR 10 BN), and rolled out the project of Oracle ERP. As Chief Financial Officer of the National Water Company, he led the transformation from governmental to commercial accounting, managed the acquisition of 4 business units, increased the size of investment by 50%, increased annual revenues by 60%, and consolidated the collection of debt by 68% in three years. He has worked as an internal auditor in Samba Financial Group for the period from 1995 to 2001. He is a board member and the audit committee chairman at Saudi Transport &amp;amp; Investment Company (BATIC) and Ahrat Alwaha Co, a risk committee member at Arabian Shield Insurance Co. He holds a bachelor's degree in Science in Accounting (1993) from King Saud University and an Executive Program from The University of North Carolina.</t>
  </si>
  <si>
    <t>University of North Carolina, Chapel Hill</t>
  </si>
  <si>
    <t>+966 (0)92 002 1203</t>
  </si>
  <si>
    <t>Building 7449 Unit No. 1</t>
  </si>
  <si>
    <t>Al Rabwa District, Al Ahsa Street PO Box 2980</t>
  </si>
  <si>
    <t>12814</t>
  </si>
  <si>
    <t>+966 (0)11 478 1432</t>
  </si>
  <si>
    <t>58292-11P</t>
  </si>
  <si>
    <t>Tal Nazer</t>
  </si>
  <si>
    <t>Tal</t>
  </si>
  <si>
    <t>Mr. Tal Nazer serves as Chief Executive Officer and Board Member at Bupa Arabia. He is a Co-Founder of Cool. He is a Board member on various companies and committees. He is the Vice Chairman of the Nazer Group a Board member of Nawah Healthcare, a member of the Saudi Arabia Monetary Agency (SAMA)'s Insurance General Committee, and a member of SAMA's Insurance Executive Committee. Mr. Nazer is also a member of the Young Presidents Organization (YPO) and a member of Young Global Leaders (YGL). He joined Choate's Board in New York in 2014. Mr. Nazer holds an MBA from The Wharton School, Pennsylvania, USA (in Finance and Buyouts, completed in 2001) and a BA in Economics from the University of California at Los Angeles (completed in 1996).</t>
  </si>
  <si>
    <t>University of Pennsylvania (Wharton), University of California, Los Angeles (UCLA)</t>
  </si>
  <si>
    <t>tal.nazer@bupa.com.sa</t>
  </si>
  <si>
    <t>292321-09P</t>
  </si>
  <si>
    <t>Tarek Alkasabi</t>
  </si>
  <si>
    <t>Alkasabi</t>
  </si>
  <si>
    <t>Tarek</t>
  </si>
  <si>
    <t>AlJazira Capital</t>
  </si>
  <si>
    <t>Investment Bank</t>
  </si>
  <si>
    <t>Chairman of the Board of Directors</t>
  </si>
  <si>
    <t>Mr. Tarek Alkasabi serves as Chairman of the Board of Directors at AlJazira Capital. Mr. Tarek Alkasabi serves as Chairman at Ataa Educational Company. He has vast experience in the financial, investment, health, industrial and construction sectors.</t>
  </si>
  <si>
    <t>+966 (0)11 225 6000</t>
  </si>
  <si>
    <t>t.alkasabi@aljaziracapital.com.sa</t>
  </si>
  <si>
    <t>King Fahad Road</t>
  </si>
  <si>
    <t>Post Office Box 20438</t>
  </si>
  <si>
    <t>296080-93P</t>
  </si>
  <si>
    <t>Tony Cripps</t>
  </si>
  <si>
    <t>Cripps</t>
  </si>
  <si>
    <t>Tony</t>
  </si>
  <si>
    <t>Saudi Awwal Bank</t>
  </si>
  <si>
    <t>Mr. Tony Cripps serves as Managing Director and Chief Executive Officer at Saudi British Bank. He also serves as a Board Member at SAB Invest. He was the Chief Executive Officer of HSBC Singapore, the leading international bank in Singapore, supporting retail, business, corporate, and institutional banking customers through its network of local branches and offices. He has worked in banking for more than 30 years, with management roles in institutional banking, treasury, trading and sales businesses, transaction banking, information technology, and operations. He was appointed to the Board of HSBC Singapore in 2016. He was also appointed as HSBC Group General Manager in 2016, before he joined SAB as the Managing Director &amp; CEO in May 2021.</t>
  </si>
  <si>
    <t>tonycripps@sabb.com</t>
  </si>
  <si>
    <t>7383 King Fahad Branch Road</t>
  </si>
  <si>
    <t>2338 Al Yasmeen District</t>
  </si>
  <si>
    <t>13325</t>
  </si>
  <si>
    <t>+966 (0)11 405 0677</t>
  </si>
  <si>
    <t>179521-48P</t>
  </si>
  <si>
    <t>Waleed Al-Ibrahim</t>
  </si>
  <si>
    <t>Al-Ibrahim</t>
  </si>
  <si>
    <t>Waleed</t>
  </si>
  <si>
    <t>MBC Group (Media Company)</t>
  </si>
  <si>
    <t>Founder, Co-Owner &amp; Chairman</t>
  </si>
  <si>
    <t>Mr. Waleed Al-Ibrahim is the Founder, Co-Owner and serves as Chairman at MBC Group.</t>
  </si>
  <si>
    <t>+966 (0)11 268 4444</t>
  </si>
  <si>
    <t>waleed.alibrahim@mbc.net</t>
  </si>
  <si>
    <t>3237 Riyadh, Abu al-Qasim al-Majriti</t>
  </si>
  <si>
    <t>Al Safarat District, 6501</t>
  </si>
  <si>
    <t>12511</t>
  </si>
  <si>
    <t>+966 (0)11 444 0066</t>
  </si>
  <si>
    <t>324273-61P</t>
  </si>
  <si>
    <t>Yasser Alhedaithy</t>
  </si>
  <si>
    <t>Alhedaithy</t>
  </si>
  <si>
    <t>Yasser</t>
  </si>
  <si>
    <t>Managing Director and Chief Executive Officer</t>
  </si>
  <si>
    <t>Mr. Yasser Alhedaithy serves as Managing Director and Chief Executive Officer at Middle East Financial Investment. He has over 30 years of Finance &amp; Banking experience. He served as a Board Member, ExCom Member, and Investment Committee Member at MEFIC Capital since June 2021, before taking his post as Managing Director and CEO of MEFIC Capital in July 2024. He started his career at Samba Finance Group back in 1994, and by 2008, he was Head of Trading &amp; Derivatives at Samba Treasury Group. He also served as a Treasurer for the Arab National Bank and Al Jazeera Bank Treasury Groups. He did advisory work for Saudi quasi-government entities and was also responsible for his Family Office investments. This has gained him further exposure to other asset classes as well as seed capital in angel investing and private business management. With a broad financial knowledge, investment experience, and strong analytical skills, he can identify potential value, which makes him effective in investment and strategy decisions. He holds a bachelor's degree in accounting from King Saud University.</t>
  </si>
  <si>
    <t>alhedaithy@mefic.com.sa</t>
  </si>
  <si>
    <t>400583-80P</t>
  </si>
  <si>
    <t>Aamer Alireza</t>
  </si>
  <si>
    <t>Alireza</t>
  </si>
  <si>
    <t>Aamer</t>
  </si>
  <si>
    <t>Sustained Infrastructure Holding Company</t>
  </si>
  <si>
    <t>Mr. Aamer Alireza serves as Chairman of the Board at Sustained Infrastructure Holding Company.</t>
  </si>
  <si>
    <t>+966 (0)12 661 9500</t>
  </si>
  <si>
    <t>aamer.alireza@sisco.com.sa</t>
  </si>
  <si>
    <t>Hira Street, King Abdulaziz Road</t>
  </si>
  <si>
    <t>Az Zahra District, PO Box 14221</t>
  </si>
  <si>
    <t>23522</t>
  </si>
  <si>
    <t>303195-61P</t>
  </si>
  <si>
    <t>AbdalFattah Mohammad AbdalFattah AbdalRahim</t>
  </si>
  <si>
    <t>AbdalFattah AbdalRahim</t>
  </si>
  <si>
    <t>AbdalFattah Mohammad</t>
  </si>
  <si>
    <t>Natural Gas Dist</t>
  </si>
  <si>
    <t>Mr. AbdalFattah Mohammad AbdalFattah AbdalRahim serves as Chief Financial Officer at Natural Gas Dist.</t>
  </si>
  <si>
    <t>Cairo University</t>
  </si>
  <si>
    <t>Al-Kharj Road</t>
  </si>
  <si>
    <t>Second Industrial City</t>
  </si>
  <si>
    <t>331338-70P</t>
  </si>
  <si>
    <t>Abdel Bdeir</t>
  </si>
  <si>
    <t>Bdeir</t>
  </si>
  <si>
    <t>Abdel</t>
  </si>
  <si>
    <t>Salam</t>
  </si>
  <si>
    <t>Saudi Company For Hardware</t>
  </si>
  <si>
    <t>Mr. Abdel Bdeir serves as Chief Executive Officer at Saudi Company For Hardware.</t>
  </si>
  <si>
    <t>+966 (0)11 463 6677</t>
  </si>
  <si>
    <t>abdeir@saco.sa</t>
  </si>
  <si>
    <t>Talal Abou Ghazalah Building, 1st &amp; 3rd Floor</t>
  </si>
  <si>
    <t>King Fahad road</t>
  </si>
  <si>
    <t>11622</t>
  </si>
  <si>
    <t>+966 (0)11 465 7933</t>
  </si>
  <si>
    <t>320488-39P</t>
  </si>
  <si>
    <t>Abdelellah Alkhereiji</t>
  </si>
  <si>
    <t>Alkhereiji</t>
  </si>
  <si>
    <t>Abdelellah</t>
  </si>
  <si>
    <t>AlArabia</t>
  </si>
  <si>
    <t>Mr. Abdelellah Abdulrahman Alkhereiji, Chairman of the Board. General Manager of ALK- +(5(,-, &amp;RQVXOWLQJ 2?FH and ALKHEREIJI Soil Analysis Lab - a sole Saudi institution operating in the engineering and professional sector (199General Manager of Raweyah Printing press - (1985 G - 2006 G) General Manager of Arabian Contracting Services Co - (1984 G - 2006 G) General Manager of Road Advertising Agency for Advertising - Branch of Beit Al Khabrah Trading and Contracting Company operating in the advertising sector (1992 G - 2014 G) General Manager of the Elegant Hotels Company - (2008 G - 2009 G) General Manager of Beit Al Khabrah Trading and Contracting Company - (1990 G - 1995 G) CEO and Managing Director of the Arabian Contracting Services Co - (2010 G - 2015 G) . Holds a Bachelor's degree in Architectural Engineering from Cairo University - Egypt in 1977 G.</t>
  </si>
  <si>
    <t>+966 (0)92 003 3343</t>
  </si>
  <si>
    <t>Olaya Towers</t>
  </si>
  <si>
    <t>Tower B, Floor 33 P.O.Box 55905</t>
  </si>
  <si>
    <t>11544</t>
  </si>
  <si>
    <t>364781-62P</t>
  </si>
  <si>
    <t>Abdelhalim Abdalla</t>
  </si>
  <si>
    <t>Abdalla</t>
  </si>
  <si>
    <t>Abdelhalim</t>
  </si>
  <si>
    <t>Ahmed Nour Abdelhalim</t>
  </si>
  <si>
    <t>Munawla Cargo</t>
  </si>
  <si>
    <t>Mr. Abdelhalim Abdalla serves as Chief Financial Officer at Munawla Cargo.</t>
  </si>
  <si>
    <t>+966 (0)13 834 1655</t>
  </si>
  <si>
    <t>King Khalid Street</t>
  </si>
  <si>
    <t>Near Passport office, PO Box 4180</t>
  </si>
  <si>
    <t>31491</t>
  </si>
  <si>
    <t>+966 (0)13 832 0366</t>
  </si>
  <si>
    <t>409747-42P</t>
  </si>
  <si>
    <t>Abdelkhalig Babkeir</t>
  </si>
  <si>
    <t>Babkeir</t>
  </si>
  <si>
    <t>Abdelkhalig</t>
  </si>
  <si>
    <t>Saudi Vitrified Clay Pipes</t>
  </si>
  <si>
    <t>Mr. Abdelkhalig Babkeir serves as Chief Financial Officer at Saudi Vitrified Clay Pipes.</t>
  </si>
  <si>
    <t>+966 (0)11 476 9192</t>
  </si>
  <si>
    <t>P.O.Box 6415</t>
  </si>
  <si>
    <t>11442</t>
  </si>
  <si>
    <t>+966 (0)11 478 2458</t>
  </si>
  <si>
    <t>341113-87P</t>
  </si>
  <si>
    <t>Abdul Abdullah Al-Duraibi</t>
  </si>
  <si>
    <t>Abdullah Al-Duraibi</t>
  </si>
  <si>
    <t>Salam bin</t>
  </si>
  <si>
    <t>Najran Cement</t>
  </si>
  <si>
    <t>Mr. Abdul Abdullah Al-Duraibi serves as Chief Executive Officer at Najran Cement.</t>
  </si>
  <si>
    <t>+966 (0)17 529 9990</t>
  </si>
  <si>
    <t>a.duraibi@najrancement.com</t>
  </si>
  <si>
    <t>Najran, Saudi Arabia</t>
  </si>
  <si>
    <t>Post Office Box 1006</t>
  </si>
  <si>
    <t>Head Office King Saud Road</t>
  </si>
  <si>
    <t>Najran</t>
  </si>
  <si>
    <t>66256-3579</t>
  </si>
  <si>
    <t>+966 (0)17 529 9991</t>
  </si>
  <si>
    <t>326041-93P</t>
  </si>
  <si>
    <t>Abdul Almushekih</t>
  </si>
  <si>
    <t>Almushekih</t>
  </si>
  <si>
    <t>Kader Abdullah</t>
  </si>
  <si>
    <t>Alwasail Industrial</t>
  </si>
  <si>
    <t>Mr. Abdul Almushekih serves as Chief Executive Officer &amp; Board Member at Alwasail Industrial. Mr. Almushekih holds a Bachelor's degree in Business Administration from Qassim University.</t>
  </si>
  <si>
    <t>+966 (0)92 002 7777</t>
  </si>
  <si>
    <t>Buraydah, Saudi Arabia</t>
  </si>
  <si>
    <t>3806 Ar Riyadh-Al Qassim</t>
  </si>
  <si>
    <t>Al Madinah Expressway</t>
  </si>
  <si>
    <t>Buraydah</t>
  </si>
  <si>
    <t>81452</t>
  </si>
  <si>
    <t>442809-28P</t>
  </si>
  <si>
    <t>Abdul Ghani</t>
  </si>
  <si>
    <t>Ghani</t>
  </si>
  <si>
    <t>United Carton Industries Company</t>
  </si>
  <si>
    <t>Chief Financial Officer &amp; Senior Vice President of Finance</t>
  </si>
  <si>
    <t>Mr. Abdul Ghani serves as Chief Financial Officer &amp; Senior Vice President of Finance at United Carton Industries Company.</t>
  </si>
  <si>
    <t>+966 (0)12 224 4100</t>
  </si>
  <si>
    <t>Post Box 31503</t>
  </si>
  <si>
    <t>Industrial Area Phase 5</t>
  </si>
  <si>
    <t>21418</t>
  </si>
  <si>
    <t>329569-75P</t>
  </si>
  <si>
    <t>Abdul Rahman bin Mohammed Al-Omran</t>
  </si>
  <si>
    <t>bin Mohammed Al-Omran</t>
  </si>
  <si>
    <t>Abdul Rahman</t>
  </si>
  <si>
    <t>Al-Omran Industrial Trading</t>
  </si>
  <si>
    <t>Chief Executive Officer, Managing Director &amp; Board Member</t>
  </si>
  <si>
    <t>Mr. Abdul Rahman bin Mohammed Al-Omran serves as Chief Executive Officer, Managing Director &amp; Board Member at Al-Omran Industrial.</t>
  </si>
  <si>
    <t>+966 (0)92 000 0332</t>
  </si>
  <si>
    <t>King Abdulaziz Road</t>
  </si>
  <si>
    <t>Al-Rabi'</t>
  </si>
  <si>
    <t>11511</t>
  </si>
  <si>
    <t>+966 (0)11 265 1862</t>
  </si>
  <si>
    <t>329040-73P</t>
  </si>
  <si>
    <t>Abdul Rahman bin Mohammed Al-Rashed</t>
  </si>
  <si>
    <t>bin Mohammed Al-Rashed</t>
  </si>
  <si>
    <t>Alahli REIT</t>
  </si>
  <si>
    <t>Mr. Abdul Rahman bin Mohammed Al-Rashed serves as Chairman of the Board of Directors at Alahli REIT. Mr. bin Mohammed Al-Rashed enjoys a long-term expertise in capital markets. He participated in establishing the Capital Market Authority, by taking the lead in enhancing and restructuring the CMA strategy. Earlier in his career, AlRashid worked at Saudi Arabian Monetary Agency SAMA as the head of Listed Equity Monitory Department, which gave birth to the idea of establishing CMA, where he occupied several positions, till he was appointed as the Vice Chairman of the Capital Market Authority (2009 - 2016). Mr. Abdulrahman sits on the Board of a number of companies and committees in the field of Real Estate development and investment, including Chairman of Tadawul Real Estate, Vice Chairman of Umm Al-Qura Company, Board Member of Aqarat Real Estate Development Company, as well as a member of the Constitutional Committee of the Real Estate General Authority. In addition, he has worked as a part-time consultant to the Ministry of Housing. He holds a bachelor's degree in Business Administrationfrom King Saud University.</t>
  </si>
  <si>
    <t>+966 (0)92 000 0232</t>
  </si>
  <si>
    <t>King Saud Road</t>
  </si>
  <si>
    <t>NCB Regional Building P.O. Box 22216</t>
  </si>
  <si>
    <t>11495</t>
  </si>
  <si>
    <t>399617-74P</t>
  </si>
  <si>
    <t>Abdul Subhi</t>
  </si>
  <si>
    <t>Subhi</t>
  </si>
  <si>
    <t>Aziz</t>
  </si>
  <si>
    <t>Al Ashghal Almoysra</t>
  </si>
  <si>
    <t>Mr. Abdul Sobhi serves as Chief Executive Officer &amp; Managing Director at Al Ashghal Almoysra. He obtained a Professional Project Management (PMP) certificate from the Al Khabeer Institute in the Kingdom of Saudi Arabia in 2023 AD. He obtained a doctorate degree in Sharia and Islamic studies from King Abdulaziz University (Kingdom of Saudi Arabia) in 2020 AD. He holds a master's degree in the Qur'an and its sciences from Qassim University (Kingdom of Saudi Arabia) in 2012 AD.
He holds a Bachelor's degree in Qur'anic Studies from Al-Jout University (Kingdom of Saudi Arabia) in 2008 AD.</t>
  </si>
  <si>
    <t>+966 (0)14 625 8828</t>
  </si>
  <si>
    <t>asubhi@railway.app</t>
  </si>
  <si>
    <t>Sakaka, Saudi Arabia</t>
  </si>
  <si>
    <t>King Abdul Aziz Road</t>
  </si>
  <si>
    <t>Al-Souq District 2350</t>
  </si>
  <si>
    <t>Sakaka</t>
  </si>
  <si>
    <t>Al Jawf</t>
  </si>
  <si>
    <t>72311</t>
  </si>
  <si>
    <t>+966 (0)14 624 0006</t>
  </si>
  <si>
    <t>446247-19P</t>
  </si>
  <si>
    <t>Abdul Taha</t>
  </si>
  <si>
    <t>Rahman Taha Hilal</t>
  </si>
  <si>
    <t>Time Entertainment</t>
  </si>
  <si>
    <t>Mr. Abdul Taha serves as Chief Financial Officer at Time Entertainment.</t>
  </si>
  <si>
    <t>Hamad Tower 5th Floor, Al Olaya Dist</t>
  </si>
  <si>
    <t>King Fahad Rd</t>
  </si>
  <si>
    <t>12212</t>
  </si>
  <si>
    <t>329941-72P</t>
  </si>
  <si>
    <t>Abdul-Ilah Al-Asaker</t>
  </si>
  <si>
    <t>Al-Asaker</t>
  </si>
  <si>
    <t>Abdul-Ilah</t>
  </si>
  <si>
    <t>Muhammad</t>
  </si>
  <si>
    <t>Saudi Industrial Development</t>
  </si>
  <si>
    <t>Mr. Abdul-Ilah Al-Asaker serves as Chairman at Saudi Industrial Development.</t>
  </si>
  <si>
    <t>+966 (0)12 610 2222</t>
  </si>
  <si>
    <t>Prince Mohammed Bin Abdulaziz Street</t>
  </si>
  <si>
    <t>PO Box 12105</t>
  </si>
  <si>
    <t>21473</t>
  </si>
  <si>
    <t>+966 (0)12 610 5555</t>
  </si>
  <si>
    <t>329683-87P</t>
  </si>
  <si>
    <t>Abdul-Ilah Al-Mufaiz</t>
  </si>
  <si>
    <t>Al-Mufaiz</t>
  </si>
  <si>
    <t>AlSaif Stores for Dev</t>
  </si>
  <si>
    <t>Mr. Abdul-Ilah Al-Mufaiz serves as Chief Financial Officer at AlSaif Stores for Dev.Director, Jazan Energy and Development Co. (JAZADCO), a Saudi listed joint stock company operating in the aquaculture, agricultural, industrial and real estate sectors, from 2022G to date. Member of the Executive and Investment Committee, Jazan Energy and Development Co. (JAZADCO), a Saudi listed joint stock company operating in the aquaculture, agricultural, industrial and real estate sectors, from 2022G to date.</t>
  </si>
  <si>
    <t>Indiana State University</t>
  </si>
  <si>
    <t>+966 (0)92 000 9017</t>
  </si>
  <si>
    <t>almufaiz@alsaifgallery.com</t>
  </si>
  <si>
    <t>Uthman Ibn Affan Road</t>
  </si>
  <si>
    <t>Al Imam Saud Ibn Abdul Aziz Branch Road</t>
  </si>
  <si>
    <t>46421</t>
  </si>
  <si>
    <t>+966 (0)11 219 8866</t>
  </si>
  <si>
    <t>245388-79P</t>
  </si>
  <si>
    <t>Abdul-Wahhab Al-Abdul-Wahab</t>
  </si>
  <si>
    <t>Al-Abdul-Wahab</t>
  </si>
  <si>
    <t>Abdul-Wahhab</t>
  </si>
  <si>
    <t>Abdullah Muhammad</t>
  </si>
  <si>
    <t>Dr. Abdul-Wahhab Al-Abdul-Wahab serves as Chief Operating Officer at Dr Sulaiman Al Habib. He held a number of senior management positions in the healthcare sector, with more than 18 years of experience in this sector. Previously, He held the position of General Manager of Al Rayyan Group Hospital, and General Manager of the Group's Home Health Care Program. He holds a Bachelor's degree in Applied Medical Sciences from King Saud University, and a Master's and Doctorate degree in Health Care Administration from the University of Wales</t>
  </si>
  <si>
    <t>University of Wales</t>
  </si>
  <si>
    <t>abdulwahab_a@hmg.com</t>
  </si>
  <si>
    <t>409414-69P</t>
  </si>
  <si>
    <t>Abdulaziz Al Afaleg</t>
  </si>
  <si>
    <t>Al Afaleg</t>
  </si>
  <si>
    <t>Mr. Abdulaziz Al Afaleg serves as Chief Operating Officer at The Saudi Investment Bank.</t>
  </si>
  <si>
    <t>abdulaziza@saib.com.sa</t>
  </si>
  <si>
    <t>316668-07P</t>
  </si>
  <si>
    <t>Abdulaziz Al Rashidi</t>
  </si>
  <si>
    <t>Al Rashidi</t>
  </si>
  <si>
    <t>Ladun Investment</t>
  </si>
  <si>
    <t>Group Chief Financial Officer</t>
  </si>
  <si>
    <t>Mr. Abdulaziz Al Rashidi serves as Group Chief Financial Officer at Ladun Investment.</t>
  </si>
  <si>
    <t>+966 (0)92 001 1560</t>
  </si>
  <si>
    <t>abdulaziza@ladun.sa</t>
  </si>
  <si>
    <t>Prince Sultan Street</t>
  </si>
  <si>
    <t>Sultan business center, Riyadh Region</t>
  </si>
  <si>
    <t>+966 (0)11 488 8657</t>
  </si>
  <si>
    <t>329116-24P</t>
  </si>
  <si>
    <t>Abdulaziz Al-Dhiab</t>
  </si>
  <si>
    <t>Al-Dhiab</t>
  </si>
  <si>
    <t>Molan Steel</t>
  </si>
  <si>
    <t>Mr. Abdulaziz Al-Dhiab serves as Chief Executive Officer at Molan Steel.</t>
  </si>
  <si>
    <t>+966 (0)11 225 5601</t>
  </si>
  <si>
    <t>Post Box 7090</t>
  </si>
  <si>
    <t>Riyadh AlFarouq District Eastern Ring Road Exit No 16 Palladium Center Complex</t>
  </si>
  <si>
    <t>14323</t>
  </si>
  <si>
    <t>+966 (0)11 225 5602</t>
  </si>
  <si>
    <t>282940-12P</t>
  </si>
  <si>
    <t>Abdulaziz Al-Nowaiser</t>
  </si>
  <si>
    <t>Al-Nowaiser</t>
  </si>
  <si>
    <t>Mr. Abdulaziz Ibrahim AlNowiaser, Chairman of the Board.</t>
  </si>
  <si>
    <t>385833-79P</t>
  </si>
  <si>
    <t>Abdulaziz Al-Suwailem</t>
  </si>
  <si>
    <t>Al-Suwailem</t>
  </si>
  <si>
    <t>Tihama Advertising &amp; Public Relations</t>
  </si>
  <si>
    <t>Mr. Abdulaziz Al-Suwailem serves as Chief Executive Officer &amp; Managing Director at Tihama Advertising &amp; Public Relations.</t>
  </si>
  <si>
    <t>+966 (0)1 120 7976</t>
  </si>
  <si>
    <t>Riyadh - Al Muhamadiah - King Fahad Road</t>
  </si>
  <si>
    <t>Al oula building 4th floor, PO Box 4681</t>
  </si>
  <si>
    <t>+966 (0)2 651 5121</t>
  </si>
  <si>
    <t>461846-98P</t>
  </si>
  <si>
    <t>Abdulaziz Al-Zoom</t>
  </si>
  <si>
    <t>Al-Zoom</t>
  </si>
  <si>
    <t>bin Abdullah</t>
  </si>
  <si>
    <t>Allied Cooperative Insurance Group</t>
  </si>
  <si>
    <t>Insurance Company</t>
  </si>
  <si>
    <t>Dr. Abdulaziz Al-Zoom serves as Chairman of the Board at Allied Cooperative Insurance Group.</t>
  </si>
  <si>
    <t>+966 (0)92 001 2331</t>
  </si>
  <si>
    <t>Hteen district Prince Turki bin Abdulaziz first road PO Box 40523</t>
  </si>
  <si>
    <t>+966 (0)12 661 7421</t>
  </si>
  <si>
    <t>248518-99P</t>
  </si>
  <si>
    <t>Abdulaziz AlFaris</t>
  </si>
  <si>
    <t>AlFaris</t>
  </si>
  <si>
    <t>Mr. Abdulaziz AlFaris serves as Chief Operating Officer at Jahez.</t>
  </si>
  <si>
    <t>Boise State University</t>
  </si>
  <si>
    <t>abdulaziz@jahez.net</t>
  </si>
  <si>
    <t>437494-24P</t>
  </si>
  <si>
    <t>Abdulaziz Almohareb</t>
  </si>
  <si>
    <t>Almohareb</t>
  </si>
  <si>
    <t>Yaqeen Capital</t>
  </si>
  <si>
    <t>Mr. Abdulaziz Almohareb serves as Chief Financial Officer at Yaqeen Capital. He has over 19 years of experience in the field of accounting, auditing, and preparing financial statements and reports in accordance with international financial reporting standards. He gained his experience by working for one of the largest global auditing offices, Deloitte, in addition to his work at Yaqeen Company in the Finance Department since 2008. Abdulaziz holds a bachelor's degree in accounting from King Saud University - Saudi Arabia in 2005.</t>
  </si>
  <si>
    <t>abdulaziz.almohareb@yaqeen.sa</t>
  </si>
  <si>
    <t>Al Worood, Al Olaya Main Street</t>
  </si>
  <si>
    <t>Intersection with King Abdullah Road</t>
  </si>
  <si>
    <t>+966 (0)11 205 4819</t>
  </si>
  <si>
    <t>385705-27P</t>
  </si>
  <si>
    <t>Abdulaziz AlMuhaiza</t>
  </si>
  <si>
    <t>AlMuhaiza</t>
  </si>
  <si>
    <t>bin Abdulrahman</t>
  </si>
  <si>
    <t>Saudi Electricity Company</t>
  </si>
  <si>
    <t>Executive Vice President &amp; Chief Financial Officer</t>
  </si>
  <si>
    <t>Mr. Abdulaziz AlMuhaiza serves as Executive Vice President &amp; Chief Financial Officer at Saudi Electricity Company. Before being appointed as Senior Vice President, Finance &amp; Group Chief Financial Officer, he held various positions within SEC Group, with the most recent being the Vice President of Finance Operations. He also served as Executive Director of the Treasury &amp; Corporate Finance Sector and Director of the Investment &amp; Cash Management Department. He has extensive experience in portfolio management and treasury-related matters and has been actively involved in investments, insurance, risk management, and corporate and project financing activities. He is also a board member of several companies and chairing various committees within SEC Group. Before joining SEC in 2013, he started his career in the investment banking industry at Saudi Fransi Capital. He holds a Bachelor of Science degree in accounting and an MBA from the University of Wisconsin. He is also a graduate of the Executive Management Program at INSEAD.</t>
  </si>
  <si>
    <t>University of Wisconsin</t>
  </si>
  <si>
    <t>+966 (0)11 405 3227</t>
  </si>
  <si>
    <t>abdulaziz@se.com.sa</t>
  </si>
  <si>
    <t>Al-Arid District</t>
  </si>
  <si>
    <t>At the crossing of Al-Olaya Street with Rihana Bint Zaid Street, PO Box 22955</t>
  </si>
  <si>
    <t>+966 (0)11 807 9245</t>
  </si>
  <si>
    <t>234927-82P</t>
  </si>
  <si>
    <t>Abdulaziz Alobaid</t>
  </si>
  <si>
    <t>Alobaid</t>
  </si>
  <si>
    <t>Saleh</t>
  </si>
  <si>
    <t>Dr. Abdulaziz Alobaid serves as Chief Executive Officer at National Medical Care. Dr. Abdulaziz holds a degree in Bachelor of Medicine and Surgery at from King Saud University. He obtained the Fellowship of the Royal College of Surgeons in Canada (FRCS-C) and the Fellowship of the American College of Obstetricians and Gynecologists (FACOG). He has also Masters in Health Administration from the University of Minesota. During his years of professional experience, Dr. Abdulaziz has occupied several leadership and managerial positions in related fields such as the Medical Director of the Women's Specialized Hospital in King Fahad Medical City and a member of the oversight committee for the Gynecology &amp; Oncology fellowship programs in the Saudi Council of Health Specialties.</t>
  </si>
  <si>
    <t>King Saud University, University of Minnesota, Twin Cities</t>
  </si>
  <si>
    <t>aalobaid@care.med.sa</t>
  </si>
  <si>
    <t>329802-76P</t>
  </si>
  <si>
    <t>Abdulaziz AlOnaizan</t>
  </si>
  <si>
    <t>AlOnaizan</t>
  </si>
  <si>
    <t>Bank Albilad</t>
  </si>
  <si>
    <t>Mr. Abdulaziz Mohammed Alonaizan serves as Chief Executive Officer at Bank Albilad.</t>
  </si>
  <si>
    <t>+966 (0)11 479 8888</t>
  </si>
  <si>
    <t>alonaizan@bankalbilad.com</t>
  </si>
  <si>
    <t>Salahuddin Street</t>
  </si>
  <si>
    <t>Al Malaz District, 140</t>
  </si>
  <si>
    <t>11411</t>
  </si>
  <si>
    <t>+966 (0)11 479 8898</t>
  </si>
  <si>
    <t>341617-51P</t>
  </si>
  <si>
    <t>Abdulaziz AlRuqaie</t>
  </si>
  <si>
    <t>AlRuqaie</t>
  </si>
  <si>
    <t>Saudi Arabian Cooperative Insurance</t>
  </si>
  <si>
    <t>Mr. Abdulaziz AlRuqaie serves as Chief Financial Officer at Saudi Arabian Cooperative Insurance.</t>
  </si>
  <si>
    <t>+966 (0)11 874 9666</t>
  </si>
  <si>
    <t>aalruqaie@saico.com.sa</t>
  </si>
  <si>
    <t>Platinum Center, Salahuddin Street</t>
  </si>
  <si>
    <t>PO Box 58073</t>
  </si>
  <si>
    <t>11594</t>
  </si>
  <si>
    <t>+966 (0)11 475 1197</t>
  </si>
  <si>
    <t>313480-18P</t>
  </si>
  <si>
    <t>Abdulaziz Alsayegh</t>
  </si>
  <si>
    <t>Alsayegh</t>
  </si>
  <si>
    <t>Yousef Abdulaziz</t>
  </si>
  <si>
    <t>Naqi Water</t>
  </si>
  <si>
    <t>Mr. Abdulaziz Alsayegh serves as Chief Executive Officer &amp; Managing Director at Naqi Water.</t>
  </si>
  <si>
    <t>+966 (0)92 002 4484</t>
  </si>
  <si>
    <t>a.alsayegh@naqiwater.com</t>
  </si>
  <si>
    <t>Unaizah, Saudi Arabia</t>
  </si>
  <si>
    <t>Al-Obaisah District</t>
  </si>
  <si>
    <t>PO Box 5228 Qassim</t>
  </si>
  <si>
    <t>Unaizah</t>
  </si>
  <si>
    <t>51911</t>
  </si>
  <si>
    <t>435114-46P</t>
  </si>
  <si>
    <t>Abdulaziz Alsowail</t>
  </si>
  <si>
    <t>Alsowail</t>
  </si>
  <si>
    <t>Cherry Trading (Automotive)</t>
  </si>
  <si>
    <t>Mr. Abdulaziz Alsowail serves as Chief Executive Officer at Cherry Rent-A-Car.</t>
  </si>
  <si>
    <t>+966 (0)11 511 5600</t>
  </si>
  <si>
    <t>a.alsowail@cherry.com.sa</t>
  </si>
  <si>
    <t>8656 Eastern Ring Branch Rd</t>
  </si>
  <si>
    <t>Ar Rabwah, Unit No 2</t>
  </si>
  <si>
    <t>12822</t>
  </si>
  <si>
    <t>460624-78P</t>
  </si>
  <si>
    <t>Abdulaziz bin Saidan</t>
  </si>
  <si>
    <t>bin Saidan</t>
  </si>
  <si>
    <t>Hamad Mohammed bin Saedan Real Estate</t>
  </si>
  <si>
    <t>Mr. Abdulaziz bin Saidan serves as Chief Executive Officer &amp; Board Member at Hamad Mohammed bin Saedan Real Estate. Mr. Hamad Mohammed bin Saidan has extensive experience in developing and expanding real estate projects. Throughout his career, he has held several leadership positions and contributed to the establishment of real estate investment funds and real estate development companies. He has also participated as a member of several boards of directors, which has contributed to consolidating his professional presence in the real estate sector and supporting its sustainable growth</t>
  </si>
  <si>
    <t>Development Tower (building 4)</t>
  </si>
  <si>
    <t>Al-Muhammadiyah District</t>
  </si>
  <si>
    <t>426324-16P</t>
  </si>
  <si>
    <t>Abdulaziz Ibrahim Alnowaiser</t>
  </si>
  <si>
    <t>Alnowaiser</t>
  </si>
  <si>
    <t>Abdulaziz Ibrahim</t>
  </si>
  <si>
    <t>Emaar, The Economic City</t>
  </si>
  <si>
    <t>Mr. Abdulaziz Ibrahim Alnowaiser serves as Chief Executive Officer at Emaar, The Economic City.</t>
  </si>
  <si>
    <t>+966 (0)12 510 6872</t>
  </si>
  <si>
    <t>a.alnowaiser@kaec.net</t>
  </si>
  <si>
    <t>King Abdullah Economic City, Saudi Arabia</t>
  </si>
  <si>
    <t>Unit 1, Prince Sultan Street, BayLaSun</t>
  </si>
  <si>
    <t>P.O.Box 8299</t>
  </si>
  <si>
    <t>King Abdullah Economic City</t>
  </si>
  <si>
    <t>376418-89P</t>
  </si>
  <si>
    <t>Abdulaziz Omar Yousuf Khojah</t>
  </si>
  <si>
    <t>Yousuf Khojah</t>
  </si>
  <si>
    <t>Abdulaziz Omar</t>
  </si>
  <si>
    <t>Almujtama Alraida Medical</t>
  </si>
  <si>
    <t>Founder, Board Member &amp; Chief Executive Officer</t>
  </si>
  <si>
    <t>Mr. Abdulaziz Omar Yousuf Khojah serves as Chief Executive Officer at Almujtama Alraida Medical.</t>
  </si>
  <si>
    <t>+966 (0)59 913 2523</t>
  </si>
  <si>
    <t>akhojah@almujtama.com.sa</t>
  </si>
  <si>
    <t>Main Street, Al-Hamdaniya District</t>
  </si>
  <si>
    <t>PO Box 109474</t>
  </si>
  <si>
    <t>21351</t>
  </si>
  <si>
    <t>412458-67P</t>
  </si>
  <si>
    <t>Abdulaziz Tabaiqi</t>
  </si>
  <si>
    <t>Tabaiqi</t>
  </si>
  <si>
    <t>Ali Mohammed</t>
  </si>
  <si>
    <t>Sama Water</t>
  </si>
  <si>
    <t>Mr. Abdulaziz Tabaiqi serves as Chief Executive Officer &amp; Board Member at Sama Water. He currently holds the position of Chief Executive Officer of Sama Health Water Factory Company from 2015 until now. He holds Bachelor's degree from Jazan University, specializing in special education, 2015.</t>
  </si>
  <si>
    <t>+966 (0)9 200 0254</t>
  </si>
  <si>
    <t>atabaiqi@samawaterco.com</t>
  </si>
  <si>
    <t>Jazan City, Saudi Arabia</t>
  </si>
  <si>
    <t>P.O. Box 6321</t>
  </si>
  <si>
    <t>Jazan City</t>
  </si>
  <si>
    <t>82771</t>
  </si>
  <si>
    <t>+966 (0)17 315 2849</t>
  </si>
  <si>
    <t>183678-13P</t>
  </si>
  <si>
    <t>Abdulelah Abunayyan</t>
  </si>
  <si>
    <t>Abdulelah</t>
  </si>
  <si>
    <t>Non-Executive Chairman</t>
  </si>
  <si>
    <t>Mr. Abdulelah Abunayyan serves as Non-Executive Chairman at Al Hassan Ghazi Ibrahim Shaker. He is the Chairman of the Board of Al Hassan Ghazi Ibrahim Shaker Company. Currently, he is also the Managing Director of "Lafana Holding Co.", which was known as "Ibrahim A. Abunayyan &amp; Bros. Co.". He is also a board member of many companies such as Israa Capital and MEPCO Companies. He is a graduate of King Saud University, with a degree in economics.</t>
  </si>
  <si>
    <t>+966 (0)12 644 5208</t>
  </si>
  <si>
    <t>aaa@shaker.com.sa</t>
  </si>
  <si>
    <t>P.O. Box. 200</t>
  </si>
  <si>
    <t>Ali Hassan Ibrahim Balan Building 60 Street (Near General Court)</t>
  </si>
  <si>
    <t>21411</t>
  </si>
  <si>
    <t>+966 (0)12 643 1896</t>
  </si>
  <si>
    <t>444072-70P</t>
  </si>
  <si>
    <t>Abdulellah Al-Huqbani</t>
  </si>
  <si>
    <t>Al-Huqbani</t>
  </si>
  <si>
    <t>Abdulellah</t>
  </si>
  <si>
    <t>Inma Al Rawabi</t>
  </si>
  <si>
    <t>Mr. Abdulellah Al-Huqbani serves as Chief Executive Officer at Inma Al Rawabi. He previously served as Chief Operating Officer of Enma Alrawabi Company. He served as Chief Development Officer at Thabat Al Maskan Real Estate Company, where he led major housing projects in partnership with the Ministry of Housing. He also held key roles in development, investment, and cost management at Rafal Real Estate Development Company.</t>
  </si>
  <si>
    <t>California State University, Northridge</t>
  </si>
  <si>
    <t>+966 (0)11 412 4004</t>
  </si>
  <si>
    <t>a.huqbani@enmaalrwabi.com</t>
  </si>
  <si>
    <t>Prince Fahd bin Salman bin Abdulaziz Road</t>
  </si>
  <si>
    <t>An namudhajiyah Al-Murabba neighborhood Molding. 1203</t>
  </si>
  <si>
    <t>+966 (0)11 412 4500</t>
  </si>
  <si>
    <t>295876-63P</t>
  </si>
  <si>
    <t>Abdulfattah Ahmed</t>
  </si>
  <si>
    <t>Abdulfattah</t>
  </si>
  <si>
    <t>Abdullah Abdelhamid</t>
  </si>
  <si>
    <t>AME Company</t>
  </si>
  <si>
    <t>Dr. Abdulfattah Ahmed serves as Chief Executive Officer at AME Company.</t>
  </si>
  <si>
    <t>+966 (0)12 275 0203</t>
  </si>
  <si>
    <t>aahmed@ame.med.sa</t>
  </si>
  <si>
    <t>King Fahad Road 8088</t>
  </si>
  <si>
    <t>PO Box: 48352, AlFaisaliyah. District</t>
  </si>
  <si>
    <t>23442</t>
  </si>
  <si>
    <t>297081-64P</t>
  </si>
  <si>
    <t>Abdulhameed Al Muhaidib</t>
  </si>
  <si>
    <t>Al Muhaidib</t>
  </si>
  <si>
    <t>Abdulhameed</t>
  </si>
  <si>
    <t>Mr. Abdulhameed Al Muhaidib serves as Chief Financial Officer at ACWA Power International. Previously he served as Deputy Chief Financial Officer at ACWA Power International.</t>
  </si>
  <si>
    <t>Pepperdine University, University of Miami</t>
  </si>
  <si>
    <t>339591-25P</t>
  </si>
  <si>
    <t>Abdulilah Aldrees</t>
  </si>
  <si>
    <t>Aldrees</t>
  </si>
  <si>
    <t>Abdulilah</t>
  </si>
  <si>
    <t>ALDREES Petroleum &amp; Transport Services</t>
  </si>
  <si>
    <t>Mr. Abdulilah Aldrees serves as Chief Executive Officer at ALDREES Petroleum &amp; Transport Services.</t>
  </si>
  <si>
    <t>+966 (0)11 235 5555</t>
  </si>
  <si>
    <t>PO Box 609</t>
  </si>
  <si>
    <t>14231</t>
  </si>
  <si>
    <t>+966 (0)11 236 6666</t>
  </si>
  <si>
    <t>340447-69P</t>
  </si>
  <si>
    <t>Abdulkarim Bin Abdulrahman Alagil</t>
  </si>
  <si>
    <t>Abdulrahman Alagil</t>
  </si>
  <si>
    <t>Abdulkarim Bin</t>
  </si>
  <si>
    <t>Jarir Bookstore</t>
  </si>
  <si>
    <t>Chief Executive Officer, Board Member and Vice President</t>
  </si>
  <si>
    <t>Mr. Abdulkarim Bin Abdulrahman Alagil serves as Chief Executive Officer, Board Member and Vice President at Jarir Bookstore.</t>
  </si>
  <si>
    <t>+966 (0)92 000 0089</t>
  </si>
  <si>
    <t>aalagil@jarir.com</t>
  </si>
  <si>
    <t>Post Office Box 3196</t>
  </si>
  <si>
    <t>11471</t>
  </si>
  <si>
    <t>+966 (0)11 465 6363</t>
  </si>
  <si>
    <t>239078-80P</t>
  </si>
  <si>
    <t>Abdulla Babtain</t>
  </si>
  <si>
    <t>Babtain</t>
  </si>
  <si>
    <t>First Milling</t>
  </si>
  <si>
    <t>Mr. Abdulla Babtain serves as Chief Executive Officer at First Milling.</t>
  </si>
  <si>
    <t>+966 (0)92 001 0375</t>
  </si>
  <si>
    <t>Al Madinah Al Munawarah Road</t>
  </si>
  <si>
    <t>Saudi Business Center, 8th Floor, Office 809-814</t>
  </si>
  <si>
    <t>22312</t>
  </si>
  <si>
    <t>+966 (0)12 648 3433</t>
  </si>
  <si>
    <t>450315-19P</t>
  </si>
  <si>
    <t>Abdullah Al Rajhi</t>
  </si>
  <si>
    <t>bin Suleiman</t>
  </si>
  <si>
    <t>Al Rajhi Takaful</t>
  </si>
  <si>
    <t>Mr. Abdullah Al Rajhi serves as Chairman of the Board at Al Rajhi Takaful. He also worked before at Al Rajhi Bank as Managing Director, and Chief Executive Officer, and General Manager. He currently holds several positions in companies, including Chairman of the Board of Directors of Al Rajhi Takaful Company, Chairman of the Board of Directors of Al Rajhi Banking and Investment Corporation (Al Rajhi Bank), Chairman of the Board of Directors of Al Rajhi Capital, Chairman of the Board of Directors of Al-Farabi Petrochemical Company, and Chairman of the Board of Directors of Al Rajhi Holding Group. He holds a Bachelor's degree in Business Administration from King Abdulaziz University in the Kingdom of Saudi Arabia.</t>
  </si>
  <si>
    <t>+966 (0)11 440 9666</t>
  </si>
  <si>
    <t>8467, King Fahd Road</t>
  </si>
  <si>
    <t>Unit No. 1</t>
  </si>
  <si>
    <t>Al Muruj</t>
  </si>
  <si>
    <t>11517</t>
  </si>
  <si>
    <t>+966 (0)11 475 5017</t>
  </si>
  <si>
    <t>341249-23P</t>
  </si>
  <si>
    <t>Abdullah Al Salem</t>
  </si>
  <si>
    <t>Al Salem</t>
  </si>
  <si>
    <t>bin Mohamed</t>
  </si>
  <si>
    <t>Nama Chemicals</t>
  </si>
  <si>
    <t>Mr. Abdullah Al Salem serves as Chief Executive Officer at Nama Chemicals. Mr. Al Salem has more than 25 years of experience in operating and managing petrochemical companies. * He started his work as a process engineer at the Saudi Petrochemical Company (Sadaf). He was promoted to work as General Manager in various positions. Then he moved to the position of Chairman of the National Industrial Gases Company (Gas) for a period of 4 years. He then moved to SABIC's Manufacturing Division as General Manager for Manufacturing Quality Assurance for SABIC's global operations. During his career, he has led and participated in numerous development and transformation processes in various areas of the chemical industry</t>
  </si>
  <si>
    <t>+966 (0)13 347 8888</t>
  </si>
  <si>
    <t>abdullah.al-salem@nama.com.sa</t>
  </si>
  <si>
    <t>112- Industrial Area Unit No 4</t>
  </si>
  <si>
    <t>6851Road</t>
  </si>
  <si>
    <t>35727-5051</t>
  </si>
  <si>
    <t>+966 (0)13 347 8666</t>
  </si>
  <si>
    <t>394850-89P</t>
  </si>
  <si>
    <t>Abdullah Al Sheikh</t>
  </si>
  <si>
    <t>Al Sheikh</t>
  </si>
  <si>
    <t>Banque Saudi Fransi</t>
  </si>
  <si>
    <t>Chief Executive Officer of Governance, Legal, Environmental and Social Affairs &amp; Secretary of the Board</t>
  </si>
  <si>
    <t>Mr. Abdullah Al Sheikh serves as Chief Executive Officer of Governance, Legal, Environmental and Social Affairs &amp; Secretary of the Board at Banque Saudi Fransi.</t>
  </si>
  <si>
    <t>+966 (0)11 289 9999</t>
  </si>
  <si>
    <t>PO Box 56006</t>
  </si>
  <si>
    <t>11554</t>
  </si>
  <si>
    <t>+966 (0)11 404 2311</t>
  </si>
  <si>
    <t>161916-13P</t>
  </si>
  <si>
    <t>Abdullah Al Sudairy</t>
  </si>
  <si>
    <t>Al Sudairy</t>
  </si>
  <si>
    <t>Turki</t>
  </si>
  <si>
    <t>Amlak International</t>
  </si>
  <si>
    <t>Mr. Abdullah Al Sudairy serves as the Chief Executive Officer, Managing Director &amp; Board Member at Amlak International.</t>
  </si>
  <si>
    <t>+966 (0)11 299 8700</t>
  </si>
  <si>
    <t>aalsudairy@amlakint.com</t>
  </si>
  <si>
    <t>Ryadh, Saudi Arabia</t>
  </si>
  <si>
    <t>Al Rabee Avenue</t>
  </si>
  <si>
    <t>Al Takhasousy Street</t>
  </si>
  <si>
    <t>Ryadh</t>
  </si>
  <si>
    <t>+966 (0)11 463 5090</t>
  </si>
  <si>
    <t>307859-50P</t>
  </si>
  <si>
    <t>Abdullah Al-Braikan</t>
  </si>
  <si>
    <t>Al-Braikan</t>
  </si>
  <si>
    <t>bin Faisal bin Abdulaziz</t>
  </si>
  <si>
    <t>Retal Urban Dev</t>
  </si>
  <si>
    <t>Mr. Abdullah Al-Braikan serves as Chief Executive Officer at Retal Urban Dev.</t>
  </si>
  <si>
    <t>abdullah@retal.com.sa</t>
  </si>
  <si>
    <t>8800 King Faisal Street</t>
  </si>
  <si>
    <t>P.O. Box 3200, Retal Tower, Prince Faisal Bin Fahad Bin Abdulazizi Avenue</t>
  </si>
  <si>
    <t>72967-78P</t>
  </si>
  <si>
    <t>Abdullah Al-Eisa</t>
  </si>
  <si>
    <t>Al-Eisa</t>
  </si>
  <si>
    <t>Chief Operating Officer &amp; Member of the Executive Management Committee</t>
  </si>
  <si>
    <t>Mr. Abdullah Al-Eisa serves as Chief Operating Officer &amp; Member of the Executive Management Committee at Jadwa Investment. Mr. Al-Eisa oversees the firm's administration and premises, brokerage, information technology, and investment operations functions. Prior to joining Jadwa in 2007, Abdullah was General Manager of Remote Banking at Bank Albilad and General Manager of Jeel Internet Solutions, and worked at National Technology Group and the Saudi Arabian Monetary Agency (SAMA). Abdullah is a Certified Information System Auditor (CISA) and holds a bachelor's degree from King Saud University (KSA).</t>
  </si>
  <si>
    <t>King Saud University, University of Detroit Mercy</t>
  </si>
  <si>
    <t>a-a@jadwa.com</t>
  </si>
  <si>
    <t>301524-13P</t>
  </si>
  <si>
    <t>Abdullah Al-Ghamdi</t>
  </si>
  <si>
    <t>Al Moammar Information</t>
  </si>
  <si>
    <t>Mr. Abdullah Al-Ghamdi serves as Chief Executive Officer at Al Moammar Information. He holds a Master and a bachelor's degree in Electrical Engineering from King Saudi University (KSU) and a PhD in Electrical and Electronics Engineering from Swansea University.</t>
  </si>
  <si>
    <t>King Saud University, Swansea University</t>
  </si>
  <si>
    <t>+966 (0)92 002 0261</t>
  </si>
  <si>
    <t>abdullah@mis.com.sa</t>
  </si>
  <si>
    <t>P.O. Box: 16116 6330 Al Thumamah Road Al Sahafa district unit number 1</t>
  </si>
  <si>
    <t>13315</t>
  </si>
  <si>
    <t>+966 (0)11 414 9144</t>
  </si>
  <si>
    <t>329785-75P</t>
  </si>
  <si>
    <t>Abdullah Al-Hajri</t>
  </si>
  <si>
    <t>Al-Hajri</t>
  </si>
  <si>
    <t>Methanol Chemicals</t>
  </si>
  <si>
    <t>Chief Financial Officer (CFO)</t>
  </si>
  <si>
    <t>Abdullah Al-Hajri serves as Chief Financial Officer (CFO) at Methanol Chemicals. With around 10 years of cumulative work experience in the field of accounting, auditing &amp; taxation. Mr. Al-Hajri has been associated with Chemanol since July 2017. In January 2020, he took charge as CFO Before joining Chemanol, he has served with reputable companies like Saudi Industrial Development Fund (SIDF), Ernst &amp; Young and Marafiq Mr. Abdullah A. Al-Hajri completed his graduation with B.S. in Accounting from King Faisal University, Saudi Arabia and subsequently pursued post-graduation with M.S. in Finance from Southern New Hampshire University, Manchester, USA. Apart from having participated in various seminars and workshops on IFRS, SAP, Financial Analysis, Taxation &amp; Safety Practices, Mr. Al-Hajri is certified with SOCPA (Certified Public Accountant, Saudi Organization for Certified Public Accountant) &amp; MPC (Certified in Fixed Assets Accounting &amp; Management, Meirc Training &amp; Consulting).</t>
  </si>
  <si>
    <t>Southern New Hampshire University</t>
  </si>
  <si>
    <t>+966 (0)13 814 4685</t>
  </si>
  <si>
    <t>abdullah@chemanol.com</t>
  </si>
  <si>
    <t>Building No. 3, 1st Floor</t>
  </si>
  <si>
    <t>Novotel Business Park, Khobar Highway, PO Box 3139</t>
  </si>
  <si>
    <t>31471</t>
  </si>
  <si>
    <t>+966 (0)13 814 4678</t>
  </si>
  <si>
    <t>161911-36P</t>
  </si>
  <si>
    <t>Abdullah Al-Howaish</t>
  </si>
  <si>
    <t>Al-Howaish</t>
  </si>
  <si>
    <t>Ibrahim Suleiman</t>
  </si>
  <si>
    <t>Mr. Abdullah bin Ibrahim Al-Howaish serves as Managing Director, Board Member, and Member of the Investment and Finance Committee at Aseer Company. He serves as chairman at Amlak International. He holds a Bachelor's degree in Economics from King Abdulaziz University, KSA, and began his career in 1985. He has held many leadership positions in a number of banks and companies and held memberships on boards and committees of local and international companies in various sectors (banks, finance, investment, transportation, trade, and manufacturing).</t>
  </si>
  <si>
    <t>322025-59P</t>
  </si>
  <si>
    <t>Abdullah Al-Issa</t>
  </si>
  <si>
    <t>Al-Issa</t>
  </si>
  <si>
    <t>Chairman of the Board of Directors and Strategic Planning Group</t>
  </si>
  <si>
    <t>Mr. Abdullah Al-Issa serves as Chairman of the Board of Directors and Strategic Planning Group at Riyad Bank. With extensive experience in management, investment, and banking. Mr. Al-Issa is currently the Chairman of the Board of Directors of Assila Investments, and the Chairman of the Board of Directors of Abdullah Mohammed Al-Issa Office (Consultant Engineers). He holds a Bachelor's degree in Industrial Engineering and a Master's degree in Engineering Management from Southern Methodist University, USA</t>
  </si>
  <si>
    <t>Southern Methodist University</t>
  </si>
  <si>
    <t>+966 (0)11 401 3030</t>
  </si>
  <si>
    <t>aal-issa@riyadbank.com</t>
  </si>
  <si>
    <t>417889-63P</t>
  </si>
  <si>
    <t>Abdullah Al-Juraish</t>
  </si>
  <si>
    <t>Al-Juraish</t>
  </si>
  <si>
    <t>Dr.Abdullah Suleiman Al-Juraish serves as the Managing Director at Saudi Advanced Industries.He holds a Bachelor's degree in Systems in 2009 from King Saud University and a Master's degree in Commercial Law in 2014 from Dar Al Uloom University He also obtained a PhD in Systems in 2018 from the Islamic University of Madinah.</t>
  </si>
  <si>
    <t>332546-23P</t>
  </si>
  <si>
    <t>Abdullah Al-Shuraim</t>
  </si>
  <si>
    <t>Al-Shuraim</t>
  </si>
  <si>
    <t>Bin Mohammed Abdullah</t>
  </si>
  <si>
    <t>Leen Alkhair</t>
  </si>
  <si>
    <t>Mr. Abdullah Al-Shuraim serves as Chief Executive Officer &amp; Board Member at Leen Alkhair.</t>
  </si>
  <si>
    <t>+966 (0)53 333 1300</t>
  </si>
  <si>
    <t>abdullah@leenalkhair.com</t>
  </si>
  <si>
    <t>King Fahd Road</t>
  </si>
  <si>
    <t>415472-86P</t>
  </si>
  <si>
    <t>Abdullah Albrahim</t>
  </si>
  <si>
    <t>Albrahim</t>
  </si>
  <si>
    <t>Shalfa Facilities Management</t>
  </si>
  <si>
    <t>Mr. Abdullah Albrahim serves as Chief Executive Officer at Shalfa Facilities Management.</t>
  </si>
  <si>
    <t>+966 (0)11 476 6611</t>
  </si>
  <si>
    <t>Post Box: 16331</t>
  </si>
  <si>
    <t>11464</t>
  </si>
  <si>
    <t>+966 (0)11 453 8055</t>
  </si>
  <si>
    <t>368596-36P</t>
  </si>
  <si>
    <t>Abdullah Alharbi</t>
  </si>
  <si>
    <t>Alharbi</t>
  </si>
  <si>
    <t>Mr. Abdullah Alharbi serves as Chief Executive Officer &amp; Board Member at Filing &amp; Packing Materials Manufacturing.</t>
  </si>
  <si>
    <t>abdullah.alharbi@fipco.com.sa</t>
  </si>
  <si>
    <t>461937-25P</t>
  </si>
  <si>
    <t>Abdullah Almusa</t>
  </si>
  <si>
    <t>Almusa</t>
  </si>
  <si>
    <t>Amana Cooperative Insurance</t>
  </si>
  <si>
    <t>Mr. Abdullah Almusa serves as Chairman at Amana Cooperative Insurance.</t>
  </si>
  <si>
    <t>+966 (0)11 475 7700</t>
  </si>
  <si>
    <t>PO Box 27986</t>
  </si>
  <si>
    <t>11427</t>
  </si>
  <si>
    <t>+966 (0)11 475 7722</t>
  </si>
  <si>
    <t>339568-57P</t>
  </si>
  <si>
    <t>Abdullah Alomari</t>
  </si>
  <si>
    <t>Alomari</t>
  </si>
  <si>
    <t>Mr. Abdullah Alomari serves as Chief Operating Officer at Al Rajhi Banking and Investment. Mr. Alomari holds Bachelor's in Electrical Engineering.</t>
  </si>
  <si>
    <t>454158-82P</t>
  </si>
  <si>
    <t>Abdullah Alrashidi</t>
  </si>
  <si>
    <t>Alrashidi</t>
  </si>
  <si>
    <t>Mr. Abdullah Alrashidi serves as Chief Operating Officer at Saudi Pharmaceutical Industries &amp; Medical Appliances.</t>
  </si>
  <si>
    <t>abdullah.alrashidi@spimaco.sa</t>
  </si>
  <si>
    <t>310086-55P</t>
  </si>
  <si>
    <t>Abdullah Alzahrani</t>
  </si>
  <si>
    <t>Alzahrani</t>
  </si>
  <si>
    <t>Tharwah HR</t>
  </si>
  <si>
    <t>Management Consultants</t>
  </si>
  <si>
    <t>Founder, Managing Director &amp; Chief Executive Officer</t>
  </si>
  <si>
    <t>Mr. Abdullah Alzahrani is the Founder and serves as Chief Executive Officer and Managing Director at Tharwah HR.</t>
  </si>
  <si>
    <t>+966 (0)92 001 9590</t>
  </si>
  <si>
    <t>abdullah@tharwah.net</t>
  </si>
  <si>
    <t>Al Thoumamah Rd, An Narjis</t>
  </si>
  <si>
    <t>Uthman Ibn Affan Rd, Crossing</t>
  </si>
  <si>
    <t>12472</t>
  </si>
  <si>
    <t>56405-71P</t>
  </si>
  <si>
    <t>Abdullah Baarmah</t>
  </si>
  <si>
    <t>Baarmah</t>
  </si>
  <si>
    <t>Mubarak</t>
  </si>
  <si>
    <t>SEDCO Capital REIT Fund</t>
  </si>
  <si>
    <t>Mr. Abdullah Baarmah serves as Chairman of the Board of Directors at SEDCO Capital. He brings 15 years of diversified experience in Investments, Asset Management, and the Capital Market. He used to work for NCB Capital as the Head of Global Fixed Income Desk, Asset Management Division. He holds a Bachelor's degree in Science, Business Administration from the University of Portland, Portland, Oregon USA.</t>
  </si>
  <si>
    <t>University of Portland</t>
  </si>
  <si>
    <t>+966 (0)12 690 6555</t>
  </si>
  <si>
    <t>South Tower, Red Sea Mall, King Abdulaziz (Malik) Road</t>
  </si>
  <si>
    <t>21491</t>
  </si>
  <si>
    <t>266344-84P</t>
  </si>
  <si>
    <t>Abdullah Hujailan</t>
  </si>
  <si>
    <t>Hujailan</t>
  </si>
  <si>
    <t>Ash-Sharqiyah</t>
  </si>
  <si>
    <t>Mr. Abdullah Hujailan serves as Chief Executive Officer &amp; Managing Director at Ash-Sharqiyah. Mr. Hujailan holds Bachelor's in Business Administration and Economics from Holy Names University.</t>
  </si>
  <si>
    <t>+966 (0)13 809 9439</t>
  </si>
  <si>
    <t>abdullah@asharqiyah.com.sa</t>
  </si>
  <si>
    <t>P.O.Box 7118</t>
  </si>
  <si>
    <t>Ash Shati Sharqi Unit No 10 3469 Kaab Ibn Jammar</t>
  </si>
  <si>
    <t>31462</t>
  </si>
  <si>
    <t>+966 (0)13 809 9438</t>
  </si>
  <si>
    <t>378691-84P</t>
  </si>
  <si>
    <t>Abdullah Ibrahim Mohammed Al-Yahia</t>
  </si>
  <si>
    <t>Mohammed Al-Yahia</t>
  </si>
  <si>
    <t>Abdullah Ibrahim</t>
  </si>
  <si>
    <t>Almodawat</t>
  </si>
  <si>
    <t>Mr. Abdullah Ibrahim Mohammed Al-Yahia serves as Chairman of the Board at Almodawat.</t>
  </si>
  <si>
    <t>+966 (0)17 285 6666</t>
  </si>
  <si>
    <t>Mahayil Asir, Saudi Arabia</t>
  </si>
  <si>
    <t>P.O. Box 176</t>
  </si>
  <si>
    <t>Mahayil Asir</t>
  </si>
  <si>
    <t>462529-63P</t>
  </si>
  <si>
    <t>Abdullah Shammasi</t>
  </si>
  <si>
    <t>Shammasi</t>
  </si>
  <si>
    <t>Bin Mohammed Al</t>
  </si>
  <si>
    <t>Mr. Abdullah Shammasi serves as Chairman at Yaqeen Capital.</t>
  </si>
  <si>
    <t>380786-68P</t>
  </si>
  <si>
    <t>Abdullah Shelash</t>
  </si>
  <si>
    <t>Shelash</t>
  </si>
  <si>
    <t>bin Abdulrahman Al</t>
  </si>
  <si>
    <t>Quara Finance</t>
  </si>
  <si>
    <t>Chairman of the Board of Directors, Chairman of the Executive Committee and Member of the Risk and Credit Management Committee</t>
  </si>
  <si>
    <t>Mr. Abdullah Shelash serves as Chairman of the Board of Directors, Chairman of the Executive Committee and Member of the Risk and Credit Management Committee at Quara Finance. Mr. Shelash holds MS (Master of Science) in Data Analytics from Columbia University, MBA (Master of Business Administration) in Global Management from Thunderbird School of Global Management and BS (Bachelor of Science) in Finance from Arizona State University.</t>
  </si>
  <si>
    <t>Arizona State University, Columbia University, Thunderbird School of Global Management</t>
  </si>
  <si>
    <t>King Abdul Aziz Rd, Al Wizarat</t>
  </si>
  <si>
    <t>348373-54P</t>
  </si>
  <si>
    <t>Abdullah Yousef</t>
  </si>
  <si>
    <t>Yousef</t>
  </si>
  <si>
    <t>A</t>
  </si>
  <si>
    <t>Tam Development</t>
  </si>
  <si>
    <t>Founder, Chief Executive Officer &amp; Managing Director</t>
  </si>
  <si>
    <t>Mr. Abdullah Yousef is the Founder &amp; serves as Chief Executive Officer &amp; Managing Director at Tam Development. Mr. Yousef, under his leadership, TAM has completed over 200 projects, exceeding 1 billion SAR in value. He holds a Commerce and Marketing degree from McMaster University and has completed executive programs at Harvard and MIT positioning him as a key leader in Saudi Arabia's transformation journey.</t>
  </si>
  <si>
    <t>McMaster University</t>
  </si>
  <si>
    <t>abdullahyousef@tam.sa</t>
  </si>
  <si>
    <t>Prince Mohammed bin Saad bin Abdulaziz Road</t>
  </si>
  <si>
    <t>Al-Lisn Street - Hittin Distrct</t>
  </si>
  <si>
    <t>431527-33P</t>
  </si>
  <si>
    <t>Abdullatif Almulhim</t>
  </si>
  <si>
    <t>Almulhim</t>
  </si>
  <si>
    <t>Abdullatif</t>
  </si>
  <si>
    <t>Ratio Specialty Company</t>
  </si>
  <si>
    <t>Mr. Abdullatif Almulhim serves as Chief Executive Officer at Ratio (beverages).</t>
  </si>
  <si>
    <t>aalmulhim@ratio.sa</t>
  </si>
  <si>
    <t>Al-Hofuf, Saudi Arabia</t>
  </si>
  <si>
    <t>Al-Salam 1 District</t>
  </si>
  <si>
    <t>King Saud Street</t>
  </si>
  <si>
    <t>Al-Hofuf</t>
  </si>
  <si>
    <t>96613-5757</t>
  </si>
  <si>
    <t>357791-05P</t>
  </si>
  <si>
    <t>Abdulmajed Sheikh</t>
  </si>
  <si>
    <t>Sheikh</t>
  </si>
  <si>
    <t>Abdulmajed</t>
  </si>
  <si>
    <t>bin Abdulmohsen Al</t>
  </si>
  <si>
    <t>Mayar Holding</t>
  </si>
  <si>
    <t>Mr. Abdulmajed Sheikh serves as Chief Executive Officer at Mayar Holding.</t>
  </si>
  <si>
    <t>+966 (0)11 416 0566</t>
  </si>
  <si>
    <t>KSA Riyadh Olaya Street</t>
  </si>
  <si>
    <t>PO Box 55024, Taya Commercial Center</t>
  </si>
  <si>
    <t>+966 (0)11 229 9756</t>
  </si>
  <si>
    <t>473524-12P</t>
  </si>
  <si>
    <t>Abdulmalik Al-Rasheed</t>
  </si>
  <si>
    <t>Al-Rasheed</t>
  </si>
  <si>
    <t>Abdulmalik</t>
  </si>
  <si>
    <t>bin Rasheed</t>
  </si>
  <si>
    <t>Mr. Abdulmalik Al-Rasheed serves as Chief Financial Officer at Alramz Real Estate.</t>
  </si>
  <si>
    <t>387852-49P</t>
  </si>
  <si>
    <t>Abdulmalik bin Abdullah Alhogail Ph.D</t>
  </si>
  <si>
    <t>bin Abdullah Alhogail</t>
  </si>
  <si>
    <t>Dr. Abdulmalik bin Abdullah Alhogail serves as Chairman at Alinma Bank. Dr. bin Abdullah Alhogail also serves as Deputy Chairman of Americana Restaurants International as well as the Kuwait Food Company. He is also a board member of the Saudi National Shipping Company (Bahri), and has served on the boards of several major organizations, including the Public Pension Fund, Saudi Electricity Company (SEC), Accenture Saudi Arabia, and Philips Healthcare Saudi Arabia. Dr. Al-Hogail holds a Ph.D. in Accounting and Finance from Case Western Reserve University, in the United States, and holds several professional certifications including the CPA, SOCPA, CMA and CFM certifications.</t>
  </si>
  <si>
    <t>Case Western Reserve University</t>
  </si>
  <si>
    <t>409957-39P</t>
  </si>
  <si>
    <t>Abdulmohsen Hagbani</t>
  </si>
  <si>
    <t>Hagbani</t>
  </si>
  <si>
    <t>Armah Sports</t>
  </si>
  <si>
    <t>Co-Founder &amp; Chairman</t>
  </si>
  <si>
    <t>Mr. Abdulmohsen Hagbani is a Co-Founder &amp; serves as Chairman at Armah Sports.</t>
  </si>
  <si>
    <t>+966 (0)11 838 6000</t>
  </si>
  <si>
    <t>ahagbani@armahsports.com</t>
  </si>
  <si>
    <t>P.O. Box 3894</t>
  </si>
  <si>
    <t>Takhassusi Street Al-Nakheel District</t>
  </si>
  <si>
    <t>12382</t>
  </si>
  <si>
    <t>316674-91P</t>
  </si>
  <si>
    <t>Abdulrahman Abduljabbar</t>
  </si>
  <si>
    <t>Abduljabbar</t>
  </si>
  <si>
    <t>Naseej for Technology</t>
  </si>
  <si>
    <t>Chief Executive Officer &amp; Chairman of Board</t>
  </si>
  <si>
    <t>Mr. Abdulrahman Abduljabbar serves as Chief Executive Officer &amp; Chairman of Board at Naseej for Technology.</t>
  </si>
  <si>
    <t>+966 (0)11 477 0477</t>
  </si>
  <si>
    <t>abdulrahman@naseej.com</t>
  </si>
  <si>
    <t>Al-Ahsa Road, Post Office Box 20129</t>
  </si>
  <si>
    <t>Building Number 7593, Ground floor</t>
  </si>
  <si>
    <t>+966 (0)11 478 3512</t>
  </si>
  <si>
    <t>339567-58P</t>
  </si>
  <si>
    <t>Abdulrahman Al Fadda</t>
  </si>
  <si>
    <t>Al Fadda</t>
  </si>
  <si>
    <t>Mr. Abdulrahman Al Fadda serves as Chief Financial Officer at Al Rajhi Banking and Investment. Mr. Al Fadda holds Bachelor's degree in Electrical Engineering.</t>
  </si>
  <si>
    <t>abdulrahmana@alrajhibank.com.sa</t>
  </si>
  <si>
    <t>443249-29P</t>
  </si>
  <si>
    <t>Abdulrahman Al Maleh</t>
  </si>
  <si>
    <t>Maleh</t>
  </si>
  <si>
    <t>Abdulrahman Al</t>
  </si>
  <si>
    <t>Al Fakhera</t>
  </si>
  <si>
    <t>Mr. Abdulrahman Al Maleh serves as Chief Executive Officer at Al Fakhera.</t>
  </si>
  <si>
    <t>+966 (0)92 000 0255</t>
  </si>
  <si>
    <t>abdulrahman.maleh@alfakhera.com</t>
  </si>
  <si>
    <t>New Industrial City</t>
  </si>
  <si>
    <t>8872 PO Box</t>
  </si>
  <si>
    <t>11942</t>
  </si>
  <si>
    <t>326085-04P</t>
  </si>
  <si>
    <t>Abdulrahman Al Rubaia</t>
  </si>
  <si>
    <t>Al Rubaia</t>
  </si>
  <si>
    <t>Hamad</t>
  </si>
  <si>
    <t>Solutions by STC (Systems and Information Management)</t>
  </si>
  <si>
    <t>Mr. Abdulrahman Al Rubaia serves as Chief Financial Officer at Solutions by STC (Systems and Information Management). Mr. Al Rubaia has 17+ yrs. of total experience in finance roles in solutions.</t>
  </si>
  <si>
    <t>+966 (0)11 525 1111</t>
  </si>
  <si>
    <t>arubaia@solutions.com.sa</t>
  </si>
  <si>
    <t>PO Box 50</t>
  </si>
  <si>
    <t>11372</t>
  </si>
  <si>
    <t>+966 (0)11 460 1110</t>
  </si>
  <si>
    <t>444925-36P</t>
  </si>
  <si>
    <t>Abdulrahman Al-Hadlaq</t>
  </si>
  <si>
    <t>Al-Hadlaq</t>
  </si>
  <si>
    <t>bin Ibrahim Hamad</t>
  </si>
  <si>
    <t>Asas Makeen</t>
  </si>
  <si>
    <t>Mr. Abdulrahman Al-Hadlaq serves as Chairman of the Board at Asas Makeen. He holds a Master's degree in Business Administration from the Arab East Colleges in the Kingdom of Saudi Arabia in 2015. He holds a Bachelor's degree in Accounting from Imam Muhammad ibn Saud Islamic University in the Kingdom of Saudi Arabia in 2011. He served as CEO of Sadr Logistics Services Company (a public joint stock company) (operating in the field of logistics services) from 2020 to 2022. He held the position of CEO of Abdul Rahman Al Shaalan Sons Trading Company (a limited liability company) (operating in the field of rice trade) from 2017 to 2020. He is Membership of the Board of Directors of Code Real Estate Company (Chairman of the Board of Directors) from 2021 until now.</t>
  </si>
  <si>
    <t>+966 (0)92 003 3366</t>
  </si>
  <si>
    <t>a.hadlaq@asasmakeen.com</t>
  </si>
  <si>
    <t>Bin Malik Road</t>
  </si>
  <si>
    <t>Central Region</t>
  </si>
  <si>
    <t>Narjis - Anas District</t>
  </si>
  <si>
    <t>41121-3327</t>
  </si>
  <si>
    <t>+966 (0)11 211 2983</t>
  </si>
  <si>
    <t>449263-99P</t>
  </si>
  <si>
    <t>Abdulrahman Al-Huthail</t>
  </si>
  <si>
    <t>Al-Huthail</t>
  </si>
  <si>
    <t>Mr. Abdulrahman Al-Huthail serves as Chief Operating Officer at Riyad Bank. He held the position of Chief Operating Officer at Riyad Bank since March 2025. He has twenty-five years of experience in various areas of the banking sector, including credit risk management, finance and operations. Throughout his career, he has held several leadership positions at Riyad Bank including- Head of Operations and Head of Personal Finance Operations. As the COO of the Bank, he is leading a key sector of the Bank, encompassing several strategic departments focused on improving customer experience, increasing operational efficiency, and enhancing control and compliance. Furthermore, he is the Board Deputy Chairman of the Board of Directors of Saudi Support Financial Services Company "SANID" since August 2023.</t>
  </si>
  <si>
    <t>aalhuthail@riyadbank.com</t>
  </si>
  <si>
    <t>389833-93P</t>
  </si>
  <si>
    <t>Abdulrahman Al-Mufadda</t>
  </si>
  <si>
    <t>Al-Mufadda</t>
  </si>
  <si>
    <t>Chief Operations Officer</t>
  </si>
  <si>
    <t>Mr. Abdulrahman Al-Mufadda serves as Chief Operations Officer at Zain Saudi Arabia. As the Chief Operations Officer of Zain KSA since March 2024, HE leads the Company's development teams and oversees technology and digital innovation development. He has successfully led his team in implementing Zain KSA's strategy in the deployment of the 5G network across the Kingdom, achieving the most significant local and regional accomplishment of its kind, which has yielded the expansion of the Company's services, solutions, and innovations offered, such as Augmented and Virtual Reality technologies (AR &amp; VR), Artificial Intelligence, Robotics, and more. He further contributed to implementing Project Reload, one of the biggest projects in Zain KSA's history, and the USF Broadband Project, both of which are part of the 2020 National Transformation Program. He initially joined Zain KSA as Planning Delivery Manager in 2013 before assuming several managerial roles leading up to his current position. He brings 19 years of experience in the telecommunications industry, where prior to joining Zain KSA, he held several senior technical positions, most notably, as R&amp;D Engineer and as Project Manager within Ericsson Group. He is a certified Project Management Professional and holds a Bachelor's Degree in Electrical Engineering from King Saud University, and a general management program certificate from Institut Européen d'Administration des Affaires "INSEAD"</t>
  </si>
  <si>
    <t>abdulrahman.almufadda@sa.zain.com</t>
  </si>
  <si>
    <t>383431-69P</t>
  </si>
  <si>
    <t>Abdulrahman Al-Mufarreh</t>
  </si>
  <si>
    <t>Al-Mufarreh</t>
  </si>
  <si>
    <t>Saudi Arabia Refineries</t>
  </si>
  <si>
    <t>Mr. Abdulrahman Al-Mufarreh serves as Chief Executive Officer at Saudi Arabia Refineries.</t>
  </si>
  <si>
    <t>+966 (0)12 653 0289</t>
  </si>
  <si>
    <t>Adham Center, Al-Ruwais</t>
  </si>
  <si>
    <t>23215</t>
  </si>
  <si>
    <t>+966 (0)12 651 8050</t>
  </si>
  <si>
    <t>282832-93P</t>
  </si>
  <si>
    <t>Abdulrahman Al-Ruwaita</t>
  </si>
  <si>
    <t>Al-Ruwaita</t>
  </si>
  <si>
    <t>Eng. Abdulrahman Ibrahim Abdulrahman Al-Ruwaita is the Chairman of the Board of Directors of SRMG. Al-Ruwaita serves on the board of a wide range of organizations, including Jadwa Investment Company andGeneral Commission for Audiovisual Media. In addition, Al-Ruwaita has held various senior roles including: Managing Director and General Manager of Aseer Company, , first Vice Executive President at Dallah Al Baraka Holding Company, Al-Ruwaita previously served as Chairman of the Board of Directors of Halwani Bros, Board member of Emaar Economic City Company, and Vice Chairman of the Board of Directors of Welaya for Investment Company. He formerly served as a member of the Advisory Committee for Economic Affairs at the Supreme Economic Council, in addition to serving as a member of the Board of Directors of the General Authority of Civil Aviation. Al-Ruwaita holds a master's degree in Industrial Engineering from the University of South Carolina in the U.S.</t>
  </si>
  <si>
    <t>440007-85P</t>
  </si>
  <si>
    <t>Abdulrahman Alyaeesh</t>
  </si>
  <si>
    <t>Alyaeesh</t>
  </si>
  <si>
    <t>Saudi Automotive Services</t>
  </si>
  <si>
    <t>Mr. Abdulrahman Alyaeesh serves as Chief Operating Officer at Saudi Automotive Services.</t>
  </si>
  <si>
    <t>Makkah Al Mukarramah Road (Khurais), Building Number 4870</t>
  </si>
  <si>
    <t>7277 King Abdulaziz District</t>
  </si>
  <si>
    <t>12411</t>
  </si>
  <si>
    <t>+966 (0)92 000 0581</t>
  </si>
  <si>
    <t>287871-58P</t>
  </si>
  <si>
    <t>Abdulrahman Saleh Al-Obrah</t>
  </si>
  <si>
    <t>Saleh Al-Obrah</t>
  </si>
  <si>
    <t>Mr. Abdulrahman Saleh Al-Obrah serves as Chief Executive Officer at Saudi Arabian Cooperative Insurance. Mr. Saleh Al-Obrah served as Chief Executive Officer at Alahli Takaful.</t>
  </si>
  <si>
    <t>aalobrah@saico.com.sa</t>
  </si>
  <si>
    <t>282413-71P</t>
  </si>
  <si>
    <t>Yanbu National Petrochemicals</t>
  </si>
  <si>
    <t>Mr. Abdulrahman A. Shamsaddin, Non-Executive Chairman of the Board. Current position: SABIC Executive Vice President, Shared Services. He currently holds several other positions, including a board member of Marafiq company and Maaden Phosphate Company. Former Positions and Work Experience: Vice President of Internal Audit at SABIC, General Manager of Risk Management at SABIC, General Manager of Continuous Improvement at SABIC, General Manager of Manufacturing Services at SABIC, Manager of Maintenance Projects Management at SABIC, Operations General Manager at Ibn Rushd, Manager of Maintenance Management at SAMREF, Supervisor of Inspection Department at SAMREF. He has a B.Sc. degree in Applied Mechanical Engineering</t>
  </si>
  <si>
    <t>+966 (0)4 325 9000</t>
  </si>
  <si>
    <t>Yanbu Industrial, Saudi Arabia</t>
  </si>
  <si>
    <t>P.O. Box 31396</t>
  </si>
  <si>
    <t>Yanbu Industrial</t>
  </si>
  <si>
    <t>41912</t>
  </si>
  <si>
    <t>+966 (0)4 325 9502</t>
  </si>
  <si>
    <t>329969-71P</t>
  </si>
  <si>
    <t>Abdulsalam Al-Aqeel</t>
  </si>
  <si>
    <t>Al-Aqeel</t>
  </si>
  <si>
    <t>Abdulsalam</t>
  </si>
  <si>
    <t>Alandalus Property</t>
  </si>
  <si>
    <t>Mr. Abdulsalam Al-Aqeel serves as Chairman at Alandalus Property.</t>
  </si>
  <si>
    <t>+966 (0)11 470 0735</t>
  </si>
  <si>
    <t>aalaqeel@alandalus.com.sa</t>
  </si>
  <si>
    <t>P.O.Box 260020</t>
  </si>
  <si>
    <t>11342</t>
  </si>
  <si>
    <t>+966 (0)11 450 6760</t>
  </si>
  <si>
    <t>316147-33P</t>
  </si>
  <si>
    <t>Abdulwahab Mohammed Saad Al-Ajroush</t>
  </si>
  <si>
    <t>Mohammed Saad Al-Ajroush</t>
  </si>
  <si>
    <t>Abdulwahab</t>
  </si>
  <si>
    <t>Naba Alsaha Medical Services</t>
  </si>
  <si>
    <t>Mr. Abdulwahab Mohammed Saad Al-Ajroush serves as Chairman at Naba Alsaha Medical Services.</t>
  </si>
  <si>
    <t>+966 (0)13 855 5000</t>
  </si>
  <si>
    <t>Post Office Box 887</t>
  </si>
  <si>
    <t>Abdullah Bin Hathlan Street, Al-Khuzama District</t>
  </si>
  <si>
    <t>31911</t>
  </si>
  <si>
    <t>339662-08P</t>
  </si>
  <si>
    <t>Adel Abalkhail</t>
  </si>
  <si>
    <t>Abalkhail</t>
  </si>
  <si>
    <t>Adel</t>
  </si>
  <si>
    <t>Mr. Adel Abalkhail serves as Chief Financial Officer at Alinma Bank.</t>
  </si>
  <si>
    <t>440018-56P</t>
  </si>
  <si>
    <t>Adel Al Omran</t>
  </si>
  <si>
    <t>Al Omran</t>
  </si>
  <si>
    <t>Saudi Ceramic</t>
  </si>
  <si>
    <t>Mr. Adel Al Omran serves as Chief Operating Officer at Saudi Ceramic.</t>
  </si>
  <si>
    <t>+966 (0)11 829 8888</t>
  </si>
  <si>
    <t>aalomran@saudiceramics.com</t>
  </si>
  <si>
    <t>King Fahad Road, Al Olaya</t>
  </si>
  <si>
    <t>PO Box 3893</t>
  </si>
  <si>
    <t>11481</t>
  </si>
  <si>
    <t>+966 (0)11 465 2124</t>
  </si>
  <si>
    <t>339803-74P</t>
  </si>
  <si>
    <t>Adel AlBayedh</t>
  </si>
  <si>
    <t>AlBayedh</t>
  </si>
  <si>
    <t>Basheer</t>
  </si>
  <si>
    <t>Arabia Insurance Cooperative</t>
  </si>
  <si>
    <t>Chief Financial Officer and Investment Committee Member</t>
  </si>
  <si>
    <t>Mr. Adel AlBayedh serves as Chief Financial Officer and Investment Committee Member at Arabia Insurance Cooperative.</t>
  </si>
  <si>
    <t>+966 (0)11 215 3360</t>
  </si>
  <si>
    <t>adelalbayedh@aicc.com.sa</t>
  </si>
  <si>
    <t>King Abdulaziz Road Alworood Area. Bin Tami Center. P. O. Box 286555</t>
  </si>
  <si>
    <t>+966 (0)11 215 3197</t>
  </si>
  <si>
    <t>419441-05P</t>
  </si>
  <si>
    <t>Adel Basri</t>
  </si>
  <si>
    <t>Basri</t>
  </si>
  <si>
    <t>Multi Business Group</t>
  </si>
  <si>
    <t>Mr. Adel Basri serves as Chairman at Multi Business Group. He brings experience from previous roles at MULTI BUSINESS Group (MBG) and MULTI BUSINESS Group - MBG. He holds a 2018 - 2020 MBA in Financial Management from Arab East Colleges and Bachelor in Urban Planning from King Saud University in 2007.</t>
  </si>
  <si>
    <t>+966 (0)92 001 3202</t>
  </si>
  <si>
    <t>abasri@mbg.sa</t>
  </si>
  <si>
    <t>Anas Bin Malik Road</t>
  </si>
  <si>
    <t>Al Narjis District, SA</t>
  </si>
  <si>
    <t>387057-97P</t>
  </si>
  <si>
    <t>Adel Khattab</t>
  </si>
  <si>
    <t>Khattab</t>
  </si>
  <si>
    <t>Mr. Adel Khattab serves as Chief Financial Officer at Almodawat.</t>
  </si>
  <si>
    <t>425683-63P</t>
  </si>
  <si>
    <t>Adham Qari</t>
  </si>
  <si>
    <t>Qari</t>
  </si>
  <si>
    <t>Adham</t>
  </si>
  <si>
    <t>Saleh Hamdam Jan</t>
  </si>
  <si>
    <t>ITMAM Consulting</t>
  </si>
  <si>
    <t>Mr. Adham Saleh Hamdam Jan Qari serves as Chief Executive Officer and Managing Director at ITMAM Consulting.</t>
  </si>
  <si>
    <t>+966 (0)11 247 5339</t>
  </si>
  <si>
    <t>Mefic Tower</t>
  </si>
  <si>
    <t>King Fahad Road, Almalqa</t>
  </si>
  <si>
    <t>72971-47P</t>
  </si>
  <si>
    <t>Adib Bin Abdullah Alzamil</t>
  </si>
  <si>
    <t>Abdullah Alzamil</t>
  </si>
  <si>
    <t>Adib Bin</t>
  </si>
  <si>
    <t>Mr. Adib Bin Abdullah Alzamil serves as Chairman of the Board at Jadwa Investment. Concurrently, Mr. Abdullah Alzamil has been the Managing Director of Finance &amp; Investment of Zamil Group Holding Company since the year 2000. Mr. Alzamil was formerly the Managing Director of Zamil Industrial Investment Company from 1975 to 1998 and Zamil Air Conditioners from 1975 to 1998. He holds a Bachelor's in Business Administration from Portland State University.</t>
  </si>
  <si>
    <t>438586-84P</t>
  </si>
  <si>
    <t>Adnan Al-Khalaf</t>
  </si>
  <si>
    <t>Al-Khalaf</t>
  </si>
  <si>
    <t>Adnan</t>
  </si>
  <si>
    <t>Lazurde Company for Jewelry</t>
  </si>
  <si>
    <t>Adnan Al-Khalaf serves as Chief Executive Officer &amp; Managing Director at L'azurde.</t>
  </si>
  <si>
    <t>+966 (0)1 265 1119</t>
  </si>
  <si>
    <t>adnan.al-khalaf@lazurde.com</t>
  </si>
  <si>
    <t>Al Masaref Street</t>
  </si>
  <si>
    <t>198 Banks District</t>
  </si>
  <si>
    <t>11521</t>
  </si>
  <si>
    <t>+966 (0)1 265 1020</t>
  </si>
  <si>
    <t>355713-04P</t>
  </si>
  <si>
    <t>Adnan Al-Shubaily</t>
  </si>
  <si>
    <t>Al-Shubaily</t>
  </si>
  <si>
    <t>bin Abdul Rahaman</t>
  </si>
  <si>
    <t>Mr. Adnan Al-Shubaily serves as Chief Executive Officer at Amlak International. As CEO, Mr. Al-Shubaily leads the company's business planning and management, managing a team of over 250 professionals. His focus is on innovation and integrating innovative digital solutions to enhance operational efficiency and service delivery, as well as his continuous pursuit of business growth and development. His previous roles at Riyad Bank, Gulf International Bank, Thiqa, and Emkan Finance have enhanced his extensive experience in business growth, technology, and finance, equipping him with the skills necessary to navigate the evolving digital landscape in the financial and banking sector.</t>
  </si>
  <si>
    <t>aalshubaily@amlakint.com</t>
  </si>
  <si>
    <t>343980-64P</t>
  </si>
  <si>
    <t>Adnan Alkhalaf</t>
  </si>
  <si>
    <t>Alkhalaf</t>
  </si>
  <si>
    <t>Leejam Sports</t>
  </si>
  <si>
    <t>Mr. Adnan Alkhalaf serves as Chief Executive Officer at Leejam Sports.</t>
  </si>
  <si>
    <t>+966 (0)11 210 1015</t>
  </si>
  <si>
    <t>aalkhalaf@leejam.com.sa</t>
  </si>
  <si>
    <t>Post Box 295245</t>
  </si>
  <si>
    <t>Thumama Street</t>
  </si>
  <si>
    <t>Ar Riyadh</t>
  </si>
  <si>
    <t>+966 (0)11 275 9714</t>
  </si>
  <si>
    <t>401227-39P</t>
  </si>
  <si>
    <t>Adnan Mohamed Ali</t>
  </si>
  <si>
    <t>Mohamed Ali</t>
  </si>
  <si>
    <t>Mr. Adnan Mohamed Ali serves as Chief Financial Officer at Saudi Manpower Solutions. He hold Bachelor's Degree in Management and Economics, Baghdad University, Baghdad, Iraq, in 1995G</t>
  </si>
  <si>
    <t>mohamedali@smasco.com</t>
  </si>
  <si>
    <t>426151-45P</t>
  </si>
  <si>
    <t>Adnan Mohammed</t>
  </si>
  <si>
    <t>Digital Research Company</t>
  </si>
  <si>
    <t>Mr. Adnan Mohammed serves as Chief Financial Officer at Digital Research Company.</t>
  </si>
  <si>
    <t>+966 (0)92 000 3485</t>
  </si>
  <si>
    <t>amohammed@drc.com</t>
  </si>
  <si>
    <t>Roshen Business Front</t>
  </si>
  <si>
    <t>Building N8</t>
  </si>
  <si>
    <t>437085-37P</t>
  </si>
  <si>
    <t>Ahmad AbdelKareem</t>
  </si>
  <si>
    <t>AbdelKareem</t>
  </si>
  <si>
    <t>Cenomi Retail</t>
  </si>
  <si>
    <t>Deputy Chief Financial Officer</t>
  </si>
  <si>
    <t>Mr. Ahmad AbdelKareem serves as Deputy Chief Financial Officer at Cenomi Retail where he leads the finance function across all operating countries. In this role, Mr AbdelKareem is responsible for overseeing the financial performance of the brands and plays a key role in Cenomi Retail's transformation strategy. His responsibilities include optimizing inventory and supply chain, as well as successfully implementing an omnichannel strategy. With over 15 years of experience in the region, he has a proven track record of guiding retail, food and beverage, and real estate companies through successful transformations and periods of significant growth. His expertise spans brand finance, corporate finance, corporate governance, and treasury.</t>
  </si>
  <si>
    <t>+966 (0)11 435 0000</t>
  </si>
  <si>
    <t>aabdelkareem@cenomiretail.com</t>
  </si>
  <si>
    <t>U-Walk, A3 Building, 1st Floor University Walk</t>
  </si>
  <si>
    <t>Beside Muvi Cinema Prince Turki Ibn Abdulaz Al Awwal Road, PO Box 4925</t>
  </si>
  <si>
    <t>12373</t>
  </si>
  <si>
    <t>352855-63P</t>
  </si>
  <si>
    <t>Ahmad AlKharashi</t>
  </si>
  <si>
    <t>AlKharashi</t>
  </si>
  <si>
    <t>Marble Design (Saudi)</t>
  </si>
  <si>
    <t>Founder &amp; Chairman</t>
  </si>
  <si>
    <t>Mr. Ahmad bin AlKharashi is the Founder &amp; serves as Chairman at Marble Design (Saudi).</t>
  </si>
  <si>
    <t>+966 (0)92 000 0988</t>
  </si>
  <si>
    <t>aalkharashi@marbledesign.sa.com</t>
  </si>
  <si>
    <t>8416 Sudus Industrial Area</t>
  </si>
  <si>
    <t>13986</t>
  </si>
  <si>
    <t>343438-03P</t>
  </si>
  <si>
    <t>Ahmad Alrakban</t>
  </si>
  <si>
    <t>Alrakban</t>
  </si>
  <si>
    <t>Almawarid Manpower</t>
  </si>
  <si>
    <t>Mr. Ahmad Al-rukban serves as Chairman at Almawarid Manpower. Mr. Alrakban has over 35 years of experience in administrative roles, including serving as Head of Workforce at King Fahd National Guard Hospital and Executive Director of Administrative Affairs in the Health Affairs Department at the Ministry of National Guard. He obtained a Bachelor's degree in Business Administration from the United States and has completed numerous scientific and managerial courses.</t>
  </si>
  <si>
    <t>+966 (0)92 002 7202</t>
  </si>
  <si>
    <t>Rawda neihbourhood exit 12 eastern ring road</t>
  </si>
  <si>
    <t>463406-23P</t>
  </si>
  <si>
    <t>Ahmad bin Abdullah Al-Saud</t>
  </si>
  <si>
    <t>bin Abdullah Al-Saud</t>
  </si>
  <si>
    <t>bin Khalid</t>
  </si>
  <si>
    <t>Mr. Ahmad bin Abdullah Al-Saud serves as Chairman at Saudi Arabian Cooperative Insurance.</t>
  </si>
  <si>
    <t>380000-98P</t>
  </si>
  <si>
    <t>Ahmad bin Saleh Babaeer</t>
  </si>
  <si>
    <t>Saleh Babaeer</t>
  </si>
  <si>
    <t>Ahmad bin</t>
  </si>
  <si>
    <t>Dr. Ahmad bin Saleh Babaeer serves as Chief Executive Officer at Dallah Healthcare Holding. He served as Vice Dean for the College of Agriculture at King Saud University from 1987 to 1991 and as Head of the Agricultural Engineering Department at the Faculty of Agriculture, King Saud University from 1993 to 1994. He also served as General Manager of Jazan Agricultural Development Company (Jazadco) from 1994 to 1999. He also served as General Manager of Al Jouf Agricultural Development Company ( JADCO ) from 2000 to 2005 and as Business Development Consultant at Amjad Holding Company in Riyadh. from 2005 to 2008. He also served as Chief Executive Officer of Al Madina Real Estate Company; a subsidiary of Amjad Holding Company in Riyadh from 2006 to 2008. He holds a Ph.D. (Doctor of Philosophy) in Agricultural Machinery Engineering and Agricultural Power from the University of Iowa in 1984 and a Master of Agricultural Machinery Engineering and Agricultural Power from the University of Iowa, USA (1982). He also holds Bachelor of Agricultural Sciences from King Saud University in 1977.</t>
  </si>
  <si>
    <t>University of Iowa, King Saud University</t>
  </si>
  <si>
    <t>ababaeer@dallahhealth.com</t>
  </si>
  <si>
    <t>188016-22P</t>
  </si>
  <si>
    <t>Ahmad BinDawood</t>
  </si>
  <si>
    <t>Abdulrazzaq</t>
  </si>
  <si>
    <t>Chief Executive Officer and Board Member</t>
  </si>
  <si>
    <t>Mr. Ahmad BinDawood serves as Chief Executive Officer and Board Member at Bindawood. Mr. BinDawood served as Chief Executive Officer &amp; Board Member at Bindawood. He holds Bachelor's degree in International Business Administration from King Abdulaziz University.</t>
  </si>
  <si>
    <t>445383-64P</t>
  </si>
  <si>
    <t>Ahmad Nehmeh</t>
  </si>
  <si>
    <t>Nehmeh</t>
  </si>
  <si>
    <t>Abu</t>
  </si>
  <si>
    <t>Saudi NetWorks Services</t>
  </si>
  <si>
    <t>Acting Chief Executive Officer</t>
  </si>
  <si>
    <t>Mr. Ahmad Nehmeh serves as Acting Chief Executive Officer at Saudi NetWorks Services.</t>
  </si>
  <si>
    <t>+966 (0)11 293 9595</t>
  </si>
  <si>
    <t>anehmeh@saudinetworkers.com</t>
  </si>
  <si>
    <t>Al Oruba Street, Al Sulimaniyah</t>
  </si>
  <si>
    <t>P.O.Box 25141</t>
  </si>
  <si>
    <t>11466</t>
  </si>
  <si>
    <t>+966 (0)11 293 7273</t>
  </si>
  <si>
    <t>385702-30P</t>
  </si>
  <si>
    <t>Ahmad Shitaiwi</t>
  </si>
  <si>
    <t>Shitaiwi</t>
  </si>
  <si>
    <t>Mahd Hasan</t>
  </si>
  <si>
    <t>Mr. Ahmad Shitaiwi serves as Chief Financial Officer at Saudi Industrial Development. Mr. Shitaiwi previously served as Director Corporate Finance at Saudi Cable, Finance Manager at Almutlaq Furniture, CFO at Senwan Trading Group, Senior Finance Manager at Senwan Trading Group, Finance Manager at Fawaz Al Hokair &amp; Company. He holds a Bachelor's degree in Accounting from Jerash Private University - Jordan.</t>
  </si>
  <si>
    <t>ashitaiwi@sidc.com.sa</t>
  </si>
  <si>
    <t>368581-15P</t>
  </si>
  <si>
    <t>Ahmed Abdullah</t>
  </si>
  <si>
    <t>M</t>
  </si>
  <si>
    <t>Lana Medical</t>
  </si>
  <si>
    <t>Mr. Ahmed Abdullah serves as Chief Financial Officer at Lana Medical.</t>
  </si>
  <si>
    <t>+966 (0)92 001 2696</t>
  </si>
  <si>
    <t>abdullah@lanamedical.com</t>
  </si>
  <si>
    <t>2588 Salah Ad Din Al Ayyubi Road 7473</t>
  </si>
  <si>
    <t>12851</t>
  </si>
  <si>
    <t>484586-74P</t>
  </si>
  <si>
    <t>Ahmed Abdulsalam Elkhatabi</t>
  </si>
  <si>
    <t>Abdulsalam Elkhatabi</t>
  </si>
  <si>
    <t>Naseej International Trading</t>
  </si>
  <si>
    <t>Mr. Ahmed Abdulsalam Elkhatabi serves as Chief Financial Officer at Naseej International Trading.</t>
  </si>
  <si>
    <t>+966 (0)92 002 2511</t>
  </si>
  <si>
    <t>aelkhatabi@al-sorayai.com</t>
  </si>
  <si>
    <t>Siteen Street</t>
  </si>
  <si>
    <t>Industrial City- Phase 1, PO Box 31279</t>
  </si>
  <si>
    <t>21441</t>
  </si>
  <si>
    <t>+966 (0)12 234 7003</t>
  </si>
  <si>
    <t>New Person</t>
  </si>
  <si>
    <t>400273-12P</t>
  </si>
  <si>
    <t>Ahmed Abu Samra</t>
  </si>
  <si>
    <t>Abu Samra</t>
  </si>
  <si>
    <t>Mahmoud</t>
  </si>
  <si>
    <t>Horizon Educational ( Educational and Training Services)</t>
  </si>
  <si>
    <t>Chief Executive Officer &amp; Manager</t>
  </si>
  <si>
    <t>Mr. Ahmed Mahmoud Abu Samra serves as Chief Executive Officer &amp; Manager at Horizon Educational ( Educational and Training Services).</t>
  </si>
  <si>
    <t>+966 (0)11 460 4646</t>
  </si>
  <si>
    <t>Abdullah Alanqari Street</t>
  </si>
  <si>
    <t>Al Wurud</t>
  </si>
  <si>
    <t>341001-37P</t>
  </si>
  <si>
    <t>Ahmed Al Atawneh</t>
  </si>
  <si>
    <t>Al Atawneh</t>
  </si>
  <si>
    <t>Horizon Food</t>
  </si>
  <si>
    <t>Mr. Ahmed Al Atawneh serves as Chief Financial Officer at Horizon Food.</t>
  </si>
  <si>
    <t>+966 (0)13 856 1000</t>
  </si>
  <si>
    <t>aatawneh@horizonfood.sa</t>
  </si>
  <si>
    <t>Al-Ahsa 3rd Industrial City</t>
  </si>
  <si>
    <t>34857</t>
  </si>
  <si>
    <t>+966 (0)1 385 0037</t>
  </si>
  <si>
    <t>330264-19P</t>
  </si>
  <si>
    <t>Ahmed Al-Atris</t>
  </si>
  <si>
    <t>Al-Atris</t>
  </si>
  <si>
    <t>Middle East Healthcare Company</t>
  </si>
  <si>
    <t>Mr. Ahmed Al-Atris serves as Chief Executive Officer at Middle East Healthcare Company.</t>
  </si>
  <si>
    <t>+966 (0)12 260 6000</t>
  </si>
  <si>
    <t>aalatris@saudigermanhealth.com</t>
  </si>
  <si>
    <t>4, Batterjee Road</t>
  </si>
  <si>
    <t>Al-Zahra District</t>
  </si>
  <si>
    <t>21461</t>
  </si>
  <si>
    <t>371836-18P</t>
  </si>
  <si>
    <t>Ahmed Al-Harbi</t>
  </si>
  <si>
    <t>Al-Harbi</t>
  </si>
  <si>
    <t>Bijad Nabet</t>
  </si>
  <si>
    <t>View Real Estate</t>
  </si>
  <si>
    <t>Founder and Chairman of the Board of Directors</t>
  </si>
  <si>
    <t>Mr. Ahmed Al-Harbi is the Founder and serves as Chairman of the Board of Directors at View Real Estate. Mr. Al-Harbi holds a Bachelor's degree in Business Administration from the American University in the United Arab Emirates in 2005.</t>
  </si>
  <si>
    <t>American University</t>
  </si>
  <si>
    <t>+966 (0)92 003 3504</t>
  </si>
  <si>
    <t>3898 Anas Bin Malik Road</t>
  </si>
  <si>
    <t>Al Yasmeen District</t>
  </si>
  <si>
    <t>65771-3325</t>
  </si>
  <si>
    <t>250270-66P</t>
  </si>
  <si>
    <t>Ahmed Al-Jabr</t>
  </si>
  <si>
    <t>Al-Jabr</t>
  </si>
  <si>
    <t>Saudi Re</t>
  </si>
  <si>
    <t>Mr. Ahmed Al-Jabr serves as Chief Executive Officer at Saudi Re.</t>
  </si>
  <si>
    <t>+966 (0)11 510 2000</t>
  </si>
  <si>
    <t>Northern Ring Road</t>
  </si>
  <si>
    <t>Al Wadi</t>
  </si>
  <si>
    <t>13313</t>
  </si>
  <si>
    <t>+966 (0)11 510 2111</t>
  </si>
  <si>
    <t>379203-85P</t>
  </si>
  <si>
    <t>Ahmed Al-Lohaidan</t>
  </si>
  <si>
    <t>Al-Lohaidan</t>
  </si>
  <si>
    <t>Arabian Pipes</t>
  </si>
  <si>
    <t>Mr. Ahmed Al-Lohaidan serves as Chief Executive Officer &amp; Board Member at Arabian Pipes.</t>
  </si>
  <si>
    <t>+966 (0)11 265 0123</t>
  </si>
  <si>
    <t>al-lohaidanahmed@arabian-pipes.com</t>
  </si>
  <si>
    <t>Kingdom of Saudi Arabia 42734</t>
  </si>
  <si>
    <t>11551</t>
  </si>
  <si>
    <t>+966 (0)11 265 0312</t>
  </si>
  <si>
    <t>345749-14P</t>
  </si>
  <si>
    <t>Ahmed Al-Mutawa</t>
  </si>
  <si>
    <t>Al-Mutawa</t>
  </si>
  <si>
    <t>Morabaha Marina Financing</t>
  </si>
  <si>
    <t>Chief Operating Officer &amp; General Manager of Business</t>
  </si>
  <si>
    <t>Mr. Ahmed Al-Mutawa serves as Chief Operating Officer &amp; General Manager of Business at Morabaha Marina Financing.</t>
  </si>
  <si>
    <t>aal-mutawa@mrna.sa</t>
  </si>
  <si>
    <t>Al-Thumama Road, P.O. Box 7071</t>
  </si>
  <si>
    <t>Second Floor</t>
  </si>
  <si>
    <t>Al-Rabee</t>
  </si>
  <si>
    <t>427200-04P</t>
  </si>
  <si>
    <t>Ahmed Aldubaykhi</t>
  </si>
  <si>
    <t>Aldubaykhi</t>
  </si>
  <si>
    <t>Purity Tech</t>
  </si>
  <si>
    <t>Mr. Ahmed Aldubaykhi serves as Chief Executive Officer at Purity Tech.</t>
  </si>
  <si>
    <t>+966 (0)53 880 4044</t>
  </si>
  <si>
    <t>395847-19P</t>
  </si>
  <si>
    <t>Ahmed Aljedai</t>
  </si>
  <si>
    <t>Aljedai</t>
  </si>
  <si>
    <t>Hamdan</t>
  </si>
  <si>
    <t>Dr. Ahmed Hamdan Aljedai, Chairman of the Board. Board Certified Pharmacotherapist from the American Board of Medical Specialties. Holds a PhD in Pharmacy from the University of Health Sciences and Pharmacy, Saint Louis University, USA, a master's of Business Administration from the University of Harlington, UK, and a bachelor's degree from King Saud University. He is the founding President of the Saudi Society of Clinical Pharmacy. Current position: Assistant Undersecretary for Allied Medical Services, Ministry of Health; Professor at Al Faisal University. Previous Position: Chairman of the Scientific Council of Pharmacy, Saudi Commission for Medical Specialties; Director of the General Department of Pharmaceutical Care, King Faisal Specialist Hospital and Research Center.</t>
  </si>
  <si>
    <t>400536-01P</t>
  </si>
  <si>
    <t>Ahmed Almohsen</t>
  </si>
  <si>
    <t>Almohsen</t>
  </si>
  <si>
    <t>Mr. Ahmed Almohsen serves as Chief Financial Officer at The Saudi Investment Bank.</t>
  </si>
  <si>
    <t>aabdulrahman-almohsen@saib.com.sa</t>
  </si>
  <si>
    <t>369257-59P</t>
  </si>
  <si>
    <t>Ahmed Alnafie</t>
  </si>
  <si>
    <t>Alnafie</t>
  </si>
  <si>
    <t>Riyadh Steel Company</t>
  </si>
  <si>
    <t>Mr. Ahmed Alnafie serves as Chief Executive Officer &amp; Board Member at Riyadh Steel Company.</t>
  </si>
  <si>
    <t>Seattle University</t>
  </si>
  <si>
    <t>+966 (0)80 012 4325</t>
  </si>
  <si>
    <t>a.alnafie@riyadhsteel.com.sa</t>
  </si>
  <si>
    <t>Imam Abdullah bin Saud bin Abdulaziz Road, Al-Shuhada District</t>
  </si>
  <si>
    <t>Office No. 35, Building No. 4578</t>
  </si>
  <si>
    <t>13241</t>
  </si>
  <si>
    <t>298757-89P</t>
  </si>
  <si>
    <t>Ahmed Alsubaey</t>
  </si>
  <si>
    <t>Alsubaey</t>
  </si>
  <si>
    <t>Co-Chief Executive Officer &amp; Board Member</t>
  </si>
  <si>
    <t>Mr. Ahmed Alsubaey serves as Co-Chief Executive Officer &amp; Board Member at Bahri.</t>
  </si>
  <si>
    <t>aalsubaey@bahri.sa</t>
  </si>
  <si>
    <t>439038-73P</t>
  </si>
  <si>
    <t>Ahmed Balubaid</t>
  </si>
  <si>
    <t>Balubaid</t>
  </si>
  <si>
    <t>O</t>
  </si>
  <si>
    <t>Service Equipment</t>
  </si>
  <si>
    <t>Mr. Ahmed Balubaid serves as Chairman at Service Equipment.</t>
  </si>
  <si>
    <t>+966 (0)12 640 3000</t>
  </si>
  <si>
    <t>abalubaid@serviceequipment.com.sa</t>
  </si>
  <si>
    <t>P.O.Box 4784</t>
  </si>
  <si>
    <t>425591-20P</t>
  </si>
  <si>
    <t>Ahmed Ebid</t>
  </si>
  <si>
    <t>Ebid</t>
  </si>
  <si>
    <t>Aly</t>
  </si>
  <si>
    <t>Baan Group Holding</t>
  </si>
  <si>
    <t>Mr. Ahmed Ebid serves as Chief Financial Officer at Baan Holding. He brings over 17 years of extensive experience with BAAN Group, where he has held several senior financial and operational key roles. Currently serving as the Group CFO, he has consistently demonstrated expertise in strategic planning, financial analysis, budgeting, and team leadership, significantly contributing to the group's growth and operational efficiency. Throughout his career, he has successfully led the financial operations of the group, developed financial plans aligned with strategic objectives, and provided in-depth financial insights to support informed decision-making. He is also a member of the Executive Committee for "Malahy," a joint venture by Al Hokair Group, underscoring his active involvement in strategic initiatives.</t>
  </si>
  <si>
    <t>+966 (0)11 413 4444</t>
  </si>
  <si>
    <t>ahmed@alhokair.com</t>
  </si>
  <si>
    <t>2757 Northern Ring Road</t>
  </si>
  <si>
    <t>Al Murooj, Exit 5</t>
  </si>
  <si>
    <t>12283</t>
  </si>
  <si>
    <t>463680-64P</t>
  </si>
  <si>
    <t>Ahmed Elshaer</t>
  </si>
  <si>
    <t>Elshaer</t>
  </si>
  <si>
    <t>Acting Chief Financial Officer &amp; Group Financial Director</t>
  </si>
  <si>
    <t>Mr. Ahmed Elshaer serves as Acting Chief Financial Officer and Group Financial Director at Saudi Research and Media Group. He is an accomplished financial executive with over 20 years of experience in finance, operations management, audit, banking, and risk management within multi-billion-dollar organizations. He has worked at SRMG since 2017, holding the position of Group Financial Director for SRMG and its subsidiary, Asharq News Network 2017. He is a Fellow of the Association of Certified Chartered Accountants (ACCA) and a member of both the Chartered Professional Accountants of British Columbia (CPABC) and CPA Canada. He holds a bachelor's degree in accounting from Cairo University (2003) and has built a distinguished career in the financial sector, having previously held positions at Rajhi-Invest Group and PricewaterhouseCoopers (PwC). His expertise in financial strategy, risk management, and corporate finance has made him a leader in his field.</t>
  </si>
  <si>
    <t>ahmed.elshaer@srmg.com</t>
  </si>
  <si>
    <t>328071-43P</t>
  </si>
  <si>
    <t>Ahmed Fayyad</t>
  </si>
  <si>
    <t>Fayyad</t>
  </si>
  <si>
    <t>Arab Sea Information System</t>
  </si>
  <si>
    <t>Mr. Ahmed Fayyad serves as Chief Financial Officer at Arab Sea Information System.</t>
  </si>
  <si>
    <t>+966 (0)92 000 0559</t>
  </si>
  <si>
    <t>ahmedf@arabsea.com</t>
  </si>
  <si>
    <t>Eastern Ring Road between exit 13-14</t>
  </si>
  <si>
    <t>11499</t>
  </si>
  <si>
    <t>+966 (0)1 493 0821</t>
  </si>
  <si>
    <t>385354-99P</t>
  </si>
  <si>
    <t>Ahmed Fitaihi</t>
  </si>
  <si>
    <t>Fitaihi</t>
  </si>
  <si>
    <t>Hassan</t>
  </si>
  <si>
    <t>Fitaihi Holding</t>
  </si>
  <si>
    <t>Mr. Ahmed Fitaihi is the Founder and serves as Chairman at Fitaihi Holding. Mr. Fitaihi served as Chairman Sukoon International. He served as a Board Memebr of Friends of Heart Charity Association, Credit Agricole Egypt, General Organization of Social Insurance, Jeddah Chamber of Commerce &amp; Industry and Dar Al-Fouad Hospital. He served as Board Member and the Financial Controller of Alittihad Sports Club. He served as President of Gold &amp; Jewelry Committee. He served as Deputy General Manager of Al-Madina Newspaper.</t>
  </si>
  <si>
    <t>+966 (0)12 260 4200</t>
  </si>
  <si>
    <t>ahmed.fitaihi@fitaihi.com.sa</t>
  </si>
  <si>
    <t>Al Madinah Al Munawarah</t>
  </si>
  <si>
    <t>Al-Sharafeya</t>
  </si>
  <si>
    <t>22234</t>
  </si>
  <si>
    <t>467249-68P</t>
  </si>
  <si>
    <t>Ahmed Gamaledin</t>
  </si>
  <si>
    <t>Gamaledin</t>
  </si>
  <si>
    <t>Almasar Alshamil Education</t>
  </si>
  <si>
    <t>Mr. Ahmed Gamaledin serves as Chief Financial Officer at Almasar Alshamil Education. He leverages 30 years of experience in financial management, corporate strategy, and investment banking. He started his career as an external auditor at KPMG before moving to its corporate finance division where he provided financial advisory services including business valuation, M&amp;A, fund raising, and corporate restructuring to multiple corporates and across various sectors. He is also led the control and reporting function at Cadbury and PepsiCo as a country Financial Controller, and was previously MENA Finance and Strategy Director at Lundbeck. He has held various CFO roles, including at Egypt Foods Group, Cleopatra Hospitals Group, the largest Egyptian private healthcare group traded on the Egyptian Stock Exchange and most recently as Group CFO of Magrabi Hospitals. He holds a Master of Business Administration from the American University in Cairo and he is a Certified Management Accountant 'CMA' from the American Institute of Management Accountants.</t>
  </si>
  <si>
    <t>+966 (0)11 404 9200</t>
  </si>
  <si>
    <t>agamaledin@masareducation.com</t>
  </si>
  <si>
    <t>Altawuniya Tower, 17th Floor</t>
  </si>
  <si>
    <t>North Building, King Fahad Road, Al Olaya District, Building Number 6897</t>
  </si>
  <si>
    <t>463293-73P</t>
  </si>
  <si>
    <t>Ahmed Hamdan</t>
  </si>
  <si>
    <t>Tawfiq Mahmoud</t>
  </si>
  <si>
    <t>National Signage Industrial</t>
  </si>
  <si>
    <t>Ahmed Hamdan serves as Chief Financial Officer at National Signage Industrial.</t>
  </si>
  <si>
    <t>+966 (0)11 510 8910</t>
  </si>
  <si>
    <t>ahmed.hamdan@signworldme.com</t>
  </si>
  <si>
    <t>Eastern Ring Road - Al Noor District</t>
  </si>
  <si>
    <t>14338</t>
  </si>
  <si>
    <t>460438-30P</t>
  </si>
  <si>
    <t>Ahmed Karim</t>
  </si>
  <si>
    <t>Karim</t>
  </si>
  <si>
    <t>Sedky Abdel Hamid</t>
  </si>
  <si>
    <t>Wajd Al Hayat Trading</t>
  </si>
  <si>
    <t>Mr. Ahmed Karim serves as Chief Financial Officer at Wajd Life Trading.</t>
  </si>
  <si>
    <t>Al Zahra</t>
  </si>
  <si>
    <t>298824-31P</t>
  </si>
  <si>
    <t>Ahmed Khattab Latif Khattab</t>
  </si>
  <si>
    <t>Latif Khattab</t>
  </si>
  <si>
    <t>Ahmed Khattab</t>
  </si>
  <si>
    <t>Advance International (Saudi Arabia)</t>
  </si>
  <si>
    <t>Mr. Ahmed Khattab Latif Khattab serves as Chief Financial Officer at Advance International Co.</t>
  </si>
  <si>
    <t>ahmed@aictec.com</t>
  </si>
  <si>
    <t>King Fahd Road Al Olaya District 7792</t>
  </si>
  <si>
    <t>PO Box 54823</t>
  </si>
  <si>
    <t>12313</t>
  </si>
  <si>
    <t>328976-56P</t>
  </si>
  <si>
    <t>Ahmed Kortam</t>
  </si>
  <si>
    <t>Kortam</t>
  </si>
  <si>
    <t>Mustafa</t>
  </si>
  <si>
    <t>Mr. Ahmed Kortam serves as Chief Financial Officer at Sadr Logistics.</t>
  </si>
  <si>
    <t>357791-32P</t>
  </si>
  <si>
    <t>Ahmed Mahmoud</t>
  </si>
  <si>
    <t>Al-Saeed Al-Sayed</t>
  </si>
  <si>
    <t>Mr. Ahmed Mahmoud serves as Chief Financial Officer at Mayar Holding.</t>
  </si>
  <si>
    <t>382780-99P</t>
  </si>
  <si>
    <t>Ahmed Mohamed</t>
  </si>
  <si>
    <t>Talat Abdul Elaziz</t>
  </si>
  <si>
    <t>Saudi Industrial Export</t>
  </si>
  <si>
    <t>Mr. Ahmed Mohamed serves as Chief Financial Officer at Saudi Industrial Export.</t>
  </si>
  <si>
    <t>+966 (0)11 200 2939</t>
  </si>
  <si>
    <t>ahmedmohamed@siec.com.sa</t>
  </si>
  <si>
    <t>P.O.Box 21977</t>
  </si>
  <si>
    <t>11485</t>
  </si>
  <si>
    <t>+966 (0)1 402 2854</t>
  </si>
  <si>
    <t>446251-87P</t>
  </si>
  <si>
    <t>Ahmed Osaili</t>
  </si>
  <si>
    <t>Osaili</t>
  </si>
  <si>
    <t>Abdulaziz Al</t>
  </si>
  <si>
    <t>Axelerated Solutions for Information and Communication Technology</t>
  </si>
  <si>
    <t>Chief Executive Officer &amp; Vice Chairman</t>
  </si>
  <si>
    <t>Mr. Ahmed Osaili serves as Chief Executive Officer &amp; Vice Chairman at Axelerated Solutions for Information and Communication Technology.</t>
  </si>
  <si>
    <t>8498</t>
  </si>
  <si>
    <t>Al Riyadh</t>
  </si>
  <si>
    <t>391301-56P</t>
  </si>
  <si>
    <t>Ahmed Zaatari</t>
  </si>
  <si>
    <t>Zaatari</t>
  </si>
  <si>
    <t>Mr. Ahmed Zaatari serves as Chief Executive Officer at Advanced Building Industries Co.</t>
  </si>
  <si>
    <t>azaatari@zamilindustrial.com</t>
  </si>
  <si>
    <t>341797-42P</t>
  </si>
  <si>
    <t>Aiman Khayat</t>
  </si>
  <si>
    <t>Khayat</t>
  </si>
  <si>
    <t>Aiman</t>
  </si>
  <si>
    <t>Fouad</t>
  </si>
  <si>
    <t>Saudi Kayan Petrochemical</t>
  </si>
  <si>
    <t>Co-Chief Financial Officer</t>
  </si>
  <si>
    <t>Mr. Aiman Khayat serves as Co-Chief Financial Officer at Saudi Kayan Petrochemical.</t>
  </si>
  <si>
    <t>+966 (0)13 356 3300</t>
  </si>
  <si>
    <t>akhayat@saudikayan.com</t>
  </si>
  <si>
    <t>P.O.Box 10302</t>
  </si>
  <si>
    <t>Jubail Industrial City</t>
  </si>
  <si>
    <t>31969</t>
  </si>
  <si>
    <t>+966 (0)13 359 3111</t>
  </si>
  <si>
    <t>412034-41P</t>
  </si>
  <si>
    <t>Ajlan Abdulaziz Al Ajlan</t>
  </si>
  <si>
    <t>Al Ajlan</t>
  </si>
  <si>
    <t>Ajlan Abdulaziz</t>
  </si>
  <si>
    <t>Arabian Mills</t>
  </si>
  <si>
    <t>Mr. Ajlan Abdulaziz Al Ajlan serves as Chairman at Arabian Mills.</t>
  </si>
  <si>
    <t>Al-Manakh</t>
  </si>
  <si>
    <t>14313</t>
  </si>
  <si>
    <t>391725-28P</t>
  </si>
  <si>
    <t>Al waleed bin Abdulaziz</t>
  </si>
  <si>
    <t>Al waleed</t>
  </si>
  <si>
    <t>Alnasser</t>
  </si>
  <si>
    <t>Seera</t>
  </si>
  <si>
    <t>Mr. Al waleed bin Abdulaziz Alnasser serves as Chief Executive Officer at Seera. Mr. bin Abdulaziz Alnasser brings over 20 years of experience in strategic planning, risk management, and corporate governance. He holds degrees in legal and political science from King Saud University and the University of Florida and is a Certified Compliance Professional (CCP) by the American Academy of Financial Management. Since joining Seera Group in 2016, he has focused on making strategic decisions related to managing the company's portfolio, enhanced governance, and seizing new investment opportunities to drive growth and operational excellence. AlWaleed is committed to leading Seera into its next phase, ensuring the company achieves its medium-term goals and remains resilient, innovative, and highest standards of governance.</t>
  </si>
  <si>
    <t>+966 (0)11 290 9293</t>
  </si>
  <si>
    <t>waleed@altayyargroup.com</t>
  </si>
  <si>
    <t>3730 Imam Saud bin Abdulaziz</t>
  </si>
  <si>
    <t>At Taawun District</t>
  </si>
  <si>
    <t>11573</t>
  </si>
  <si>
    <t>404294-14P</t>
  </si>
  <si>
    <t>Al-Anoud Al-Nasr Allah</t>
  </si>
  <si>
    <t>Al-Nasr Allah</t>
  </si>
  <si>
    <t>Al-Anoud</t>
  </si>
  <si>
    <t>Nasser Abdullah</t>
  </si>
  <si>
    <t>ASG Plastic Factory</t>
  </si>
  <si>
    <t>Mr. Al-Anoud Al-Nasr Allah serves as Chief Executive Officer at ASG Plastic Factory.</t>
  </si>
  <si>
    <t>378783-19P</t>
  </si>
  <si>
    <t>Al-Anoud Al-Qahtani</t>
  </si>
  <si>
    <t>Al-Qahtani</t>
  </si>
  <si>
    <t>WSM for Information Technology</t>
  </si>
  <si>
    <t>Ms. Al-Anoud Al-Qahtani serves as Chief Executive Officer at WSM for Information Technology.</t>
  </si>
  <si>
    <t>+966 (0)11 454 4338</t>
  </si>
  <si>
    <t>Al-Malqa District, Imam Saud bin Faisal Road, P.O. Box: 3558</t>
  </si>
  <si>
    <t>339956-65P</t>
  </si>
  <si>
    <t>Ala Al-Shaikh</t>
  </si>
  <si>
    <t>Al-Shaikh</t>
  </si>
  <si>
    <t>Ala</t>
  </si>
  <si>
    <t>Abdullah Abdulkarem</t>
  </si>
  <si>
    <t>Basic Chemical Industries</t>
  </si>
  <si>
    <t>Mr. Ala Al-Shaikh serves as Chief Executive Officer &amp; Board Member at Basic Chemical Industries.</t>
  </si>
  <si>
    <t>+966 (0)13 821 7777</t>
  </si>
  <si>
    <t>PO Box 1053</t>
  </si>
  <si>
    <t>31431</t>
  </si>
  <si>
    <t>316672-21P</t>
  </si>
  <si>
    <t>Alaa Mahyoub Ahmed Saeed</t>
  </si>
  <si>
    <t>Ahmed Saeed</t>
  </si>
  <si>
    <t>Alaa Mahyoub</t>
  </si>
  <si>
    <t>Aqaseem Factory for Chemicals &amp; Plastics</t>
  </si>
  <si>
    <t>Chief Financial Officer &amp; Director of Finance</t>
  </si>
  <si>
    <t>Mr. Alaa Mahyoub Ahmed Saeed serves as Chief Financial Officer &amp; Director of Finance at Aqaseem Factory for Chemicals &amp; Plastics.</t>
  </si>
  <si>
    <t>+966 (0)92 000 9075</t>
  </si>
  <si>
    <t>East Ring Road - between exit 17 and 18</t>
  </si>
  <si>
    <t>+966 (0)1 126 5870</t>
  </si>
  <si>
    <t>460574-20P</t>
  </si>
  <si>
    <t>Alaaeldin Shousha</t>
  </si>
  <si>
    <t>Shousha</t>
  </si>
  <si>
    <t>Alaaeldin</t>
  </si>
  <si>
    <t>Mr. Alaaeldin Shousha serves as Chief Financial Officer at First Milling.</t>
  </si>
  <si>
    <t>339555-34P</t>
  </si>
  <si>
    <t>Alabbas Al Musaed</t>
  </si>
  <si>
    <t>Al Musaed</t>
  </si>
  <si>
    <t>Alabbas</t>
  </si>
  <si>
    <t>Al Jouf Cement</t>
  </si>
  <si>
    <t>Mr. Alabbas Al Musaed serves as Chief Financial Officer at Al Jouf Cement.</t>
  </si>
  <si>
    <t>+966 (0)11 200 0388</t>
  </si>
  <si>
    <t>a.almusaed@joufcem.com.sa</t>
  </si>
  <si>
    <t>Post Box 295689</t>
  </si>
  <si>
    <t>Al-Rabwa District, Omar Bin Abdulaziz Road, next to Al-Tamimi Markets Building, Al Fayez B</t>
  </si>
  <si>
    <t>+966 (0)11 210 9899</t>
  </si>
  <si>
    <t>465010-57P</t>
  </si>
  <si>
    <t>Albert Hong</t>
  </si>
  <si>
    <t>Hong</t>
  </si>
  <si>
    <t>Albert</t>
  </si>
  <si>
    <t>Y.</t>
  </si>
  <si>
    <t>Arabian Company for Agricultural and Industrial Investment</t>
  </si>
  <si>
    <t>Mr. Albert Hong serves as Chief Financial Officer at Arabian Company for Agricultural and Industrial Investment.</t>
  </si>
  <si>
    <t>albert.hong@entaj.com</t>
  </si>
  <si>
    <t>P.O. Box 53845</t>
  </si>
  <si>
    <t>11593</t>
  </si>
  <si>
    <t>178108-57P</t>
  </si>
  <si>
    <t>Alhasan Ashram</t>
  </si>
  <si>
    <t>Ashram</t>
  </si>
  <si>
    <t>Alhasan</t>
  </si>
  <si>
    <t>Nabeel</t>
  </si>
  <si>
    <t>Group Chief Operating Officer</t>
  </si>
  <si>
    <t>Mr. Alhasan Ashram serves as Group Chief Operating Officer at Saudi Tadawul Group. Mr. Ashram has twelve years of experience in the areas of information technology and information security. He holds a B.Sc. degree in Computer Engineering from KFUPM, and an M.Sc. degree in Engineering Management and Leadership from Santa Clara University, California, United State of America. He also has many Professional Certifications from multiple reputable institutions in IT, Security, Risk and Management and Leadership. He has extensive experience in Information Technology, Cybersecurity and Risk Management. He assumed various Technical, Managerial and Leadership positions in the High-Tech Industry, Commercial Banking and Capital Markets.</t>
  </si>
  <si>
    <t>Santa Clara University</t>
  </si>
  <si>
    <t>+966 (0)11 218 9199</t>
  </si>
  <si>
    <t>aashram@saudiexchange.sa</t>
  </si>
  <si>
    <t>401986-09P</t>
  </si>
  <si>
    <t>Ali Al Ayed</t>
  </si>
  <si>
    <t>Al Ayed</t>
  </si>
  <si>
    <t>Abdullah Suleiman</t>
  </si>
  <si>
    <t>Yanbu Cement</t>
  </si>
  <si>
    <t>Mr. Ali Al Ayed serves as Chief Executive Officer &amp; Board Member at Yanbu Cement.</t>
  </si>
  <si>
    <t>+966 (0)12 653 1555</t>
  </si>
  <si>
    <t>ali@yanbucement.com</t>
  </si>
  <si>
    <t>P.O.Box 5330</t>
  </si>
  <si>
    <t>+966 (0)12 653 1420</t>
  </si>
  <si>
    <t>386089-66P</t>
  </si>
  <si>
    <t>Ali Al-hudayf</t>
  </si>
  <si>
    <t>Al-hudayf</t>
  </si>
  <si>
    <t>Bin Muhammad bin</t>
  </si>
  <si>
    <t>TAQAT Mineral Trading</t>
  </si>
  <si>
    <t>Mr. Ali Al-hudayf serves as Chief Executive Officer &amp; Board Member at TAQAT Mineral Trading.</t>
  </si>
  <si>
    <t>+966 (0)11 497 6622</t>
  </si>
  <si>
    <t>ali@taqatco.sa</t>
  </si>
  <si>
    <t>Abu Al-Nasr Debbas, 7900</t>
  </si>
  <si>
    <t>Al-Musfat District</t>
  </si>
  <si>
    <t>14545</t>
  </si>
  <si>
    <t>341846-65P</t>
  </si>
  <si>
    <t>Ali Al-Qahtani</t>
  </si>
  <si>
    <t>Bin Mohammed</t>
  </si>
  <si>
    <t>Tabuk Cement</t>
  </si>
  <si>
    <t>Mr. Ali Al-Qahtani serves as Chief Executive Officer &amp; Board Member at Tabuk Cement.</t>
  </si>
  <si>
    <t>+966 (0)14 432 4100</t>
  </si>
  <si>
    <t>aalqahtani@tcc-sa.com</t>
  </si>
  <si>
    <t>Tabuk, Saudi Arabia</t>
  </si>
  <si>
    <t>Duba North, PO Box 122</t>
  </si>
  <si>
    <t>Tabuk</t>
  </si>
  <si>
    <t>71911</t>
  </si>
  <si>
    <t>+966 (0)1 432 4111</t>
  </si>
  <si>
    <t>353429-29P</t>
  </si>
  <si>
    <t>Ali Al-Sagri</t>
  </si>
  <si>
    <t>Al-Sagri</t>
  </si>
  <si>
    <t>Chairman of Board</t>
  </si>
  <si>
    <t>Mr. Ali Al-Sagri serves as Chairman of Board at Leejam Sports.</t>
  </si>
  <si>
    <t>326039-50P</t>
  </si>
  <si>
    <t>Ali Alballaa</t>
  </si>
  <si>
    <t>Alballaa</t>
  </si>
  <si>
    <t>Saudi Azm for Communication and Information Technology</t>
  </si>
  <si>
    <t>Chief Executive Officer, &amp; Managing Director</t>
  </si>
  <si>
    <t>Mr. Ali Alballaa serves as Chief Executive Officer, &amp; Managing Director at Saudi Azm for Communication and Information Technology.</t>
  </si>
  <si>
    <t>+966 (0)11 288 4141</t>
  </si>
  <si>
    <t>Al-Orouba Road</t>
  </si>
  <si>
    <t>Building Number 2163, Al-Ma'athar Al-Shamali District</t>
  </si>
  <si>
    <t>12334</t>
  </si>
  <si>
    <t>364781-08P</t>
  </si>
  <si>
    <t>Ali Alhabdan</t>
  </si>
  <si>
    <t>Alhabdan</t>
  </si>
  <si>
    <t>Mr. Ali Alhabdan serves as Chief Executive Officer at Munawla Cargo.</t>
  </si>
  <si>
    <t>324216-10P</t>
  </si>
  <si>
    <t>Ali AlSubaihin</t>
  </si>
  <si>
    <t>AlSubaihin</t>
  </si>
  <si>
    <t>Mr. Ali AlSubaihin serves as Chairman at Middle East Financial Investment. Mr. AlSubaihin has 37 years of professional experience in the industrial and commercial fields, in addition to his managerial experience in executive management in finance and management. He has Bachelor of Systems Engineering King Fahad University of Petroleum and Minerals, SAUDI ARABIA, alongwith specialized training in Finance at the University of Houston, Executive Development at Northwestern University (Kellogg School of Management), Harvard Business School, INSEAD France, and IMD Switzerland.</t>
  </si>
  <si>
    <t>ali@mefic.com.sa</t>
  </si>
  <si>
    <t>327637-00P</t>
  </si>
  <si>
    <t>Ali Alwaqedi</t>
  </si>
  <si>
    <t>Alwaqedi</t>
  </si>
  <si>
    <t>Muslah Hassan</t>
  </si>
  <si>
    <t>Baazeem Trading</t>
  </si>
  <si>
    <t>Mr. Ali Alwaqedi serves as Chief Executive Officer at Baazeem Trading.</t>
  </si>
  <si>
    <t>+966 (0)1 412 9999</t>
  </si>
  <si>
    <t>ali.alwaqedi@baazeem.com</t>
  </si>
  <si>
    <t>Building 7, King Faisal Street</t>
  </si>
  <si>
    <t>8th Floor, Riyadh Al-Murabba District, Post Office Box 2156</t>
  </si>
  <si>
    <t>327637-72P</t>
  </si>
  <si>
    <t>Ali Salem</t>
  </si>
  <si>
    <t>Salem</t>
  </si>
  <si>
    <t>Mr. Ali Salem serves as Chief Financial Officer at Baazeem Trading.</t>
  </si>
  <si>
    <t>alis@baazeem.com</t>
  </si>
  <si>
    <t>482573-44P</t>
  </si>
  <si>
    <t>Ali Zain</t>
  </si>
  <si>
    <t>Hasan El</t>
  </si>
  <si>
    <t>Almunajem Foods</t>
  </si>
  <si>
    <t>Mr. Ali Hasan El Zain serves as Chief Executive Officer at Almunajem Foods.</t>
  </si>
  <si>
    <t>+966 (0)11 475 5555</t>
  </si>
  <si>
    <t>ali@almunajemfoods.com</t>
  </si>
  <si>
    <t>7510 Takhassusi Street</t>
  </si>
  <si>
    <t>North Mathar District</t>
  </si>
  <si>
    <t>12334-3269</t>
  </si>
  <si>
    <t>334231-75P</t>
  </si>
  <si>
    <t>Alison Rehill-Erguven</t>
  </si>
  <si>
    <t>Rehill-Erguven</t>
  </si>
  <si>
    <t>Alison</t>
  </si>
  <si>
    <t>Cenomi Centers</t>
  </si>
  <si>
    <t>Mr. Alison Rehill-Erguven serves as Chief Executive Officer at Sinome. She has more than two decades of extensive shopping mall and retail real estate experience having been based in and managed some of the world's most prominent emerging markets across Asia, Europe, and Latin America. In addition, she has more than 10 years of experience working in the US market. Prior to joining Cenomi Centers, she held the role of CEO for Pradera Retail Asia, for 5 years, this company was subsequently acquired in 2021 by Brookfield Asset Management, where she led the transition of PRA into Brookfield and acted as Senior Advisor and Acting Head of Commercial Real Estate for Brookfield Properties in China where she was responsible for all retail assets including shopping malls, offices, and mixed-use developments. Before China, she spent several years in Turkey and Europe as Managing Director and Board Director for Pradera. She holds a master's degree in Organizational Leadership with honors from Colorado State University and a Bachelor's degree in Marketing and International Trade with honors from the F.I.T., State University of New York.</t>
  </si>
  <si>
    <t>Colorado State University, State University of New York (SUNY)</t>
  </si>
  <si>
    <t>+966 (0)92 000 0262</t>
  </si>
  <si>
    <t>Prince Turki Ibn Abdulaziz Al Awwal Road</t>
  </si>
  <si>
    <t>146360-98P</t>
  </si>
  <si>
    <t>Ameen Alshiddi</t>
  </si>
  <si>
    <t>Alshiddi</t>
  </si>
  <si>
    <t>Ameen</t>
  </si>
  <si>
    <t>Mr. Ameen Alshiddi serves as Group Chief Financial Officer at Saudi Telecom Company.</t>
  </si>
  <si>
    <t>365693-23P</t>
  </si>
  <si>
    <t>Amen Golfy</t>
  </si>
  <si>
    <t>Golfy</t>
  </si>
  <si>
    <t>Amen</t>
  </si>
  <si>
    <t>Al Rashid Industrial</t>
  </si>
  <si>
    <t>Mr. Amen Golfy serves as Chief Financial Officer at Al Rashid Industrial. Mr. Golfy earned his Bachelor's degree in Accounting from Zagazig University.</t>
  </si>
  <si>
    <t>+966 (0)59 654 6062</t>
  </si>
  <si>
    <t>2977, 7960 New Industrial City</t>
  </si>
  <si>
    <t>14332</t>
  </si>
  <si>
    <t>331339-33P</t>
  </si>
  <si>
    <t>Amer Omar</t>
  </si>
  <si>
    <t>Omar</t>
  </si>
  <si>
    <t>Amer</t>
  </si>
  <si>
    <t>Mr. Amer Omar serves as Chief Financial Officer at Saudi Company For Hardware.</t>
  </si>
  <si>
    <t>aomar@saco.sa</t>
  </si>
  <si>
    <t>301805-83P</t>
  </si>
  <si>
    <t>Ammar Al-Sayrafi</t>
  </si>
  <si>
    <t>Al-Sayrafi</t>
  </si>
  <si>
    <t>Gulf General Cooperative Insurance</t>
  </si>
  <si>
    <t>Mr. Ammar AlSayrafi serves as Chief Financial Officer at Gulf General Cooperative Insurance.</t>
  </si>
  <si>
    <t>+966 (0)12 651 6610</t>
  </si>
  <si>
    <t>ammar@ggi-sa.com</t>
  </si>
  <si>
    <t>No. 7698 Amir Al-Shuara Street</t>
  </si>
  <si>
    <t>Al-Ruwais District, Unit 10</t>
  </si>
  <si>
    <t>23215-4877</t>
  </si>
  <si>
    <t>+966 (0)12 651 1720</t>
  </si>
  <si>
    <t>437819-50P</t>
  </si>
  <si>
    <t>Ammar Fakeeh</t>
  </si>
  <si>
    <t>Fakeeh</t>
  </si>
  <si>
    <t>Soliman</t>
  </si>
  <si>
    <t>Fakeeh Care</t>
  </si>
  <si>
    <t>Mr Fakeeh was appointed Chairman of the Board in 2017 and oversees implementation of the Group's long-term strategic goals. Since joining the company in 1997, he has held a number of senior executive positions, including Deputy Director General, Executive Director of Administrative Affairs, and Chief of the Executive Division. Mr Fakeeh was instrumental in developing and implementing the Group's personnel policy and procedures manual, based on the Joint Commission International's accreditation standards for healthcare providers and in conjunction with Saudi Arabian Labor Law. In addition to his role at Fakeeh Care, he is Chairman of the Board of Al-Reem Integrated Health and Care Center (Abu Dhabi) and Vice Chairman of the Board of Trustees of Fakeeh College of Medical Sciences in Jeddah. Mr Fakeeh has a Master of Public Health (MPH) in Health Policy from Columbia University's Mailman School of Public Health (USA), a BA in Economics from Brown University (USA), and a MSt in Global History from Selwyn College, University of Cambridge (UK).</t>
  </si>
  <si>
    <t>+966 (0)92 001 2777</t>
  </si>
  <si>
    <t>Post Office Box:2537</t>
  </si>
  <si>
    <t>321697-00P</t>
  </si>
  <si>
    <t>Ammar Ghurab</t>
  </si>
  <si>
    <t>Ghurab</t>
  </si>
  <si>
    <t>Salama Cooperative Insurance</t>
  </si>
  <si>
    <t>Mr. Ammar Ghurab serves as Chief Operating Officer at Salama Cooperative Insurance.</t>
  </si>
  <si>
    <t>+966 (0)92 002 3355</t>
  </si>
  <si>
    <t>ammar.ghurab@salama.com.sa</t>
  </si>
  <si>
    <t>Salama Tower, 12th Floor</t>
  </si>
  <si>
    <t>Al Madina Road</t>
  </si>
  <si>
    <t>374030-65P</t>
  </si>
  <si>
    <t>Amr Elkholy</t>
  </si>
  <si>
    <t>Elkholy</t>
  </si>
  <si>
    <t>Amr</t>
  </si>
  <si>
    <t>Mulkia Investment</t>
  </si>
  <si>
    <t>Mr. Amr Elkholy serves as Chief Financial Officer at Mulkia Investment. Mr. Elkholy has more than 13 years of experience in the field of accounting, auditing and preparing financial statements and reports in accordance with International Financial Reporting Standards. Amr gained his experience by working for the largest international accounting and auditing offices KPMG, RSM. Amr holds the fellowship of the Egyptian Society of Accountants and Auditors, and holds a bachelor's degree in accounting from Helwan University - Egypt in 2006</t>
  </si>
  <si>
    <t>+966 (0)92 000 3028</t>
  </si>
  <si>
    <t>8565 Prince Abdul Aziz Bin Musaid Bin Jalawi Street</t>
  </si>
  <si>
    <t>1st floor, The Elite Mall, Al Sulaimaniayah District</t>
  </si>
  <si>
    <t>12234</t>
  </si>
  <si>
    <t>+966 (0)11 293 2799</t>
  </si>
  <si>
    <t>380855-35P</t>
  </si>
  <si>
    <t>Amr Masry</t>
  </si>
  <si>
    <t>Masry</t>
  </si>
  <si>
    <t>Middle East Paper</t>
  </si>
  <si>
    <t>Chief Financial Officer &amp; Executive Vice President, Finance</t>
  </si>
  <si>
    <t>Mr. Amr Masry serves as Chief Financial Officer &amp; Executive Vice President, Finance at Middle East Paper.</t>
  </si>
  <si>
    <t>+966 (0)12 638 0111</t>
  </si>
  <si>
    <t>P.O Box 9249, Prince Mohammed Bin Abdulaziz Street, Al Andalus</t>
  </si>
  <si>
    <t>Nojoud Center, 1st Floor, entrance (A) Unit Number (45)</t>
  </si>
  <si>
    <t>23326</t>
  </si>
  <si>
    <t>341007-13P</t>
  </si>
  <si>
    <t>Amr Muttalib</t>
  </si>
  <si>
    <t>Muttalib</t>
  </si>
  <si>
    <t>Samir Abdel Razek Abdel</t>
  </si>
  <si>
    <t>Ghida Al-Sultan</t>
  </si>
  <si>
    <t>Mr. Amr Muttalib serves as Chief Financial Officer at Ghida Al-Sultan.</t>
  </si>
  <si>
    <t>+966 (0)12 622 6158</t>
  </si>
  <si>
    <t>amr@ghidas.com</t>
  </si>
  <si>
    <t>Al Basateen District</t>
  </si>
  <si>
    <t>11860-3312</t>
  </si>
  <si>
    <t>389314-27P</t>
  </si>
  <si>
    <t>Amrish Shah</t>
  </si>
  <si>
    <t>Shah</t>
  </si>
  <si>
    <t>Amrish</t>
  </si>
  <si>
    <t>Mr. Amrish Shah serves as Chief Financial Officer at Quara Finance.</t>
  </si>
  <si>
    <t>amrishs@quarafinance.com</t>
  </si>
  <si>
    <t>341060-23P</t>
  </si>
  <si>
    <t>Amro Fatah Hussain</t>
  </si>
  <si>
    <t>Fatah Hussain</t>
  </si>
  <si>
    <t>Amro</t>
  </si>
  <si>
    <t>Hussain Abdul</t>
  </si>
  <si>
    <t>Makkah Construction and Development Company</t>
  </si>
  <si>
    <t>Mr. Amro Fatah Hussain serves as Chief Financial Officer at Makkah Construction and Development Company.</t>
  </si>
  <si>
    <t>+966 (0)92 002 2111</t>
  </si>
  <si>
    <t>Makkah, Saudi Arabia</t>
  </si>
  <si>
    <t>Third Ring Road Branch</t>
  </si>
  <si>
    <t>Building Number 2779 - Al-Shawqiyah District</t>
  </si>
  <si>
    <t>21955</t>
  </si>
  <si>
    <t>334340-47P</t>
  </si>
  <si>
    <t>Anas Abulrahman Alqaraaoi</t>
  </si>
  <si>
    <t>Alqaraaoi</t>
  </si>
  <si>
    <t>Anas Abulrahman</t>
  </si>
  <si>
    <t>Alqemam for Computer</t>
  </si>
  <si>
    <t>Mr. Anas Abulrahman Alqaraaoi serves as Chief Executive Officer at Alqemam for Computer.</t>
  </si>
  <si>
    <t>+966 (0)16 361 1157</t>
  </si>
  <si>
    <t>Onaizah, Saudi Arabia</t>
  </si>
  <si>
    <t>2788 Omer bin AL Khattab Street Alfakhriyah District</t>
  </si>
  <si>
    <t>Onaizah</t>
  </si>
  <si>
    <t>168954-94P</t>
  </si>
  <si>
    <t>Andy Raheja</t>
  </si>
  <si>
    <t>Raheja</t>
  </si>
  <si>
    <t>Andy</t>
  </si>
  <si>
    <t>Dar Alarkan Real Estate Development</t>
  </si>
  <si>
    <t>Mr. Andy Raheja serves as Chief Executive Officer at Dar Alarkan Real Estate Development. Mr. Raheja served as Managing Director at Faber Capital. He was most recently the CFO of the largest listed real estate company in Saudi Arabia. In the last decade, as the CFO of some of the leading companies in the Middle East, he has gained valuable experience of managing growth as well as executing turnarounds. During this period he has overseen debt and loan fundraising programs as also mezzanine and equity fundraising from international financial institutions. Prior to that, as Director of Arthur Andersen's Corporate Finance practice based in London, he advised and led a variety of cross-border merger &amp; acquisition, restructuring and privatization transactions. He has experience of working with clients in the US, Europe, Middle East and India.</t>
  </si>
  <si>
    <t>andy.raheja@alarkan.com</t>
  </si>
  <si>
    <t>12622 Makkah Road</t>
  </si>
  <si>
    <t>Al Wizarat, Beside Riyadh Marriott Hotel</t>
  </si>
  <si>
    <t>404294-50P</t>
  </si>
  <si>
    <t>Antar Al-Sayed</t>
  </si>
  <si>
    <t>Al-Sayed</t>
  </si>
  <si>
    <t>Antar</t>
  </si>
  <si>
    <t>Naeem Salem</t>
  </si>
  <si>
    <t>Mr. Antar Al-Sayed serves as Chief Financial Officer at ASG Plastic Factory.</t>
  </si>
  <si>
    <t>57521-89P</t>
  </si>
  <si>
    <t>Anuj Agarwal</t>
  </si>
  <si>
    <t>Agarwal</t>
  </si>
  <si>
    <t>Anuj</t>
  </si>
  <si>
    <t>Mr. Anuj Agarwal served as Chief Executive Officer &amp; Board Member at Allianz Saudi Fransi Cooperative Insurance. He also served as Chief Financial Officer &amp; Board Member at AGF Afrique. Mr. Anuj Agarwal served as Managing Director &amp; Chief Executive Officer at Bajaj Allianz Life Insurance Company. Anuj joined the Regional Executive Board of Allianz Africa as the Regional Chief Financial Officer (CFO) from January 2017. He started his career in Financial Services in 1995 before joining the Allianz Group in 1997 as its first international trainee in Asia Pacific at Singapore. In a career spanning 24 years, he has worked for Allianz Group for over 16 years in two different stints. Anuj has held senior responsibilities in Finance in different countries including that of Vice President-Finance of Bajaj Allianz Life Insurance, India, Chief Financial Officer of Allianz Insurance Co. Egypt, Country Chief Financial Officer and Chief Risk Officer of Allianz Indonesia and Chief Financial Officer for largest life company in India, SBI Life from 2007 to 2009. In Sept 2013, he was appointed as Managing Director and Chief Executive Officer of Bajaj Allianz Life Insurance, India, fourth largest life company by New business. He holds a Masters of Management Studies (Finance) from the Sydenham Institute of Management Studies - University of Bombay in India and Advance Diploma in Insurance from Chartered Insurance Institute, UK.</t>
  </si>
  <si>
    <t>aagarwal@ggi-sa.com</t>
  </si>
  <si>
    <t>346080-52P</t>
  </si>
  <si>
    <t>Anwer Muhiddein</t>
  </si>
  <si>
    <t>Muhiddein</t>
  </si>
  <si>
    <t>Anwer</t>
  </si>
  <si>
    <t>Jamjoompharma</t>
  </si>
  <si>
    <t>Mr. Anwer Muhiddein serves as Chief Financial Officer at Jamjoompharma. Mr. Muhiddein earned an MBA in Marketing from Cardiff University in 2019, a Master's degree in Economics from the University of Karachi in 1989, and a B.Comm (Bachelor of Commerce) from the University of Karachi in 1985.</t>
  </si>
  <si>
    <t>Cardiff University, University of Karachi</t>
  </si>
  <si>
    <t>+966 (0)12 614 0099</t>
  </si>
  <si>
    <t>Al-Hamra District</t>
  </si>
  <si>
    <t>Corniche Road</t>
  </si>
  <si>
    <t>21442</t>
  </si>
  <si>
    <t>+966 (0)12 614 0088</t>
  </si>
  <si>
    <t>243076-69P</t>
  </si>
  <si>
    <t>Aqeel Kadasa</t>
  </si>
  <si>
    <t>Kadasa</t>
  </si>
  <si>
    <t>Aqeel</t>
  </si>
  <si>
    <t>Futis</t>
  </si>
  <si>
    <t>Southern Province Cement</t>
  </si>
  <si>
    <t>Mr. Aqeel Kadasa serves as Chief Executive Officer at Southern Province Cement. He holds a degree in chemical engineering from King Fahd University of Petroleum &amp; Minerals and has over 25 years of working experience. He started his work at Yamama Cement, then worked in the Saudi Electricity Company in the Department of Engineering Services and later joined Southern Province Cement in 1997.</t>
  </si>
  <si>
    <t>+966 (0)17 227 1500</t>
  </si>
  <si>
    <t>Abha, Saudi Arabia</t>
  </si>
  <si>
    <t>King fahad Rood</t>
  </si>
  <si>
    <t>P.O.Box 548</t>
  </si>
  <si>
    <t>Abha</t>
  </si>
  <si>
    <t>61421</t>
  </si>
  <si>
    <t>+966 (0)17 227 1003</t>
  </si>
  <si>
    <t>385683-76P</t>
  </si>
  <si>
    <t>Asgar Sarguroh</t>
  </si>
  <si>
    <t>Sarguroh</t>
  </si>
  <si>
    <t>Asgar</t>
  </si>
  <si>
    <t>Yosuf</t>
  </si>
  <si>
    <t>Saudi Arabian Amiantit</t>
  </si>
  <si>
    <t>Group Finance Director &amp; Chief Financial Officer</t>
  </si>
  <si>
    <t>Mr. Asgar Sarguroh serves as Group Finance Director at Saudi Arabian Amiantit.</t>
  </si>
  <si>
    <t>+966 (0)3 847 1500</t>
  </si>
  <si>
    <t>asgarsarguroh@amiantit.com</t>
  </si>
  <si>
    <t>4th Street, Industrial Area 1</t>
  </si>
  <si>
    <t>Eastern Province</t>
  </si>
  <si>
    <t>31421</t>
  </si>
  <si>
    <t>+966 (0)3 847 1645</t>
  </si>
  <si>
    <t>400119-67P</t>
  </si>
  <si>
    <t>Ashfaq Al-Syed</t>
  </si>
  <si>
    <t>Al-Syed</t>
  </si>
  <si>
    <t>Ashfaq</t>
  </si>
  <si>
    <t>Saudi Cable</t>
  </si>
  <si>
    <t>Mr. Ashfaq Al-Syed serves as Chief Financial Officer at Saudi Cable.</t>
  </si>
  <si>
    <t>+966 (0)12 608 7666</t>
  </si>
  <si>
    <t>P O Box 4403</t>
  </si>
  <si>
    <t>Industrial Area Phase 2</t>
  </si>
  <si>
    <t>+966 (0)12 637 9877</t>
  </si>
  <si>
    <t>397860-67P</t>
  </si>
  <si>
    <t>Assem Al-Abdulsalam</t>
  </si>
  <si>
    <t>Assem</t>
  </si>
  <si>
    <t>Ezzelarab</t>
  </si>
  <si>
    <t>Al Taiseer Group Talco Industrial</t>
  </si>
  <si>
    <t>Mr. Assem Al-Abdulsalam serves as Chief Financial Officer &amp; Director of Finance at Al Taiseer Group Talco Industrial. He holds Bachelor's Degree in Accounting, Cairo University, Cairo, Arab Republic of Egypt.</t>
  </si>
  <si>
    <t>+966 (0)11 265 5550</t>
  </si>
  <si>
    <t>245 Al-Kharj Road, New Industrial Area</t>
  </si>
  <si>
    <t>Riyadh Second Industrial Area</t>
  </si>
  <si>
    <t>+966 (0)11 265 1648</t>
  </si>
  <si>
    <t>397847-53P</t>
  </si>
  <si>
    <t>Assem Alfarag</t>
  </si>
  <si>
    <t>Alfarag</t>
  </si>
  <si>
    <t>Adel Abo Al</t>
  </si>
  <si>
    <t>Sumou Real Estate</t>
  </si>
  <si>
    <t>Mr. Assem Alfarag serves as Chief Operating Officer at Sumou Real Estate.</t>
  </si>
  <si>
    <t>+966 (0)13 887 8888</t>
  </si>
  <si>
    <t>aalfarag@sumou.com.sa</t>
  </si>
  <si>
    <t>Kingdom of Saudi Arabia, Saudi Arabia</t>
  </si>
  <si>
    <t>Al Khobar - Prince Turki Bin Abdulaziz Street</t>
  </si>
  <si>
    <t>Sumou Tower 7th Floor, 250 Al Khobar</t>
  </si>
  <si>
    <t>Kingdom of Saudi Arabia</t>
  </si>
  <si>
    <t>+966 (0)13 887 8080</t>
  </si>
  <si>
    <t>353429-92P</t>
  </si>
  <si>
    <t>Assim Alattas</t>
  </si>
  <si>
    <t>Alattas</t>
  </si>
  <si>
    <t>Assim</t>
  </si>
  <si>
    <t>Mr. Assim Alattas serves as Chief Financial Officer at Leejam Sports.</t>
  </si>
  <si>
    <t>317665-27P</t>
  </si>
  <si>
    <t>Awaadh Al-otaibi</t>
  </si>
  <si>
    <t>Al-otaibi</t>
  </si>
  <si>
    <t>Awaadh</t>
  </si>
  <si>
    <t>Mr. Awaadh Al-otaibi serves as Chief Executive Officer at Miahona.</t>
  </si>
  <si>
    <t>Cranfield University</t>
  </si>
  <si>
    <t>awaadh.a@miahona.com</t>
  </si>
  <si>
    <t>371835-37P</t>
  </si>
  <si>
    <t>Awad Mahmoud</t>
  </si>
  <si>
    <t>Awad</t>
  </si>
  <si>
    <t>Ahmed Awad</t>
  </si>
  <si>
    <t>Mr. Awad Mahmoud serves as Chief Financial Officer at View Real Estate. He holds a bachelor's degree in accounting and business administration from Mansoura University in Egypt in 2005.</t>
  </si>
  <si>
    <t>456685-93P</t>
  </si>
  <si>
    <t>Awadh Al-Waridah</t>
  </si>
  <si>
    <t>Al-Waridah</t>
  </si>
  <si>
    <t>Awadh</t>
  </si>
  <si>
    <t>Mr. Awadh Al-Waridah serves as Chief Executive Officer at Methanol Chemicals.</t>
  </si>
  <si>
    <t>awadh@chemanol.com</t>
  </si>
  <si>
    <t>323146-90P</t>
  </si>
  <si>
    <t>Ayed Al Haider</t>
  </si>
  <si>
    <t>Al Haider</t>
  </si>
  <si>
    <t>Ayed</t>
  </si>
  <si>
    <t>Bin Habib</t>
  </si>
  <si>
    <t>Mr. Ayed Al Haider serves as Chief Financial Officer at SABIC Agri-Nutrients.</t>
  </si>
  <si>
    <t>ayedalhaider@sabic-agrinutrients.com</t>
  </si>
  <si>
    <t>144076-24P</t>
  </si>
  <si>
    <t>Ayed Aljeaid</t>
  </si>
  <si>
    <t>Aljeaid</t>
  </si>
  <si>
    <t>Thawab</t>
  </si>
  <si>
    <t>Flynas</t>
  </si>
  <si>
    <t>Mr. Ayed Aljeaid serves as Chairman at Flynas.</t>
  </si>
  <si>
    <t>+966 (0)11 434 9000</t>
  </si>
  <si>
    <t>8018 Abi Bakr As Siddiq</t>
  </si>
  <si>
    <t>13316-4040</t>
  </si>
  <si>
    <t>151892-74P</t>
  </si>
  <si>
    <t>Ayman Gamil</t>
  </si>
  <si>
    <t>Gamil</t>
  </si>
  <si>
    <t>Ayman</t>
  </si>
  <si>
    <t>Mr. Ayman Gamil serves as Group Chief Financial Officer at L'azurde.</t>
  </si>
  <si>
    <t>ayman.gamil@lazurde.com</t>
  </si>
  <si>
    <t>189441-28P</t>
  </si>
  <si>
    <t>Ayman Mamdouh Abbas</t>
  </si>
  <si>
    <t>Mamdouh Abbas</t>
  </si>
  <si>
    <t>Mohamed Fathy</t>
  </si>
  <si>
    <t>Mr. Ayman Mamdouh Abbas serves as Chairman at ADES International Holding. Mr. Mamdouh Abbas served as a Non-Executive Partner at Compass Capital. He has held management positions in the oil and gas industry since 1998, when he co-founded and served as managing director and board member of the Egyptian Chinese Drilling Company (ECDC). Mr. Mamdouh Abbas has been chairman of ADES Group since 2003 and has played a key role in transforming the company into a regional player. He was also a board member of Advansys Systems, a group focusing on the provision of solutions for the oil and gas industry. Beyond oil and gas, Mr. Mamdouh Abbas has led investments in industries including real estate, trading and commercial representation, food and agriculture, and control and automation engineering. He was previously Managing Partner at Invensys for Engineering and Services Egypt, a joint venture established in 2004 with Invensys Systems (IES), an FTSE 100 company focusing on outsourcing technology and engineering services worldwide. Mr. Mamdouh Abbas was also managing partner of financial investment firm Compass Capital and a partner at 10 Ramadan for Pharmaceutical Industries and Diagenetic Reagents (Rameda) SAE. In 2015, he assumed the role of Chairman of the Board for Advansys Engineering Service &amp; Consultancy.</t>
  </si>
  <si>
    <t>385832-80P</t>
  </si>
  <si>
    <t>Ayman Soliman</t>
  </si>
  <si>
    <t>Mohamed Abdul Rahman</t>
  </si>
  <si>
    <t>Mr. Ayman Soliman serves as Chief Financial Officer at Tihama Advertising &amp; Public Relations. He received an undergraduate degree from the University of Cairo.</t>
  </si>
  <si>
    <t>342460-72P</t>
  </si>
  <si>
    <t>Azfar Shakeel Syed Muhammad</t>
  </si>
  <si>
    <t>Syed Muhammad</t>
  </si>
  <si>
    <t>Azfar Shakeel</t>
  </si>
  <si>
    <t>Lumi Rental</t>
  </si>
  <si>
    <t>Mr. Azfar Shakeel Syed Muhammad serves as Chief Executive Officer at Lumi Rental.</t>
  </si>
  <si>
    <t>azfar.shakeel@lumirental.com</t>
  </si>
  <si>
    <t>AlTaawun District</t>
  </si>
  <si>
    <t>P.O. Box 6477</t>
  </si>
  <si>
    <t>12476</t>
  </si>
  <si>
    <t>388553-95P</t>
  </si>
  <si>
    <t>Azzam Almudaiheem</t>
  </si>
  <si>
    <t>Almudaiheem</t>
  </si>
  <si>
    <t>Azzam</t>
  </si>
  <si>
    <t>Mr. Azzam Almudaiheem serves as Chief Executive Officer at Saudi Ceramic. Before joining Saudi Ceramics, he worked at Abunayyan Holding as President, at SHAKER GROUP as Chief Executive Officer, at AL-MUHAIDIB HARDWARE as General Manager, Manager, Purchasing, Regional Sales Manager, at Advanced Electronics as Manufacturing Engineer.</t>
  </si>
  <si>
    <t>azzam@saudiceramics.com</t>
  </si>
  <si>
    <t>261955-72P</t>
  </si>
  <si>
    <t>Bader Al Shammary</t>
  </si>
  <si>
    <t>Al Shammary</t>
  </si>
  <si>
    <t>Bader</t>
  </si>
  <si>
    <t>Mr. Bader Al Shammary serves as Chief Operating Officer at Amana Cooperative Insurance.</t>
  </si>
  <si>
    <t>balshammary@amana.sa</t>
  </si>
  <si>
    <t>303340-87P</t>
  </si>
  <si>
    <t>Bader Al-Saloum</t>
  </si>
  <si>
    <t>Al-Saloum</t>
  </si>
  <si>
    <t>Mr. Bader Alsalloom serves as Chief Executive Officer at Banque Saudi Fransi.</t>
  </si>
  <si>
    <t>balsalloom@alfransi.com.sa</t>
  </si>
  <si>
    <t>321696-91P</t>
  </si>
  <si>
    <t>Bader Anzi</t>
  </si>
  <si>
    <t>Anzi</t>
  </si>
  <si>
    <t>Khalid Al</t>
  </si>
  <si>
    <t>Mr. Bader Anzi serves as Chief Executive Officer at Salama Cooperative Insurance.</t>
  </si>
  <si>
    <t>bader.anzi@salama.com.sa</t>
  </si>
  <si>
    <t>416349-46P</t>
  </si>
  <si>
    <t>Bader Mohammed Hadi Al-Rasheed</t>
  </si>
  <si>
    <t>Bader Mohammed Hadi</t>
  </si>
  <si>
    <t>Mr. Bader Mohammed Hadi Al-Rasheed serves as Managing Director &amp; Chief Executive Officer at Al Jouf Cement.</t>
  </si>
  <si>
    <t>badermohammedhadi-al-rasheed@joufcem.com.sa</t>
  </si>
  <si>
    <t>466480-27P</t>
  </si>
  <si>
    <t>Badr Al-Harbi</t>
  </si>
  <si>
    <t>Badr</t>
  </si>
  <si>
    <t>Bin Eid</t>
  </si>
  <si>
    <t>Mr. Badr Al-Harbi serves as Chief Executive Officer at Al Rashid Industrial.</t>
  </si>
  <si>
    <t>badr.alharbi@lastmade.com</t>
  </si>
  <si>
    <t>358619-23P</t>
  </si>
  <si>
    <t>Badr Aldulaimi</t>
  </si>
  <si>
    <t>Aldulaimi</t>
  </si>
  <si>
    <t>Abdurrahman Nasser</t>
  </si>
  <si>
    <t>Intelligent Oud</t>
  </si>
  <si>
    <t>Mr. Badr Aldulaimi serves as Chief Executive Officer at Intelligent Oud. Mr. Aldulaimi earned his Degree from The Rochville University and King Fahd University of Petroleum &amp; Minerals.</t>
  </si>
  <si>
    <t>+966 (0)11 411 1670</t>
  </si>
  <si>
    <t>bdulaimi@ioudstore.com</t>
  </si>
  <si>
    <t>Olaya Branch Road</t>
  </si>
  <si>
    <t>P.O. Box 230959, Al-Marw district</t>
  </si>
  <si>
    <t>386728-30P</t>
  </si>
  <si>
    <t>Badr Johar</t>
  </si>
  <si>
    <t>Johar</t>
  </si>
  <si>
    <t>Osama</t>
  </si>
  <si>
    <t>Arabian Cement (Saudi Arabia)</t>
  </si>
  <si>
    <t>Dr. Badr Osama Johar serves as Chief Executive Officer at Arabian Cement Company.</t>
  </si>
  <si>
    <t>+966 (0)12 694 9700</t>
  </si>
  <si>
    <t>bosamajohar@arabiancement.com.sa</t>
  </si>
  <si>
    <t>8605 King Abdulaziz Road</t>
  </si>
  <si>
    <t>23523</t>
  </si>
  <si>
    <t>+966 (0)12 694 8197</t>
  </si>
  <si>
    <t>328615-93P</t>
  </si>
  <si>
    <t>Bahaa Eissa</t>
  </si>
  <si>
    <t>Eissa</t>
  </si>
  <si>
    <t>Bahaa</t>
  </si>
  <si>
    <t>Ahmed Bakr</t>
  </si>
  <si>
    <t>Chief Financial Officer &amp; Chief Information Officer</t>
  </si>
  <si>
    <t>Mr. Bahaa Eissa serves as Chief Financial Officer &amp; Chief Information Officer at Riyadh Cables Group. Before this, he served as Director at Habsburg Investment Limited (2004-2005), Deputy Managing Director at Saudi Research and Publishing Company (2003-2004), Group Treasurer at Saudi Research and Marketing Group (1997-2003), and Senior Vice President at Merrill Lynch International Bank (1993-1996). He has also held roles at Saudi American Bank such as Vice President and Credit Committee Member. Additionally, he serves as a Board Member at BituNil and B &amp; Z s.a.e. His educational background includes a Bachelor of Science degree in International Business Management from the USA.</t>
  </si>
  <si>
    <t>bahaa.eissa@riyadh-cables.com</t>
  </si>
  <si>
    <t>393396-85P</t>
  </si>
  <si>
    <t>Bandar AlBaiz</t>
  </si>
  <si>
    <t>AlBaiz</t>
  </si>
  <si>
    <t>Bandar</t>
  </si>
  <si>
    <t>Nayifat Financing Company</t>
  </si>
  <si>
    <t>Mr. Bandar Mohammed AlBaiz, Director, Managing Director and Chief Executive Officer. Academic and scientific qualifications: B.Sc., Accounting, King Saud University, Saudi Arabia, 2001. Current positions: From 2022 -Managing Director and CEO of Nayifat Finance Company (Public Joint Stock Company / Inside the Kingdom); Since 2013 - Member of the Board of Directors of Nayifat Finance Company (a public shareholding company operating in the finance and investment sector / inside the Kingdom). Previous work experience: 2014 - 2022: Director of Operations Department at Yaqeen Financial Company, (a joint stock company working in the field of financial services / inside the Kingdom); 2013 - 2014: Director of Operations Department (in charge) at Yaqeen Capital Company (a closed joint stock company working in the field of financial services / inside the Kingdom); 2007 - 2013: Operations Supervisor (Acting) at Yaqeen Capital Company (a closed joint stock company working in the field of financial services / inside the Kingdom); 2005 - 2006: Client Account Manager in Al Jazeera Capital (Limited Liability Company working in the field of securities / within the Kingdom); 2002 - 2005: Assistant Operations Manager at Riyadh Bank (a joint stock company working in the field of securities / inside the Kingdom).</t>
  </si>
  <si>
    <t>+966 (0)92 003 5666</t>
  </si>
  <si>
    <t>Makkah Al Mukarramah</t>
  </si>
  <si>
    <t>Branch Road</t>
  </si>
  <si>
    <t>11417</t>
  </si>
  <si>
    <t>328976-47P</t>
  </si>
  <si>
    <t>Bandar Alsamaani</t>
  </si>
  <si>
    <t>Alsamaani</t>
  </si>
  <si>
    <t>Mr. Bandar Alsamaani serves as Chief Executive Officer at Sadr Logistics.</t>
  </si>
  <si>
    <t>299557-27P</t>
  </si>
  <si>
    <t>Bandar Saeed Abdullah Al-Ghamdi</t>
  </si>
  <si>
    <t>Bandar Saeed</t>
  </si>
  <si>
    <t>SHL Finance</t>
  </si>
  <si>
    <t>Mr. Bandar Saeed Abdullah Al-Ghamdi serves as Chief Executive Officer at SHL Finance.</t>
  </si>
  <si>
    <t>+966 (0)1 122 1228</t>
  </si>
  <si>
    <t>babdullahal-ghamdi@shlfinance.com</t>
  </si>
  <si>
    <t>AlMuraba - King Abdulaziz Road</t>
  </si>
  <si>
    <t>P.O. Box 27072</t>
  </si>
  <si>
    <t>+966 (0)11 206 4730</t>
  </si>
  <si>
    <t>144075-79P</t>
  </si>
  <si>
    <t>Bander Almohanna</t>
  </si>
  <si>
    <t>Almohanna</t>
  </si>
  <si>
    <t>Bander</t>
  </si>
  <si>
    <t>Abdulrahman Mohanna</t>
  </si>
  <si>
    <t>Mr. Bander Almohanna serves as Chief Executive Officer &amp; Managing Director at Flynas. Almohanna holds a Master's Degree in Actuarial &amp; Financial Mathematics from the University of Michigan as well as a Master's Degree in Business Administration from the American University in Washington, D.C. He has also obtained a Bachelor of Science Degree in Accounting from King Saud University, Riyadh. He is a member of the CFA Institute and has also completed an Advanced Management Program at Harvard University. Almohanna has over 20 years of experience in leadership, finance and management across several sectors. He is a key member of flynas Group, responsible for the restructuring, financing and acquisition strategy of more than US $ 8 billion. Almohanna joined flynas in 2006 as the Chief Financial Officer (CFO) and was promoted to Executive Vice President in 2008. In 2015, he was appointed as the Chief Executive Officer of flynas Group (flynas, NASJET, and flynas Hajj &amp; Umrah). Before joining flynas, Almohanna held several key positions, including Chief Financial Analyst at Makshaff Services and Investments Ltd. He also held several positions at the Saudi Arabian Monetary Agency, including the Banking Supervision Department between 1993 and 2002. Almohanna also chairs and sits on the board of various prestigious business entities. Almohanna is also Chairman of Middle East Financial Investment Company (MEFIC) bank and JAZL Investments. He is a board member of several companies including Sabb Takaful, Nitaq Actuarial Services, NAS Execujet Services and Nas Holding. Mr. Bander Almohanna, together with his team, has contributed to the success of flynas and led it to win several prestigious international awards, including the Middle East's Leading Low-Cost Airline from World Travel Awards for eight consecutive years 2015, 2016, 2017, 2018, 2019, 2020, 2021 and 2022, and ranked as the world's 4th best Low-Cost Airline and the best in the Middle East for the sixth time in a row in 2017, 2018, 2019, 2021, 2022 and 2023, as per Skytrax, the most important global standard for excellence among airlines worldwide.</t>
  </si>
  <si>
    <t>University of Michigan, Ann Arbor, American University, King Saud University</t>
  </si>
  <si>
    <t>balmohanna@flynas.com</t>
  </si>
  <si>
    <t>339805-81P</t>
  </si>
  <si>
    <t>Basel Abdulkareem</t>
  </si>
  <si>
    <t>Abdulkareem</t>
  </si>
  <si>
    <t>Basel</t>
  </si>
  <si>
    <t>Chief Operating Officer &amp; Deputy CEO</t>
  </si>
  <si>
    <t>Mr. Basel Abdulkareem serves as Chief Operating Officer &amp; Deputy CEO at Arabian Shield Cooperative Insurance. Mr. Bassel holds two master's degrees, one in engineering management and the second in information systems management, both from California State University - USA. He also has CII certificate from (the Chartered Insurance Institute - UK). Mr. Bassel has more than 10 years of experience in insurance &amp; information technology and has served as shared services manager, then promoted to Chief Operations Officer and Deputy CEO.</t>
  </si>
  <si>
    <t>California State University</t>
  </si>
  <si>
    <t>327594-43P</t>
  </si>
  <si>
    <t>Basel Alodetallah</t>
  </si>
  <si>
    <t>Alodetallah</t>
  </si>
  <si>
    <t>Abd Alsame Youssef</t>
  </si>
  <si>
    <t>Al Kathiri Holding</t>
  </si>
  <si>
    <t>Mr. Basel Alodetallah serves as Chief Financial Officer at Al Kathiri Holding.</t>
  </si>
  <si>
    <t>+966 (0)11 416 7900</t>
  </si>
  <si>
    <t>basel@alkathiriholding.com</t>
  </si>
  <si>
    <t>Prince Yazid Bin Abdullah Abdul Rahman Road</t>
  </si>
  <si>
    <t>Al Malqa District, Unit No. 19 &amp; 13</t>
  </si>
  <si>
    <t>13523</t>
  </si>
  <si>
    <t>434751-85P</t>
  </si>
  <si>
    <t>Bassam Chahine</t>
  </si>
  <si>
    <t>Chahine</t>
  </si>
  <si>
    <t>Bassam</t>
  </si>
  <si>
    <t>SMC Hospital</t>
  </si>
  <si>
    <t>Mr. Bassam Chahine serves as Chief Executive Officer at SMC Hospital.</t>
  </si>
  <si>
    <t>+966 (0)11 434 3800</t>
  </si>
  <si>
    <t>bassam_chahine@smc.com.sa</t>
  </si>
  <si>
    <t>King Fahad Road, Cairo Square</t>
  </si>
  <si>
    <t>441621-82P</t>
  </si>
  <si>
    <t>Bassel Serafy</t>
  </si>
  <si>
    <t>Serafy</t>
  </si>
  <si>
    <t>Bassel</t>
  </si>
  <si>
    <t>Adeer Real Estate</t>
  </si>
  <si>
    <t>Mr. Bassel Serafy serves as Chief Executive Officer at Adeer Real Estate.</t>
  </si>
  <si>
    <t>+966 (0)92 000 4024</t>
  </si>
  <si>
    <t>Khobar, Saudi Arabia</t>
  </si>
  <si>
    <t>Al Yarmouk Prince Turkey Street</t>
  </si>
  <si>
    <t>Khobar</t>
  </si>
  <si>
    <t>398789-29P</t>
  </si>
  <si>
    <t>Bassem Hanna</t>
  </si>
  <si>
    <t>Hanna</t>
  </si>
  <si>
    <t>Bassem</t>
  </si>
  <si>
    <t>Abdullah Jurji</t>
  </si>
  <si>
    <t>Miral Dental Clinics</t>
  </si>
  <si>
    <t>Mr. Bassem Hanna serves as Chief Financial Officer at Miral Dental Clinics.</t>
  </si>
  <si>
    <t>bhanna@miraldental.com</t>
  </si>
  <si>
    <t>Prince Muhammad bin Abdulaziz Road</t>
  </si>
  <si>
    <t>11527</t>
  </si>
  <si>
    <t>+966 (0)11 466 1078</t>
  </si>
  <si>
    <t>169115-41P</t>
  </si>
  <si>
    <t>Bilal Bushnaq</t>
  </si>
  <si>
    <t>Bushnaq</t>
  </si>
  <si>
    <t>Bilal</t>
  </si>
  <si>
    <t>Mr. Bilal Bushnaq serves as Chief Financial Officer at Derayah Financial. Bilal Bushnaq is the chief financial officer in charge of the financial management and accounting department, and administration, and risk management. Mr. Bushnaq has more than 20 years of professional experience in different areas of financial management such as underwriting management, risk management, financial control, and cash management. Mr. Bushnaq has diversified knowledge in different sectors since he worked in financial services, banking, medical equipment, manufacturing, and the aviation sectors. Prior to joining Derayah, Mr. Bushnaq was a financial controller at Royal Jordanian. Prior to that, he was a financial controller in the medical equipment sector in Saudi Arabia and Jordan at Al Faisaliah Medical Systems. Mr. Bushnaq has been a CMA (Certified Management Accountant) since 2002 and a CPA (Certified Public Accountant) since 1998. He holds a university degree majoring in accounting from the University of Jordan in 1996.</t>
  </si>
  <si>
    <t>University of Jordan</t>
  </si>
  <si>
    <t>bilal.bushnaq@web.derayah.com</t>
  </si>
  <si>
    <t>437327-65P</t>
  </si>
  <si>
    <t>Bruno Wehbe</t>
  </si>
  <si>
    <t>Wehbe</t>
  </si>
  <si>
    <t>Bruno</t>
  </si>
  <si>
    <t>Mr. Bruno Wehbe serves as Chief Operating Officer at Cenomi Centers. He brings over 17 years of experience in senior leadership roles across different organizations. In his current role, he leads the development and execution of the Flagship assets (The Jawharats) and Cenomi's standing portfolio of 21 assets. He manages cross-functional teams including asset management, strategic, leasing, marketing, and operations. Prior to his current role, he held the role of Chief Strategy Officer for Cenomi Group with previous roles in the region covering portfolio and asset management for Cenomi Centers and Vice President MENA Real Estate Lead, Booz Allen Hamilton and Principal MENA Real Estate, Strategy&amp;, Booz &amp; Company.</t>
  </si>
  <si>
    <t>wehbeb@cenomi.com</t>
  </si>
  <si>
    <t>412343-20P</t>
  </si>
  <si>
    <t>Bunayan Alotaibi</t>
  </si>
  <si>
    <t>Alotaibi</t>
  </si>
  <si>
    <t>Bunayan</t>
  </si>
  <si>
    <t>Halal</t>
  </si>
  <si>
    <t>Naas Petrol Factory</t>
  </si>
  <si>
    <t>Mr. Bunayan Halal Alotaibi serves as Chief Executive Officer at Naas Petrol Factory.</t>
  </si>
  <si>
    <t>+966 (0)92 002 1238</t>
  </si>
  <si>
    <t>bunayan.alotaibi@naaspetrol.com</t>
  </si>
  <si>
    <t>379819-99P</t>
  </si>
  <si>
    <t>Christopher Warwick</t>
  </si>
  <si>
    <t>Warwick</t>
  </si>
  <si>
    <t>Christopher</t>
  </si>
  <si>
    <t>Gerard</t>
  </si>
  <si>
    <t>Al Masane Al Kobra Mining</t>
  </si>
  <si>
    <t>Mr. Christopher Warwick serves as Acting Chief Executive Officer at Al Masane Al Kobra Mining.</t>
  </si>
  <si>
    <t>+966 (0)12 216 2699</t>
  </si>
  <si>
    <t>c.warwick@amak.com.sa</t>
  </si>
  <si>
    <t>Building 7847</t>
  </si>
  <si>
    <t>Unit.2</t>
  </si>
  <si>
    <t>66244</t>
  </si>
  <si>
    <t>+966 (0)17 523 8722</t>
  </si>
  <si>
    <t>445498-03P</t>
  </si>
  <si>
    <t>Dalal Burhan</t>
  </si>
  <si>
    <t>Burhan</t>
  </si>
  <si>
    <t>Dalal</t>
  </si>
  <si>
    <t>Al Sagr Cooperative Insurance</t>
  </si>
  <si>
    <t>Mr. Dalal Burhan serves as Acting Chief Executive Officer at Al Sagr Cooperative Insurance.</t>
  </si>
  <si>
    <t>dburhan@alsagr.com</t>
  </si>
  <si>
    <t>6565 King Fahd Road</t>
  </si>
  <si>
    <t>Al-Khalidiyah Al-Shamaliyah District</t>
  </si>
  <si>
    <t>32232-3823</t>
  </si>
  <si>
    <t>263582-38P</t>
  </si>
  <si>
    <t>Danko Maras</t>
  </si>
  <si>
    <t>Maras</t>
  </si>
  <si>
    <t>Danko</t>
  </si>
  <si>
    <t>Mr. Danko Maras serves as Chief Financial Officer at Almarai. He was appointed as Almarai's CFO effective 6 April 2020. He is an experienced financial professional with senior international positions in the fast-moving consumer goods industry such as Unilever, Leaf and Cloetta, were in addition to being Group CFO, he also has held positions such as CEO and President. He holds a GMP from Harvard Business School (HBS) and a Bachelor of Science in Business Administration and Economics, Uppsala University.</t>
  </si>
  <si>
    <t>Uppsala University</t>
  </si>
  <si>
    <t>+966 (0)11 470 0005</t>
  </si>
  <si>
    <t>danko.maras@almarai.com</t>
  </si>
  <si>
    <t>438851-35P</t>
  </si>
  <si>
    <t>Dunya Alam</t>
  </si>
  <si>
    <t>Alam</t>
  </si>
  <si>
    <t>Dunya</t>
  </si>
  <si>
    <t>Zeb Sher</t>
  </si>
  <si>
    <t>Jazan Development and Investment</t>
  </si>
  <si>
    <t>Mr. Dunya Alam serves as Chief Financial Officer at Jazan Development and Investment.</t>
  </si>
  <si>
    <t>+966 (0)17 322 2162</t>
  </si>
  <si>
    <t>d.alam@jazadco.com.sa</t>
  </si>
  <si>
    <t>Jazan, Saudi Arabia</t>
  </si>
  <si>
    <t>Kournaish Street</t>
  </si>
  <si>
    <t>PO Box 127</t>
  </si>
  <si>
    <t>Jazan</t>
  </si>
  <si>
    <t>+966 (0)17 322 2357</t>
  </si>
  <si>
    <t>439037-47P</t>
  </si>
  <si>
    <t>Ehab Sobhy</t>
  </si>
  <si>
    <t>Sobhy</t>
  </si>
  <si>
    <t>Ehab</t>
  </si>
  <si>
    <t>Mr. Ehab Sobhy serves as Chief Operating Officer at Service Equipment.</t>
  </si>
  <si>
    <t>esobhy@serviceequipment.com.sa</t>
  </si>
  <si>
    <t>293608-90P</t>
  </si>
  <si>
    <t>Ehssan Doughman</t>
  </si>
  <si>
    <t>Doughman</t>
  </si>
  <si>
    <t>Ehssan</t>
  </si>
  <si>
    <t>2P Perfect Presentation</t>
  </si>
  <si>
    <t>Mr. Ehssan Doughman serves as Chief Executive Officer &amp; Board Member at 2P Perfect Presentation. He is a leader with more than 17 years of experience linking strategies to business objectives.</t>
  </si>
  <si>
    <t>+966 (0)11 510 9988</t>
  </si>
  <si>
    <t>edoughman@2p.com.sa</t>
  </si>
  <si>
    <t>4077 Alsheikg Abdullah Bin Gabreen Street</t>
  </si>
  <si>
    <t>7537 Al Qairawan District</t>
  </si>
  <si>
    <t>13531</t>
  </si>
  <si>
    <t>+966 (0)11 215 0222</t>
  </si>
  <si>
    <t>415844-65P</t>
  </si>
  <si>
    <t>Emad Haji</t>
  </si>
  <si>
    <t>Haji</t>
  </si>
  <si>
    <t>Emad</t>
  </si>
  <si>
    <t>National Industralization</t>
  </si>
  <si>
    <t>Mr. Emad Haji serves as Chief Financial Officer at National Industralization. He holds a Bachelor's degree in Accounting and Auditing from Kuwait University in 1988. He also completed some specialized courses in Master of Business Administration from the University of Phoenix in the United States in 2002 and attended a group of specialized training courses through global centers in Leadership, Financial Management, Accounting, Financial Strategies, and Accounting Standards. He is currently the Chief Financial Officer in Tasnee. He is also a board member at the Saudi Acrylic Acid Company, Saudi Acrylic Polymers Company and the Saudi Acrylic Monomers Company, a member of the Audit Committee and Secretary of the Board of Directors at Tasnee and Sahara Olefins Company, as well as a Board member and Secretary of the Board at the Saudi Acrylic Acid Company. Previously, he was the secretary of the Board of Directors and the Audit Committee member in the Power and Water Utility Company for Jubail and Yanbu-Marafiq.</t>
  </si>
  <si>
    <t>University of Phoenix, kuwait University</t>
  </si>
  <si>
    <t>+966 (0)11 222 2205</t>
  </si>
  <si>
    <t>The Business Gate, Building No. C3</t>
  </si>
  <si>
    <t>Eastern Ring Road, Qurtuba Area</t>
  </si>
  <si>
    <t>+966 (0)11 400 2255</t>
  </si>
  <si>
    <t>329122-90P</t>
  </si>
  <si>
    <t>Erick Baduy</t>
  </si>
  <si>
    <t>Baduy</t>
  </si>
  <si>
    <t>Erick</t>
  </si>
  <si>
    <t>Edarat Comms &amp; Info Tech</t>
  </si>
  <si>
    <t>Founding Partner, Chief Executive Officer &amp; Board Member</t>
  </si>
  <si>
    <t>Mr. Erick Baduy is a Founding Partner and serves as Chief Executive Officer &amp; Board Member at Edarat Comms &amp; Info Tech. Mr. Baduy guides and supports Edarat's vision, mission and values and has a proven track record of implementing action plans and achieving results to maximize client operations, profitability and value. He also works on long-term initiatives to support the company's future, including the expansion of career development paths for employees, promotion of the Edarat brand, and corporate governance.
Erick makes sure that Edarat Group continues to strive for operational excellence while acting as the ultimate project sponsor for strategic projects holding overall responsibility and ensuring ongoing alignment to business objectives.</t>
  </si>
  <si>
    <t>+966 (0)11 205 7838</t>
  </si>
  <si>
    <t>erick.baduy@edaratgroup.com</t>
  </si>
  <si>
    <t>Prince Nasir Bin Saud Bin Farhan Al Saud Street</t>
  </si>
  <si>
    <t>13322</t>
  </si>
  <si>
    <t>+966 (0)11 450 4297</t>
  </si>
  <si>
    <t>468592-30P</t>
  </si>
  <si>
    <t>Eugeniu Comarniţchi</t>
  </si>
  <si>
    <t>Comarniţchi</t>
  </si>
  <si>
    <t>Eugeniu</t>
  </si>
  <si>
    <t>Alamar Foods</t>
  </si>
  <si>
    <t>Interim Chief Financial Officer</t>
  </si>
  <si>
    <t>Mr. Eugeniu Comarniţchi serves as Interim Chief Financial Officer at Alamar Foods.</t>
  </si>
  <si>
    <t>+966 (0)11 250 4747</t>
  </si>
  <si>
    <t>eugeniu.comarnitchi@alamar.com</t>
  </si>
  <si>
    <t>3507 Prince Sultan Bin Abdulaziz Road</t>
  </si>
  <si>
    <t>11412</t>
  </si>
  <si>
    <t>+966 (0)11 250 4748</t>
  </si>
  <si>
    <t>376519-24P</t>
  </si>
  <si>
    <t>Eyad Mashat</t>
  </si>
  <si>
    <t>Mashat</t>
  </si>
  <si>
    <t>Eyad</t>
  </si>
  <si>
    <t>Abdullah Suliman</t>
  </si>
  <si>
    <t>Fad International</t>
  </si>
  <si>
    <t>Co-Founder &amp; Chief Executive Officer</t>
  </si>
  <si>
    <t>Mr. Eyad Mashat is a Co-Founder &amp; serves as Chief Executive Officer at Fad International.</t>
  </si>
  <si>
    <t>+966 (0)12 261 6111</t>
  </si>
  <si>
    <t>eyad@fadint.com</t>
  </si>
  <si>
    <t>P.O.Box 3247</t>
  </si>
  <si>
    <t>Fad Int. Building 6622 Mohammad Albakri Alandalus District Unit 1</t>
  </si>
  <si>
    <t>23322-3955</t>
  </si>
  <si>
    <t>+966 (0)12 261 1641</t>
  </si>
  <si>
    <t>482570-83P</t>
  </si>
  <si>
    <t>fadel fawaz</t>
  </si>
  <si>
    <t>fawaz</t>
  </si>
  <si>
    <t>fadel</t>
  </si>
  <si>
    <t>Arabian Food and Dairy Factories</t>
  </si>
  <si>
    <t>Mr. fadel fawaz serves as Chief Financial Officer at Arabian Food and Dairy Factories.</t>
  </si>
  <si>
    <t>+966 (0)13 847 1767</t>
  </si>
  <si>
    <t>ffawaz@fadeco.com</t>
  </si>
  <si>
    <t>1st Industrial Area Dammam 32234 Kingdom of Saudi Arabia</t>
  </si>
  <si>
    <t>32234</t>
  </si>
  <si>
    <t>+966 (0)13 847 1330</t>
  </si>
  <si>
    <t>297495-64P</t>
  </si>
  <si>
    <t>Fadhil Alsaadi</t>
  </si>
  <si>
    <t>Alsaadi</t>
  </si>
  <si>
    <t>Fadhil</t>
  </si>
  <si>
    <t>Middle East Specialized Cables</t>
  </si>
  <si>
    <t>Mr. Fadhil Alsaadi serves as Chief Executive Officer at Middle East Specialized Cables.</t>
  </si>
  <si>
    <t>+966 (0)11 265 0555</t>
  </si>
  <si>
    <t>P.O.Box 60536</t>
  </si>
  <si>
    <t>Salah Uddin Street, Al Joud Building 1- Floor 1</t>
  </si>
  <si>
    <t>+966 (0)11 472 3192</t>
  </si>
  <si>
    <t>412343-92P</t>
  </si>
  <si>
    <t>Fadi Aljamal</t>
  </si>
  <si>
    <t>Aljamal</t>
  </si>
  <si>
    <t>Fadi</t>
  </si>
  <si>
    <t>yousef Rebhi</t>
  </si>
  <si>
    <t>Mr. Fadi yousef Rebhi Aljamal serves as Chief Financial Officer at Naas Petrol Factory.</t>
  </si>
  <si>
    <t>fadi.aljamal@naaspetrol.com</t>
  </si>
  <si>
    <t>484645-06P</t>
  </si>
  <si>
    <t>Fadi Qutishat</t>
  </si>
  <si>
    <t>Qutishat</t>
  </si>
  <si>
    <t>Mr. Fadi Qutishat serves as Chief Financial Officer at Tanmiah Food.</t>
  </si>
  <si>
    <t>fadi.qutishat@tanmiah.com</t>
  </si>
  <si>
    <t>323146-00P</t>
  </si>
  <si>
    <t>Fahad Al Battar</t>
  </si>
  <si>
    <t>Al Battar</t>
  </si>
  <si>
    <t>Misfir</t>
  </si>
  <si>
    <t>Mr. Fahad Al Battar serves as Chief Executive Officer at SABIC Agri-Nutrients.</t>
  </si>
  <si>
    <t>falbattar@sabic-agrinutrients.com</t>
  </si>
  <si>
    <t>425589-58P</t>
  </si>
  <si>
    <t>Fahad Al Obailan</t>
  </si>
  <si>
    <t>Al Obailan</t>
  </si>
  <si>
    <t>Fahad Al Obailan serves as Chief Executive Officer &amp; Board Member at Baan Holding. He has over 21 years of experience and expertise to his role, he is driven by a passion for customer experience and innovation, which has resulted in the successful implementation of several initiatives and projects. He now is the Group CEO and board member of Al Hokair group that diversify in entertainment, hospitality, catering and investment. He was previously Chief Tourism Officer of Almosafer (part of Seera Group) for over 6 years and has been instrumental in the transformation of Almosafer's from an online travel agency into a holistic omnichannel travel brand that becomes as a full platform of travel. As a leader in the travel, tourism and entertainment industry &amp; as vice chairman of the Riyadh chamber of commerce &amp; industry's tourism committee, he was spearheading Almosafer's tourism vertical that encompasses leisure, religious and MICE activities across the company. He was the business lead for Discover Saudi, Almosafer's Destination Management Company, as well as Mawasim, Almosafer's Hajj &amp; Umrah tour operator, and created synergies across the company's tourism portfolio. He holds a bachelor's degree in marketing from King Saud University, and Master's - Business Administration from Thunderbird College of Global Management, Arizona, USA. He also completed courses at prestigious institutions such as London Business School. He is a true leader and advocate for growth and innovation in the tourism industry and is poised to make an even greater impact in the years to come. He is an active member of the business community and serves on several boards and committees including: Chairman - Al Mosafer activities, Vice chairman - Tatweer company, Board member - Touresco, Board member - Malahi Entertainment Company, Excom member - Lumi car rental, and Vice chairman - Tourism committee - Riyadh chamber of commerce.</t>
  </si>
  <si>
    <t>fahada@alhokair.com</t>
  </si>
  <si>
    <t>329802-13P</t>
  </si>
  <si>
    <t>Fahad Al Otaibi</t>
  </si>
  <si>
    <t>Al Otaibi</t>
  </si>
  <si>
    <t>Rashed</t>
  </si>
  <si>
    <t>Eastern Province Cement</t>
  </si>
  <si>
    <t>Mr. Fahad Otaibi serves as Chief Executive Officer at Eastern Province Cement.</t>
  </si>
  <si>
    <t>+966 (0)3 881 2222</t>
  </si>
  <si>
    <t>falotaibi@epcco.com.sa</t>
  </si>
  <si>
    <t>PO Box 4536</t>
  </si>
  <si>
    <t>31412</t>
  </si>
  <si>
    <t>+966 (0)13 881 2000</t>
  </si>
  <si>
    <t>467797-15P</t>
  </si>
  <si>
    <t>Fahad Al Thuniyan</t>
  </si>
  <si>
    <t>Al Thuniyan</t>
  </si>
  <si>
    <t>Bin Thuniyan Bin Fahad</t>
  </si>
  <si>
    <t>National Building &amp; Marketing Company</t>
  </si>
  <si>
    <t>Mr. Fahad Al Thuniyan serves as Chairman at National Building &amp; Marketing Company.</t>
  </si>
  <si>
    <t>+966 (0)11 229 8808</t>
  </si>
  <si>
    <t>PO Box: 401</t>
  </si>
  <si>
    <t>11312</t>
  </si>
  <si>
    <t>+966 (0)11 402 2615</t>
  </si>
  <si>
    <t>484618-06P</t>
  </si>
  <si>
    <t>Fahad Al-Aslami</t>
  </si>
  <si>
    <t>Al-Aslami</t>
  </si>
  <si>
    <t>Al Akaria</t>
  </si>
  <si>
    <t>Mr. Fahad Al-Aslami serves as Chief Financial Officer at Al Akaria.</t>
  </si>
  <si>
    <t>+966 (0)1 460 0000</t>
  </si>
  <si>
    <t>fal-aslami@al-akaria.com</t>
  </si>
  <si>
    <t>PO Box 3572</t>
  </si>
  <si>
    <t>Olaya Street, Al Aqaria Plaza Center - 5th Floor</t>
  </si>
  <si>
    <t>+966 (0)1 460 1234</t>
  </si>
  <si>
    <t>315872-74P</t>
  </si>
  <si>
    <t>Fahad Al-Matrafi</t>
  </si>
  <si>
    <t>Al-Matrafi</t>
  </si>
  <si>
    <t>Advanced Petrochemical</t>
  </si>
  <si>
    <t>Mr. Fahad Al-Matrafi serves as Chief Executive Officer &amp; President at Advanced Petrochemical Company. Mr. Al-Matrafi completed Chemical Engineering in 1995 and Executive MBA program in 2006 from KFUPM. Mr. Al Matrafi started his career with SABIC and has more than 25 years' experience in various fields of the Petrochemical business. He joined Advanced Petrochemical Company in 2008 and held several positions viz. GM Operations, GM Supply Chain, GM Technical and VP Technical. Currently, he is the President &amp; CEO of Advanced from August 2019 till date.</t>
  </si>
  <si>
    <t>+966 (0)13 356 6000</t>
  </si>
  <si>
    <t>falmatrafi@advancedpetrochem.com</t>
  </si>
  <si>
    <t>P.O.Box 11022</t>
  </si>
  <si>
    <t>+966 (0)13 356 6096</t>
  </si>
  <si>
    <t>371498-50P</t>
  </si>
  <si>
    <t>Fahad Alhagbani</t>
  </si>
  <si>
    <t>Alhagbani</t>
  </si>
  <si>
    <t>Mr. Fahad Alhagbani is a Co-Founder serves as Chief Executive Officer at Armah Sports.</t>
  </si>
  <si>
    <t>fhagbani@armahsports.com</t>
  </si>
  <si>
    <t>484487-83P</t>
  </si>
  <si>
    <t>Fahad Altuwaijry</t>
  </si>
  <si>
    <t>Altuwaijry</t>
  </si>
  <si>
    <t>Ataa Educational</t>
  </si>
  <si>
    <t>Mr. Fahad Altuwaijry serves as Chief Executive Officer at Ataa Educational.</t>
  </si>
  <si>
    <t>+966 (0)92 000 0451</t>
  </si>
  <si>
    <t>Exit 9 - Al-Izdihar, Al-Abbas Ibn Abdul Muttalib Street</t>
  </si>
  <si>
    <t>426660-49P</t>
  </si>
  <si>
    <t>Fahad Ibrahim Al-Mufarrej</t>
  </si>
  <si>
    <t>Ibrahim Al-Mufarrej</t>
  </si>
  <si>
    <t>Mr. Fahad Ibrahim Al-Mufarrej serves as Chief Executive Officer at Nayifat Financing Company.</t>
  </si>
  <si>
    <t>f.ibrahim@nayifat.com</t>
  </si>
  <si>
    <t>323197-39P</t>
  </si>
  <si>
    <t>Fahad Khorayef</t>
  </si>
  <si>
    <t>Khorayef</t>
  </si>
  <si>
    <t>Saudi Parts Center</t>
  </si>
  <si>
    <t>Mr. Fahad Khorayef serves as Chief Executive Officer &amp; Managing Director at Saudi Parts Center.</t>
  </si>
  <si>
    <t>IMD Business School</t>
  </si>
  <si>
    <t>+966 (0)92 000 9301</t>
  </si>
  <si>
    <t>fkhorayef@spc-parts.com</t>
  </si>
  <si>
    <t>8592 King Fahd Branch Road</t>
  </si>
  <si>
    <t>235567-63P</t>
  </si>
  <si>
    <t>Fahd bin Suleiman Al-Rajihi</t>
  </si>
  <si>
    <t>Suleiman Al-Rajihi</t>
  </si>
  <si>
    <t>Fahd bin</t>
  </si>
  <si>
    <t>Mr. Fahd bin Suleiman Al-Rajihi serves as Chairman at Yanbu Cement.</t>
  </si>
  <si>
    <t>364791-97P</t>
  </si>
  <si>
    <t>Faisal Albedah</t>
  </si>
  <si>
    <t>Albedah</t>
  </si>
  <si>
    <t>Saad Abdullah</t>
  </si>
  <si>
    <t>SAL Saudi Logistics Services</t>
  </si>
  <si>
    <t>Faisal Saad Abdullah Albedah 44 years Saudi Managing Director &amp; CEO of the Company . MBA, Prince Sultan University, Riyadh, 2010G. . Bachelor's degree in Accounting, King Saud University, Riyadh, 2001G. Other Current Positions Close Previous Positions N/A . Director and Secretary General, Saudi Exports, a government body focused on increasing Saudi non-oil exports, from 2021G to 2022G. . Director, General Authority of Foreign Trade (GAFT), a Governmental body aiming to enhance KSA's international commercial gains, from 2021G to 2022G. . Director and Member of the Executive Committee, Saudi EXIM Bank, a bank seeking to promote the development and diversification of Saudi exports, from 2021G to 2022G. . Director, National Centre for Palms &amp; Dates, a center seeking to develop and sustain the palm and dates sector, from 2021G to 2022G. . Independent Director and Member of the Executive Committee and Investment Committee, National Unified Procurement Company for Medical Supplies (NUPCO), a limited liability company operating in the health sector, from 2019G to 2022G. . Director, SACC, a closed joint-stock company operating in the cargo sector, from 2020G to March 2021G. . Secretary General, Logistics Services Committee, a committee of the National Industrial Development and Logistics Program (NIDLP), from 2020G to 2021G. . Advisor to the Minister, MOMRAH, from 2019G to 2020G. . Deputy Governor, Saudi Customs for Trade Facilitation, from 2017G to 2019G. . Supply Chain Manager, Diaverum, a limited liability company operating in the health sector, from 2015G to 2017G. . Senior Supply Chain Manager, Baxter- Dubai, UAE, a limited liability company operating in the health sector, from 2010G to 2015G. . Business Development Manager, Jadwa Investment, a closed joint- stock company operating in the investment sector, from 2008G to 2010G. Project Coordinator, Saudi Industrial Investment Group (SIIG), a listed joint-stock company operating in the industries sector, from 2006G to 2008G. Supply Chain Manager, Arabian Health Care Supply Co., a limited liability company operating in the health sector, from 2003G to 2006G.</t>
  </si>
  <si>
    <t>+966 (0)92 001 1725</t>
  </si>
  <si>
    <t>falbedah@sal.sa</t>
  </si>
  <si>
    <t>Prince Sultan Road</t>
  </si>
  <si>
    <t>Zahran Building</t>
  </si>
  <si>
    <t>325986-40P</t>
  </si>
  <si>
    <t>Faisal AlDabal</t>
  </si>
  <si>
    <t>AlDabal</t>
  </si>
  <si>
    <t>Gas Arabian Services</t>
  </si>
  <si>
    <t>Mr. Faisal AlDabal serves as Chief Executive Officer &amp; Vice Chairman at Gas Arabian Services.</t>
  </si>
  <si>
    <t>+966 (0)13 835 1500</t>
  </si>
  <si>
    <t>Unit number 8500</t>
  </si>
  <si>
    <t>Ad Dammam 32241-5150</t>
  </si>
  <si>
    <t>32241-5150</t>
  </si>
  <si>
    <t>+966 (0)13 831 1500</t>
  </si>
  <si>
    <t>363601-18P</t>
  </si>
  <si>
    <t>Faisal Almaghrabi</t>
  </si>
  <si>
    <t>Almaghrabi</t>
  </si>
  <si>
    <t>Yakoub Yousef</t>
  </si>
  <si>
    <t>Paper Home</t>
  </si>
  <si>
    <t>Mr. Faisal Almaghrabi serves as Chief Executive Officer &amp; Managing Director at Paper Home.</t>
  </si>
  <si>
    <t>+966 (0)11 545 9348</t>
  </si>
  <si>
    <t>falmaghrabi@paperhome.com.sa</t>
  </si>
  <si>
    <t>Al-Kharj, Al-Rifaya District</t>
  </si>
  <si>
    <t>Unit No. 10, Building No. 8404</t>
  </si>
  <si>
    <t>380793-43P</t>
  </si>
  <si>
    <t>Faisal Alshaikh</t>
  </si>
  <si>
    <t>Alshaikh</t>
  </si>
  <si>
    <t>Mr. Faisal Alshaikh serves as Chief Executive Officer at Quara Finance.</t>
  </si>
  <si>
    <t>falshaikh@quarafinance.com</t>
  </si>
  <si>
    <t>383599-63P</t>
  </si>
  <si>
    <t>Faisal AlSunaid</t>
  </si>
  <si>
    <t>AlSunaid</t>
  </si>
  <si>
    <t>Mr. Faisal Sunaid serves as Chief Operating Officer at Gas Arabian Services.</t>
  </si>
  <si>
    <t>faisal.alsunaid@gasarabian.com</t>
  </si>
  <si>
    <t>339957-91P</t>
  </si>
  <si>
    <t>Fares Lahoud</t>
  </si>
  <si>
    <t>Lahoud</t>
  </si>
  <si>
    <t>Fares</t>
  </si>
  <si>
    <t>Nehme</t>
  </si>
  <si>
    <t>Mr. Fares Lahoud serves as Chief Financial Officer at Basic Chemical Industries.</t>
  </si>
  <si>
    <t>fares@bci.com.sa</t>
  </si>
  <si>
    <t>308168-74P</t>
  </si>
  <si>
    <t>Farhan Hussain</t>
  </si>
  <si>
    <t>Hussain</t>
  </si>
  <si>
    <t>Farhan</t>
  </si>
  <si>
    <t>Chief Financial Officer &amp; Member of the Executive Management Committee</t>
  </si>
  <si>
    <t>Mr. Farhan Hussain serves as Chief Financial Officer at Jadwa Investment. He was Finance and Treasury Manager at Amlak Finance, Senior Engagement Auditor at Ernst &amp; Young, and Assistant Manager at Deloitte &amp; Touche. He is a Cost and Management Accountant (UK), Chartered Accountant (Pakistan), Certified Islamic Public Accountant (AAOFI, Bahrain), and holds a bachelor's degree from the University of Karachi (Pakistan).</t>
  </si>
  <si>
    <t>University of Karachi</t>
  </si>
  <si>
    <t>fhussain@jadwa.com</t>
  </si>
  <si>
    <t>385438-78P</t>
  </si>
  <si>
    <t>Faris Al Habbad</t>
  </si>
  <si>
    <t>Al Habbad</t>
  </si>
  <si>
    <t>Salman</t>
  </si>
  <si>
    <t>Gulf Union Al Ahlia Cooperative Insurance</t>
  </si>
  <si>
    <t>Mr. Faris Salman Al Habbad serves as Chief Financial Officer at Gulf Union Al Ahlia Cooperative Insurance. Before joining Gulf Union, Mr. Al Habbad worked at Salama Cooperative Insurance as Finance Operations Manager, Credit Control Manager, Assistant Accounting Manager, Senior Accounting Supervisor and Accounting Supervisor. He holds a Bachelor of Science in Accounting from King Abdulaziz University.</t>
  </si>
  <si>
    <t>+966 (0)0 304 0077</t>
  </si>
  <si>
    <t>fhabbad@gulfunion.com.sa</t>
  </si>
  <si>
    <t>Salman Al Farisi Street, Al Khalidiyyah</t>
  </si>
  <si>
    <t>Al Janubiyyah</t>
  </si>
  <si>
    <t>32221</t>
  </si>
  <si>
    <t>381219-94P</t>
  </si>
  <si>
    <t>Fathalrahman Othman</t>
  </si>
  <si>
    <t>Fathalrahman</t>
  </si>
  <si>
    <t>National Metal Manufacturing And Casting</t>
  </si>
  <si>
    <t>Mr. Fathalrahman Othman serves as Chief Financial Officer at National Metal Manufacturing And Casting.</t>
  </si>
  <si>
    <t>+966 (0)13 358 8000</t>
  </si>
  <si>
    <t>f.othman@maadaniyah.com</t>
  </si>
  <si>
    <t>PO Box 10882</t>
  </si>
  <si>
    <t>Street 198, Jubail Industrial City</t>
  </si>
  <si>
    <t>+966 (0)13 358 3831</t>
  </si>
  <si>
    <t>340991-47P</t>
  </si>
  <si>
    <t>Fawaz Al Bawardi</t>
  </si>
  <si>
    <t>Bena Steel Industries</t>
  </si>
  <si>
    <t>Mr. Fawaz Al Bawardi serves as Chief Executive Officer at Bena Steel Industries.</t>
  </si>
  <si>
    <t>+966 (0)13 847 2685</t>
  </si>
  <si>
    <t>falbawardi@benasteel.com</t>
  </si>
  <si>
    <t>PO Box 112</t>
  </si>
  <si>
    <t>First Industrial Area, behind SABIC warehouse</t>
  </si>
  <si>
    <t>31411</t>
  </si>
  <si>
    <t>+966 (0)13 847 2312</t>
  </si>
  <si>
    <t>415842-22P</t>
  </si>
  <si>
    <t>Fawaz Al Fawaz</t>
  </si>
  <si>
    <t>Al Fawaz</t>
  </si>
  <si>
    <t>Mr. Fawaz Al Fawaz serves as Chief Executive Officer &amp; Board Member at National Industrialization. He holds a Bachelor's in Accounting from King Saud University and has attended several specialized courses in international centers. These include courses in Advanced Management, Financial Strategic Leadership of Companies and Shared Services, Management of Credit and Risks, Management of International Treasury, Financial Control, and Corporate Governance. He is currently the Chairman of Saudi Logistics Company (SAL) and Saudi Acrylic Acid Company, the board member in Tasnee and Sahara Olefins Company, Saudi Polyolefins Company (SPC), National Titanium Dioxide Company (Cristal) and Advanced Metal Industries Clusters Co. (AMIC), the board member and Head of Audit Committee in Tasnee and Energy Services (TAQA) and Saudi Chemical Company.</t>
  </si>
  <si>
    <t>fawaza@tasnee.com</t>
  </si>
  <si>
    <t>417590-83P</t>
  </si>
  <si>
    <t>Fawaz Alfawwaz</t>
  </si>
  <si>
    <t>Alfawwaz</t>
  </si>
  <si>
    <t>Mohammed Fawaz</t>
  </si>
  <si>
    <t>Fawaz Mohammed Fawaz AlFawaz 61 years Saudi Chairman Bachelor's degree in Accounting and Finance, King Saud University, KSA, 1983G. He attended several specialized training courses at a number of foreign training facilities. His training included advanced management, leadership, corporate financial strategies, joint services, credit and risk management, international treasury management, financial control, and corporate governance. Chairman, Saudi Acrylic Acid Company (SAAC), a limited liability company operating in the management of acrylic acid and derivatives projects, from 2020G to present. Director and Chairman of the Audit Committee, Saudi Chemical Company, a listed joint-stock company operating in the chemical, industry, and drug distribution sector, from 2019G to present. Director and Chairman of the Audit Committee, Tasnee &amp; Sahara Olefins Company (TSOC), a closed joint-stock company operating in the petrochemical sector, from 2015G to present. Director and Chairman of the Audit Committee, The Industrialization Energy Services Company (TAQA), a closed jointstock company operating in the drilling and petroleum services sector, from 2015G to present. Executive Vice President - Finance &amp; Support Functions, National Industrialization Company (Tasnee), a listed joint-stock company operating in petrochemicals, manufacturing materials and marketing of its products, from 2015G to present. . Director and Chairman of the Audit Committee, Malath Cooperative Insurance Co., a listed joint-stock company operating in the insurance sector, from 2016G to 2019G. Chairman, SACC, a closed joint stock company operating in the air cargo sector, from 2016G until July 2021G. Director and Member of the Audit Committee, Alba Company - Bahrain, a listed joint-stock company operating in the mining and aluminum sector, from January 2015G until the end of March 2015G. Director and Chairman of the Audit Committee, Yansab, a listed joint-stock company operating in the petrochemical sector, from 2013G to 2015G. Vice President of Finance, Saudi Basic Industries Corp. (SABIC), a listed joint-stock company operating in the petrochemical sector, from 2010G to 2015G. Member of the Advisory Committee, Capital Market Authority, from 2016G to 2017G. Director and Chairman of the Audit Committee, Yansab, a listed joint-stock company operating in the petrochemical sector, from 2007G to 2012G. Vice Chairman and Chairman of the Audit Committee, Yansab, a listed joint-stock company operating in the petrochemical sector, from 2013G to 2015G. . General Manager of Finance, Saudi Basic Industries Corp. (SABIC), a listed joint-stock company operating in the petrochemical sector, from 2004G to 2009G. General Manager of Accounting, Saudi Basic Industries Corp. (SABIC), a listed joint-stock company operating in the petrochemical sector, from 2000G to 2004G. Assistant Vice President of Finance, SABIC Marketing Ltd (a subsidiary of SABIC), a limited liability company operating in the petrochemical sector, from 1996G to 1999G. He assumed several accounting and financial positions in SABIC Marketing</t>
  </si>
  <si>
    <t>324726-40P</t>
  </si>
  <si>
    <t>Fawaz Alhijji</t>
  </si>
  <si>
    <t>Alhijji</t>
  </si>
  <si>
    <t>Malath Insurance</t>
  </si>
  <si>
    <t>Mr. Fawaz Alhijji serves as Chief Executive Officer &amp; Managing Director at Malath Cooperative Insurance And Reinsurance.</t>
  </si>
  <si>
    <t>+966 (0)11 416 8222</t>
  </si>
  <si>
    <t>f.alhijji@malath.com.sa</t>
  </si>
  <si>
    <t>PO Box 99763</t>
  </si>
  <si>
    <t>Prince Mohammed bin Abdulaziz Road</t>
  </si>
  <si>
    <t>+966 (0)11 416 8333</t>
  </si>
  <si>
    <t>370924-30P</t>
  </si>
  <si>
    <t>Fawaz Halwani</t>
  </si>
  <si>
    <t>Halwani</t>
  </si>
  <si>
    <t>Halwani Brothers Company</t>
  </si>
  <si>
    <t>Mr. Fawaz Halwani serves as Acting Chief Executive Officer at Halwani Brothers Company.</t>
  </si>
  <si>
    <t>+966 (0)12 636 6667</t>
  </si>
  <si>
    <t>Near Shimaisy Check post, Jeddah</t>
  </si>
  <si>
    <t>Makkah Highway</t>
  </si>
  <si>
    <t>+966 (0)12 637 6667</t>
  </si>
  <si>
    <t>293068-00P</t>
  </si>
  <si>
    <t>Feras Al-Harbi</t>
  </si>
  <si>
    <t>Mr. Feras Al-Harbi serves as Chief Executive Officer &amp; Managing Director at Saudi Arabian Amiantit.</t>
  </si>
  <si>
    <t>ferasbin-ghassab-al-harbi@amiantit.com</t>
  </si>
  <si>
    <t>314044-21P</t>
  </si>
  <si>
    <t>Filippo Sgattoni</t>
  </si>
  <si>
    <t>Sgattoni</t>
  </si>
  <si>
    <t>Filippo</t>
  </si>
  <si>
    <t>Mr. Filippo Sgattoni serves as Group Chief Executive Officer at Alamar Foods. He holds a bachelor's degree in Economics and a Master's degree in Business Management and Innovation. He holds the position of the Group Chief Executive Officer at Alamar. He was previously Vice President and Group Financial Director of Alamar since 2015 and other several positions in Auto Grill, such as Group Controlling Director, Chief Financial Officer, Finance Director and Business Controller.</t>
  </si>
  <si>
    <t>filippo.sgattoni@alamar.com</t>
  </si>
  <si>
    <t>327703-15P</t>
  </si>
  <si>
    <t>Gamal Abdulkaream</t>
  </si>
  <si>
    <t>Abdulkaream</t>
  </si>
  <si>
    <t>Gamal</t>
  </si>
  <si>
    <t>Nasser Ahmed</t>
  </si>
  <si>
    <t>Raydan Food</t>
  </si>
  <si>
    <t>Mr. Gamal Abdulkaream serves as Chief Financial Officer at Raydan Food.</t>
  </si>
  <si>
    <t>+966 (0)12 678 1177</t>
  </si>
  <si>
    <t>gamal@raydan.com.sa</t>
  </si>
  <si>
    <t>Post Office Box 13868</t>
  </si>
  <si>
    <t>Abdullah Al Sharbatly Street, Al Safa District</t>
  </si>
  <si>
    <t>21323</t>
  </si>
  <si>
    <t>+966 (0)12 678 0505</t>
  </si>
  <si>
    <t>432636-58P</t>
  </si>
  <si>
    <t>Gamal El-Sayed</t>
  </si>
  <si>
    <t>El-Sayed</t>
  </si>
  <si>
    <t>Hafez Abdo</t>
  </si>
  <si>
    <t>Basma Adeem Medical</t>
  </si>
  <si>
    <t>Mr. Gamal El-Sayed serves as Chief Financial Officer at Basma Adeem Medical.</t>
  </si>
  <si>
    <t>+966 (0)77 400 8920</t>
  </si>
  <si>
    <t>gelsayed@smilecare.com.sa</t>
  </si>
  <si>
    <t>P.O. Box 13322</t>
  </si>
  <si>
    <t>Al Yasmeen District, King Abdulaziz Branch Road</t>
  </si>
  <si>
    <t>364793-77P</t>
  </si>
  <si>
    <t>Gary Hoyle</t>
  </si>
  <si>
    <t>Hoyle</t>
  </si>
  <si>
    <t>Gary</t>
  </si>
  <si>
    <t>Mr. Gary Hoyle serves as Chief Financial Officer at SAL Saudi Logistics Services. He is a finance and auditing expert with more than 21 years of experience mainly in the aviation and air cargo industries. A member of the South African Institute of Chartered Accountants and he served for more than eight years as Chief Financial Officer of the South African Airways Cargo. His expertise led him to assume leadership roles in some major freight and air cargo airlines in Africa, including taking part in international initiatives like IATA's e-Airway Bill project. He holds a Commerce Degree from the University of Port Elizabeth and separately, an Honors Degree in Commerce from the University of South Africa.</t>
  </si>
  <si>
    <t>University of South Africa</t>
  </si>
  <si>
    <t>ghoyle@sal.sa</t>
  </si>
  <si>
    <t>401158-54P</t>
  </si>
  <si>
    <t>Geoffrey Day</t>
  </si>
  <si>
    <t>Day</t>
  </si>
  <si>
    <t>Geoffrey</t>
  </si>
  <si>
    <t>McDonalds</t>
  </si>
  <si>
    <t>Mr. Geoffrey Day serves as Chief Executive Officer at Al Masane Al Kobra Mining. He served as Chief Operating Officer at Esan. He is a geochemist with over 35 years of experience in the mining industry worldwide. His expertise encompasses all phases of mining, starting from exploration, through all mining and processing operations, and technical services, to mine closure and rehabilitation. Additionally, he has extensive experience in mergers, acquisitions, and external affairs. He has worked in various regions around the world, including Australia, Papua New Guinea, Indonesia, North America, South America, Africa, and Europe. He holds a Bachelor of Applied Science and Master of Applied Science in Geochemistry from Deakin and Monash Universities, and has undertaken postgraduate studies in Geology and Geophysics at the University of California, Berkeley.</t>
  </si>
  <si>
    <t>Deakin University, Monash University, University of California, Berkeley</t>
  </si>
  <si>
    <t>gday@amak.com.sa</t>
  </si>
  <si>
    <t>Mailing Address (Update), Email (Update)</t>
  </si>
  <si>
    <t>335703-79P</t>
  </si>
  <si>
    <t>George Eapen</t>
  </si>
  <si>
    <t>Eapen</t>
  </si>
  <si>
    <t>George</t>
  </si>
  <si>
    <t>Acting Chief Financial Officer</t>
  </si>
  <si>
    <t>Mr. George Eapen serves as Acting Chief Financial Officer at Advanced Building Industries Co. He has 23 years of experience in various financial roles at Zamil Industrial Investment Company (Zamil Industrial). In 1999, he joined Zamil Steel as a cost accountant. In 2004, he was promoted to financial analyst at Zamil Industrial. He has been the Corporate Finance Manager at Zamil Industrial since 2013. He holds a Bachelor of Commerce degree from Mahatma Gandhi University in Kottayam, India. He is a member of the Institute of Cost Accountants of India and the Institute of Management Accountants in the United States.</t>
  </si>
  <si>
    <t>george@zamilindustrial.com</t>
  </si>
  <si>
    <t>329333-23P</t>
  </si>
  <si>
    <t>George Karim</t>
  </si>
  <si>
    <t>Mr. George Karim serves as Chief Executive Officer &amp; Board Member at Zahrat Al Waha.</t>
  </si>
  <si>
    <t>Lebanese American University</t>
  </si>
  <si>
    <t>210757-87P</t>
  </si>
  <si>
    <t>Georgi Markov</t>
  </si>
  <si>
    <t>Markov</t>
  </si>
  <si>
    <t>Georgi</t>
  </si>
  <si>
    <t>The Mediterranean and Gulf Cooperative Insurance and Reinsurance</t>
  </si>
  <si>
    <t>Mr. Georgi Markov serves as Chief Financial Officer at The Mediterranean &amp; Gulf Insurance &amp; Reinsurance. He holds a MBA from the Vienna University of Business and Economics , a master's degree in Bank Management from the International Banking Institute, and a Bachelor degree in Europeon studies from Sofia University. His managerial and consulting experience spans over a number of industries namely insurance and banking.</t>
  </si>
  <si>
    <t>University of Oslo, University of Vienna</t>
  </si>
  <si>
    <t>georgi.markov@medgulf.com.sa</t>
  </si>
  <si>
    <t>7731 King Saud Road</t>
  </si>
  <si>
    <t>Al Murabba</t>
  </si>
  <si>
    <t>12624</t>
  </si>
  <si>
    <t>356464-63P</t>
  </si>
  <si>
    <t>Ghada Al Jarbou</t>
  </si>
  <si>
    <t>Al Jarbou</t>
  </si>
  <si>
    <t>Ghada</t>
  </si>
  <si>
    <t>Ms. Ghada Al Jarbou serves as Chief Operating Officer at Saudi Awwal Bank. Ms. Al Jarbou is the Chief Operating Officer since October 2020. Ghada is a strong Saudi-talent leader and a youth professional with more than 22 years of diversified banking experience across different banking fields including Information Technology, Human Resources, Retail Banking &amp; Wealth Management and Corporate and Institutional Banking. Throughout her career, she held various executive roles within SAB prior to her current recent including Senior IT Program Manager, Head of Service Delivery, Head of Retail Digital Banking and Retail Banking Chief Operating Officer, and recently the General Manager of Global Liquidity &amp; Cash Management. Ghada comes with a strong educational background where she holds a Master's degree in Business Administration from University of Bath, UK, and had her bachelor's degree in Computer Science from King Saud University.</t>
  </si>
  <si>
    <t>King Saud University, University of Bath</t>
  </si>
  <si>
    <t>aljarbou@sab.com</t>
  </si>
  <si>
    <t>317282-41P</t>
  </si>
  <si>
    <t>Ghassan Mirdad</t>
  </si>
  <si>
    <t>Mirdad</t>
  </si>
  <si>
    <t>Ghassan</t>
  </si>
  <si>
    <t>Arabian Drilling</t>
  </si>
  <si>
    <t>Mr. Ghassan Mirdad serves as Chief Executive Officer at Arabian Drilling Company. Mr. Mirdad is the CEO of Arabian Drilling, Saudi Arabia, and is responsible for leading the national drilling champion in the Kingdom. Prior to joining Arabian Drilling, he was the CEO of Katerra, Saudi Arabia, a Silicon Valley high-tech construction company. Previously, he worked at Schlumberger for 24 years, where he held several leadership roles in key countries across four continents: Africa, Asia, Europe, and South America. He has global expertise in the oil and gas drilling industry, partnerships and investments, mergers and acquisitions, as well as business operations, and human resources. His most recent role at Schlumberger was as President of the Eastern Middle East region where he led operations spanning the UAE, Oman, Pakistan, Iraq, and Yemen. Moreover, he led the global training and development function for Schlumberger where he was ultimately responsible for upskilling over 100,000 employees worldwide. He is also the Founder and Non-executive Director at AFKAR Ventures, an EnergyTech firm focused on leveraging technology for the MENA region's energy sector. With a passion for training and developing talent, he has sat on various educational advisory boards including Abu Dhabi University, College of Business, and the Society of Petroleum Engineers, Saudi Chapter. He currently sits on the Board of Trustees of SADA, Saudi Arabian Drilling Academy. A Sloan fellow, he holds a master's degree in Leadership and Strategy from London Business School. He also has a bachelor's degree in Chemical Engineering from King Fahad University of Petroleum and Minerals. He is recognized for his leadership and has been ranked amongst the top 50 most influential executives in the Middle East by Forbes in 2018 and 2019.</t>
  </si>
  <si>
    <t>London Business School</t>
  </si>
  <si>
    <t>+966 (0)13 829 7000</t>
  </si>
  <si>
    <t>gmirdad@arabdrill.com</t>
  </si>
  <si>
    <t>P.O.Box 4110</t>
  </si>
  <si>
    <t>+966 (0)13 882 6588</t>
  </si>
  <si>
    <t>314744-23P</t>
  </si>
  <si>
    <t>Habes Al Shammary</t>
  </si>
  <si>
    <t>Habes</t>
  </si>
  <si>
    <t>Yaseen</t>
  </si>
  <si>
    <t>Mr. Habes Al Shammary serves as Chief Operating Officer at Methanol Chemicals. He brings extensive experience of over 38 years in new plant detail engineering, construction, commissioning, start-up, overlooking water, power, Oil refining and petrochemical plants operations, process improvement and developing operating procedures. Before joining Chemanol, he has worked at Saudi Aramco for extended period occupying several supervisory and management positions entailing mentoring of professionals with diverse backgrounds and nationalities. He also participated in in the establishment of major Aramco projects such as Saudi Aramco Total Refining and Petrochemical Co. (SATORP) and Saudi Aramco Base Oil Co. (Luberef). Mr. Al Shammari also held several Senior and Consulting positions in the Petrochemicals industry; he was Vice President at Nama Chemicals Co. and Consultant at the Military Industries Sector of the Saudi Chemical company.</t>
  </si>
  <si>
    <t>ha@chemanol.com</t>
  </si>
  <si>
    <t>328071-07P</t>
  </si>
  <si>
    <t>Haitham Al Suhibani</t>
  </si>
  <si>
    <t>Al Suhibani</t>
  </si>
  <si>
    <t>Haitham</t>
  </si>
  <si>
    <t>Bin Muhammad</t>
  </si>
  <si>
    <t>Mr. Haitham Al Suhibani serves as Chief Executive Officer &amp; Board Member at Arab Sea Information System.</t>
  </si>
  <si>
    <t>haithama@arabsea.com</t>
  </si>
  <si>
    <t>286493-50P</t>
  </si>
  <si>
    <t>Haitham Albakree</t>
  </si>
  <si>
    <t>Albakree</t>
  </si>
  <si>
    <t>Habib</t>
  </si>
  <si>
    <t>Wataniya Insurance</t>
  </si>
  <si>
    <t>Mr. Haitham Albakree serves as Chief Executive Officer &amp; Managing Director at Wataniya Insurance. Mr. Albakree is focused on maintaining a dynamic take-charge approach for an organizational internal and bottom-line success, whilst always staying mindful of the client and their experience as the greatest measure of achievement.</t>
  </si>
  <si>
    <t>+966 (0)12 660 6980</t>
  </si>
  <si>
    <t>h.albakree@wataniya.com.sa</t>
  </si>
  <si>
    <t>E.A. Juffali &amp; Brothers H.O. Building. Madina Road, before Emirate of Makkah Region</t>
  </si>
  <si>
    <t>P. O. Box 5832</t>
  </si>
  <si>
    <t>21432</t>
  </si>
  <si>
    <t>+966 (0)12 667 4530</t>
  </si>
  <si>
    <t>477022-06P</t>
  </si>
  <si>
    <t>Haitham Aljamrah</t>
  </si>
  <si>
    <t>Aljamrah</t>
  </si>
  <si>
    <t>Khaled Al-Dhafer &amp; Brothers Logistics Services</t>
  </si>
  <si>
    <t>Mr. Haitham Aljamrah serves as Chief Financial Officer at Khaled Al-Dhafer &amp; Brothers Logistics Services. Previously, Haitham was the Chief Financial Officer at Confidential and also held positions at Taqat Mineral, Bussma, Al Fozan Holding_unisteel, Arabian Printing and Publishing House, Advanced Agrochemicals &amp; Vaterieny Products Industrial. He received a Bachelor degree from Zarqa University.</t>
  </si>
  <si>
    <t>+966 (0)92 000 0541</t>
  </si>
  <si>
    <t>haitham@kdl.com.sa</t>
  </si>
  <si>
    <t>Omar Ibn Al-Khattab Road - Al-Malaz District</t>
  </si>
  <si>
    <t>Next to the dry port and railway</t>
  </si>
  <si>
    <t>393205-78P</t>
  </si>
  <si>
    <t>Hamad Aldrees</t>
  </si>
  <si>
    <t>Mr. Hamad Mohammed Aldrees, Chairman of the Board. Current position: Businessman - Chairman of the Board of Directors. Previous position: Businessman - Chairman of the Board of Directors. Experience: 45 Chairman of Mohamed Saad Aldrees and Sons Company. 18 yrs. as Chairman of the Board of Directors of Aldrees. Petroleum &amp;Transport Services Co. 3 yrs. as Chairman of the Board of Directors Aldrees Industrial &amp; Trading Company (ALITCO) and 30 Hamad M. Aldrees &amp; Partners Co.</t>
  </si>
  <si>
    <t>363592-36P</t>
  </si>
  <si>
    <t>Hamad Alsourayia</t>
  </si>
  <si>
    <t>Alsourayia</t>
  </si>
  <si>
    <t>bin Hamdan</t>
  </si>
  <si>
    <t>United Mining Industries</t>
  </si>
  <si>
    <t>Mr. Hamad Alsourayia serves as Chief Executive Officer at United Mining Industries.</t>
  </si>
  <si>
    <t>+966 (0)12 677 4164</t>
  </si>
  <si>
    <t>hamad@ugc.com.sa</t>
  </si>
  <si>
    <t>Al Madinah Al Munawarah Street - Salamah District - Salamah Tower</t>
  </si>
  <si>
    <t>Floor Number 4, Office Number 403</t>
  </si>
  <si>
    <t>23525</t>
  </si>
  <si>
    <t>482974-48P</t>
  </si>
  <si>
    <t>Hamad bin Muhammad bin Saedan</t>
  </si>
  <si>
    <t>bin Muhammad bin Saedan</t>
  </si>
  <si>
    <t>Mr. Hamad bin Muhammad bin Saedan serves as Chairman at Hamad Mohammed bin Saedan Real Estate.</t>
  </si>
  <si>
    <t>316688-59P</t>
  </si>
  <si>
    <t>Hamed Mutawalli</t>
  </si>
  <si>
    <t>Mutawalli</t>
  </si>
  <si>
    <t>Hamed</t>
  </si>
  <si>
    <t>Fahim</t>
  </si>
  <si>
    <t>Aljouf Mineral Water Bottling</t>
  </si>
  <si>
    <t>Mr. Hamed Mutawalli serves as Chief Financial Officer &amp; Director of Finance at Aljouf Mineral Water Bottling.</t>
  </si>
  <si>
    <t>+966 (0)11 562 0968</t>
  </si>
  <si>
    <t>Bin Ahmed Al Sudairi Street</t>
  </si>
  <si>
    <t>Al Waha District - Turki</t>
  </si>
  <si>
    <t>305770-06P</t>
  </si>
  <si>
    <t>Hamid Al Hamid</t>
  </si>
  <si>
    <t>Al Hamid</t>
  </si>
  <si>
    <t>Hamid</t>
  </si>
  <si>
    <t>Raoom Trading</t>
  </si>
  <si>
    <t>Chief Executive Officer, Board Member &amp; Managing Director</t>
  </si>
  <si>
    <t>Mr. Hamid Al Hamid serves as Chief Executive Officer, Board Member &amp; Managing Director at Raoom Trading.</t>
  </si>
  <si>
    <t>+966 (0)16 122 2999</t>
  </si>
  <si>
    <t>Buraidah, Saudi Arabia</t>
  </si>
  <si>
    <t>The 1st Industrial City</t>
  </si>
  <si>
    <t>Al-Qussim</t>
  </si>
  <si>
    <t>Buraidah</t>
  </si>
  <si>
    <t>+966 (0)16 322 0817</t>
  </si>
  <si>
    <t>457985-44P</t>
  </si>
  <si>
    <t>Hamza Badir</t>
  </si>
  <si>
    <t>Badir</t>
  </si>
  <si>
    <t>Hamza</t>
  </si>
  <si>
    <t>Hussein Muhammad</t>
  </si>
  <si>
    <t>Mr. Hamza Badir serves as Chief Executive Officer &amp; Board Member at National Signage Industrial.</t>
  </si>
  <si>
    <t>372774-79P</t>
  </si>
  <si>
    <t>Hamza Bibars</t>
  </si>
  <si>
    <t>Bibars</t>
  </si>
  <si>
    <t>Mahdi</t>
  </si>
  <si>
    <t>Chief Financial Officer and Executive Vice President</t>
  </si>
  <si>
    <t>Mr. Hamza Bibars serves as Chief Financial Officer and Executive Vice President at Filing &amp; Packing Materials Manufacturing.</t>
  </si>
  <si>
    <t>hamzab@fipco.com.sa</t>
  </si>
  <si>
    <t>427090-60P</t>
  </si>
  <si>
    <t>Hamza Masoudi</t>
  </si>
  <si>
    <t>Masoudi</t>
  </si>
  <si>
    <t>Lamasat</t>
  </si>
  <si>
    <t>Mr. Hamza Masoudi serves as Chief Executive Officer at Lamasat.</t>
  </si>
  <si>
    <t>Makkah Al Mukkaramah, Saudi Arabia</t>
  </si>
  <si>
    <t>King Sultan Street Jeddah</t>
  </si>
  <si>
    <t>Makkah Al Mukkaramah</t>
  </si>
  <si>
    <t>473674-96P</t>
  </si>
  <si>
    <t>Hani Baothman</t>
  </si>
  <si>
    <t>Baothman</t>
  </si>
  <si>
    <t>Hani</t>
  </si>
  <si>
    <t>Bin Othman</t>
  </si>
  <si>
    <t>Red Sea International</t>
  </si>
  <si>
    <t>Mr. Hani Baothman serves as Chief Executive Officer &amp; Managing Director at Red Sea International.</t>
  </si>
  <si>
    <t>hani.baothman@redseaintl.com</t>
  </si>
  <si>
    <t>339947-47P</t>
  </si>
  <si>
    <t>Hani bin Salah Nouri</t>
  </si>
  <si>
    <t>Nouri</t>
  </si>
  <si>
    <t>Hani bin Salah</t>
  </si>
  <si>
    <t>Bank AlJazira</t>
  </si>
  <si>
    <t>Chief Financial Officer &amp; Senior Vice President</t>
  </si>
  <si>
    <t>Mr. Hani bin Salah Nouri serves as Chief Financial Officer &amp; Senior Vice President at Bank AlJazira.</t>
  </si>
  <si>
    <t>Central Michigan University, Baker University</t>
  </si>
  <si>
    <t>+966 (0)12 609 8888</t>
  </si>
  <si>
    <t>nouri.h@bankaljazira.com</t>
  </si>
  <si>
    <t>P.O. Box 6277</t>
  </si>
  <si>
    <t>Al Nahda Center, Al King Abdulaziz Road</t>
  </si>
  <si>
    <t>+966 (0)12 609 8881</t>
  </si>
  <si>
    <t>452575-27P</t>
  </si>
  <si>
    <t>Hani Charani</t>
  </si>
  <si>
    <t>Charani</t>
  </si>
  <si>
    <t>Chief Financial Officer &amp; Vice President of Finance</t>
  </si>
  <si>
    <t>Mr. Hani Charani serves as Chief Financial Officer &amp; Vice President of Finance at SMC Hospital.</t>
  </si>
  <si>
    <t>hani@smc.com.sa</t>
  </si>
  <si>
    <t>372775-15P</t>
  </si>
  <si>
    <t>Hani Jibreel</t>
  </si>
  <si>
    <t>Jibreel</t>
  </si>
  <si>
    <t>Mr. Hani Jibreel serves as Chief Operating Officer at Filing &amp; Packing Materials Manufacturing.</t>
  </si>
  <si>
    <t>hanij@fipco.com.sa</t>
  </si>
  <si>
    <t>412033-42P</t>
  </si>
  <si>
    <t>Happy Touri</t>
  </si>
  <si>
    <t>Touri</t>
  </si>
  <si>
    <t>Happy</t>
  </si>
  <si>
    <t>Mr. Happy Touri serves as Chief Operating Officer at Arabian Mills.</t>
  </si>
  <si>
    <t>465813-82P</t>
  </si>
  <si>
    <t>Hasan Alelaiwi</t>
  </si>
  <si>
    <t>Alelaiwi</t>
  </si>
  <si>
    <t>Hasan</t>
  </si>
  <si>
    <t>Chubb Arabia Cooperative Insurance</t>
  </si>
  <si>
    <t>Mr. Hasan Alelaiwi serves as Chief Operating Officer at Chubb Arabia Cooperative Insurance.</t>
  </si>
  <si>
    <t>+966 (0)92 002 4429</t>
  </si>
  <si>
    <t>hasan.alelaiwi@chubb.com.sa</t>
  </si>
  <si>
    <t>8th Floor Alkhobar Business GateKing Faisal Street</t>
  </si>
  <si>
    <t>PO Box. 2685</t>
  </si>
  <si>
    <t>+966 (0)13 849 3660</t>
  </si>
  <si>
    <t>339798-61P</t>
  </si>
  <si>
    <t>Hassan Al Yamani</t>
  </si>
  <si>
    <t>Al Yamani</t>
  </si>
  <si>
    <t>Saad Farhan</t>
  </si>
  <si>
    <t>Anaam International Holding Group</t>
  </si>
  <si>
    <t>Vice Chairman of the Board of Directors &amp; Chief Executive Officer</t>
  </si>
  <si>
    <t>Mr. Hassan Al Yamani serves as Vice Chairman of the Board of Directors &amp; Chief Executive Officer at Anaam International Holding Group.</t>
  </si>
  <si>
    <t>+966 (0)12 662 3000</t>
  </si>
  <si>
    <t>Anaam Building</t>
  </si>
  <si>
    <t>23431</t>
  </si>
  <si>
    <t>+966 (0)12 635 7006</t>
  </si>
  <si>
    <t>315787-06P</t>
  </si>
  <si>
    <t>Hassan Al-Hazmi</t>
  </si>
  <si>
    <t>Al-Hazmi</t>
  </si>
  <si>
    <t>bin Shawqi</t>
  </si>
  <si>
    <t>Dr. Hassan Al-Hazmi serves as Chief Executive Officer &amp; Board Member at Ladun Investment. He has a Doctorate and a Master's degree in the field of engineering and project management. He held several government leadership positions, the most recent of which was heading the municipal services and infrastructure sector at the Ministry of Municipal and Rural Affairs and Housing, and served as the Undersecretary of the Ministry of Housing for Land and Technical Affairs for nearly 6 years.</t>
  </si>
  <si>
    <t>hassanb@ladun.sa</t>
  </si>
  <si>
    <t>364798-72P</t>
  </si>
  <si>
    <t>Hassan Aldessi</t>
  </si>
  <si>
    <t>Aldessi</t>
  </si>
  <si>
    <t>Mr. Hassan Aldessi serves as Chief Operations Officer at SAL Saudi Logistics Services. He has held several leadership positions in Saudia Cargo, as he held the position of VP of Operations Performance before joining SAL. In addition, he works in many positions in Saudia Cargo. He has a bachelor's degree in Development and administration from the University of King Abdulaziz.</t>
  </si>
  <si>
    <t>haldessi@sal.sa</t>
  </si>
  <si>
    <t>366064-39P</t>
  </si>
  <si>
    <t>Hassan Aqrouq</t>
  </si>
  <si>
    <t>Aqrouq</t>
  </si>
  <si>
    <t>Chief Financial Officer &amp; Vice President, Finance</t>
  </si>
  <si>
    <t>Mr. Hassan Aqrouq serves as Chief Financial Officer &amp; Vice President, Finance at National Agriculture Development. Previously, Mr Aqrouq worked as Head and Chief Financial Officer, Finance at Tamer. He worked as Operations &amp; Sales Capabilities Finance Lead and Finance Manager at Coca-Cola Company. He worked as a Senior Financial Analyst at Red-D-Arc. He also worked as a Finance Manager at FCB Global.</t>
  </si>
  <si>
    <t>355155-04P</t>
  </si>
  <si>
    <t>Hassan Jouda</t>
  </si>
  <si>
    <t>Jouda</t>
  </si>
  <si>
    <t>Canadian Medical Center</t>
  </si>
  <si>
    <t>Mr. Hassan Jouda serves as Chief Operating Officer at Canadian Medical Center.</t>
  </si>
  <si>
    <t>+966 (0)13 818 8320</t>
  </si>
  <si>
    <t>hjouda@canadian-mc.com</t>
  </si>
  <si>
    <t>Omar bin al Khattab</t>
  </si>
  <si>
    <t>Street-Uhud -Dammam</t>
  </si>
  <si>
    <t>388540-81P</t>
  </si>
  <si>
    <t>Hatem Abdin</t>
  </si>
  <si>
    <t>Abdin</t>
  </si>
  <si>
    <t>Hatem</t>
  </si>
  <si>
    <t>Mr. Hatem Abdin serves as Chief Operating Officer at Bahri.</t>
  </si>
  <si>
    <t>385613-65P</t>
  </si>
  <si>
    <t>Hatem Al Fadli</t>
  </si>
  <si>
    <t>Al Fadli</t>
  </si>
  <si>
    <t>The National Company For Glass Industries</t>
  </si>
  <si>
    <t>Financial Director &amp; Chief Financial Officer</t>
  </si>
  <si>
    <t>Mr. Hatem Al Fadli serves as Financial Director &amp; Chief Financial Officer at The National Company For Glass Industries. He served as Financial Administrative Manager at Al Ali Holding, Manager, Financial Planning &amp; Budget at Lucent Health, Manager, Financial Planning &amp; Budget at Celestica, Financial Analysis Department Head at Al Rajhi Bank and as Cost Account Department at Saudi Ceramics. He completed a Bachelor from King Saud University.</t>
  </si>
  <si>
    <t>+966 (0)11 265 2323</t>
  </si>
  <si>
    <t>hfadli@zoujajglass.com</t>
  </si>
  <si>
    <t>PO Box 41619</t>
  </si>
  <si>
    <t>11531</t>
  </si>
  <si>
    <t>420663-52P</t>
  </si>
  <si>
    <t>Hatim Al-Duraian Ph.D</t>
  </si>
  <si>
    <t>Al-Duraian</t>
  </si>
  <si>
    <t>Hatim</t>
  </si>
  <si>
    <t>bin Abdulrazzaq Saleh</t>
  </si>
  <si>
    <t>Alkhaleej Training and Education Group</t>
  </si>
  <si>
    <t>Dr. Hatim Al-Duraian serves as Chief Executive Officer at Alkhaleej Training and Education Group. He previously served as Deputy CEO. He has 36 years of experience in the training and technology sector. He holds a PhD in Business Administration.</t>
  </si>
  <si>
    <t>+966 (0)92 002 4824</t>
  </si>
  <si>
    <t>hatim.al-duraian@alkhaleej.com.sa</t>
  </si>
  <si>
    <t>Street Number 64, intersecting east with Olaya General Street</t>
  </si>
  <si>
    <t>Building Number 9, Olaya District, fifth floor</t>
  </si>
  <si>
    <t>12213</t>
  </si>
  <si>
    <t>391899-88P</t>
  </si>
  <si>
    <t>Hatim Jamal</t>
  </si>
  <si>
    <t>Jamal</t>
  </si>
  <si>
    <t>Mr. Hatim Jamal serves as Chief Financial Officer at Bupa Arabia. Mr. Jamal joined Bupa Arabia as Senior Director of Commercial Finance in 2021. He then rose to the position of Chief Financial Officer in 2024. Prior to joining Bupa Arabia, he was a partner at Strategic Gears Management Consultancy, where he acted as an advisor for both private and public sector clients. He holds a bachelor's degree in Finance and Economics from King Fahd University of Petroleum and Minerals and is pursuing a Master of Business Administration degree from London Business School.</t>
  </si>
  <si>
    <t>hatim.jamal@bupa.com.sa</t>
  </si>
  <si>
    <t>461936-26P</t>
  </si>
  <si>
    <t>Hazem Aoudi</t>
  </si>
  <si>
    <t>Aoudi</t>
  </si>
  <si>
    <t>Hazem</t>
  </si>
  <si>
    <t>Mr. Hazem Aoudi serves as Chief Financial Officer at Amana Cooperative Insurance.</t>
  </si>
  <si>
    <t>haoudi@amana.sa</t>
  </si>
  <si>
    <t>396178-21P</t>
  </si>
  <si>
    <t>Heba Mattar</t>
  </si>
  <si>
    <t>Mattar</t>
  </si>
  <si>
    <t>Heba</t>
  </si>
  <si>
    <t>Dr. Heba Mattar serves as Chief Operating Officer at Fakeeh.Care.</t>
  </si>
  <si>
    <t>heba.almattar@fakeeh.care</t>
  </si>
  <si>
    <t>339358-06P</t>
  </si>
  <si>
    <t>Helal Ewada</t>
  </si>
  <si>
    <t>Ewada</t>
  </si>
  <si>
    <t>Helal</t>
  </si>
  <si>
    <t>Al Abdullatif Industrial Investments</t>
  </si>
  <si>
    <t>Mr. Helal Ewada serves as Chief Financial Officer at Al Abdullatif Industrial Investments.</t>
  </si>
  <si>
    <t>+966 (0)11 265 8888</t>
  </si>
  <si>
    <t>Post Box 859</t>
  </si>
  <si>
    <t>2nd Industrial City New Al Kharj Road</t>
  </si>
  <si>
    <t>+966 (0)11 265 9999</t>
  </si>
  <si>
    <t>284768-47P</t>
  </si>
  <si>
    <t>Heni Jallouli</t>
  </si>
  <si>
    <t>Jallouli</t>
  </si>
  <si>
    <t>Heni</t>
  </si>
  <si>
    <t>Mr. Heni Jallouli serves as Chief Financial Officer at Jahez.</t>
  </si>
  <si>
    <t>hjallouli@jahez.net</t>
  </si>
  <si>
    <t>329050-72P</t>
  </si>
  <si>
    <t>Hesham Mogren</t>
  </si>
  <si>
    <t>Mogren</t>
  </si>
  <si>
    <t>Hesham</t>
  </si>
  <si>
    <t>Development Works Food</t>
  </si>
  <si>
    <t>Chief Executive Officer &amp; Executive Director</t>
  </si>
  <si>
    <t>Mr. Hesham Mogren serves as Chief Executive Officer &amp; Executive Director at Development Works Food.</t>
  </si>
  <si>
    <t>+966 (0)11 288 6880</t>
  </si>
  <si>
    <t>RFYA2181 2181 Dammam Branch Road 7830</t>
  </si>
  <si>
    <t>13243</t>
  </si>
  <si>
    <t>+966 (0)11 288 6883</t>
  </si>
  <si>
    <t>329804-74P</t>
  </si>
  <si>
    <t>Hisham AlAkil</t>
  </si>
  <si>
    <t>AlAkil</t>
  </si>
  <si>
    <t>Mr. Hisham Ali AlAkil serves as Chief Financial Officer at Bank Albilad.</t>
  </si>
  <si>
    <t>hisham.alakil@bankalbilad.com</t>
  </si>
  <si>
    <t>396951-85P</t>
  </si>
  <si>
    <t>Hisham Aqlaa</t>
  </si>
  <si>
    <t>Aqlaa</t>
  </si>
  <si>
    <t>Abdullah Al</t>
  </si>
  <si>
    <t>Qomel</t>
  </si>
  <si>
    <t>Mr. Hisham Aqlaa serves as Chief Executive Officer &amp; Managing Director at Qomel.</t>
  </si>
  <si>
    <t>+966 (0)11 288 6660</t>
  </si>
  <si>
    <t>hisham@qomel.com</t>
  </si>
  <si>
    <t>1st, Floor, Office Number 4107 AL Safwah Commercial Center</t>
  </si>
  <si>
    <t>Suleymaniah P.O.Box: 19811</t>
  </si>
  <si>
    <t>11445</t>
  </si>
  <si>
    <t>89595-73P</t>
  </si>
  <si>
    <t>Hisham Baroom</t>
  </si>
  <si>
    <t>Baroom</t>
  </si>
  <si>
    <t>Deputy Chief Executive Officer</t>
  </si>
  <si>
    <t>Mr. Hisham Baroom serves as Deputy Chief Executive Officer at Alkhabeer Capital. Mr. Baroom commenced his career in the finance and investment fields in 1996, serving in various posts in asset management, business development and placement areas. Currently, Hisham oversees the Asset Management Division that includes Real Estate, Private Equity, Capital Markets and Product Development Departments. Meanwhile, he is also responsible for the Business Development &amp; Placement Division. Prior to joining Alkhabeer, he was the Executive Vice President at Elaf Group of Companies, and before that, Hisham served for 9 years at the National Commercial Bank, Asset Management Group, as a Senior Portfolio Manager. Hisham holds a Bachelor's Degree in Accounting from King Abdulaziz University, Saudi Arabia and has a Diploma in Portfolio Investment Management and Financial Markets from the Arab Academy for Banking and Financial Sciences.</t>
  </si>
  <si>
    <t>hisham.baroom@alkhabeer.com</t>
  </si>
  <si>
    <t>169116-49P</t>
  </si>
  <si>
    <t>Hossam Badr</t>
  </si>
  <si>
    <t>Hossam</t>
  </si>
  <si>
    <t>Mr. Hossam Badr serves as Chief Operating Officer at Derayah Financial. In his current capacity, he works on improving the business processes and creating opportunities through the continuous review of operations. Also he is responsible of prioritizing and implementing strategic projects. Hossam's responsibilities include the development of Derayah's systems to keep pace with the latest technological developments in order to be among the best and most secure organizations in the region. His responsibilities span across several areas in Derayah including the continuous improvement of the Brokerage and investment operations. He ensures that the best practices and standards are implemented while applying the necessary controls in the daily operations in accordance with industry regulations and internal policies of Derayah. Badr has 20 years of executive experience in multinational companies and solid knowledge in international IT markets. He has a proven track record of leadership and turn around on enterprise level that has resulted in significant growth in revenue, cost improvement, and organizational development and leadership strategy. His skills and experience in businesses development and team management enables the company to reach the desired goals. Badr holds a BSc degree in Computer and Automatic Control from Ain Shams University and received his Master's degree in Business Administration from the American University in Cairo and has received numerous internal and external certifications and courses.</t>
  </si>
  <si>
    <t>Ain Shams University, American University</t>
  </si>
  <si>
    <t>hossam.badr@derayah.com</t>
  </si>
  <si>
    <t>323529-67P</t>
  </si>
  <si>
    <t>Hubert Lafeuille</t>
  </si>
  <si>
    <t>Lafeuille</t>
  </si>
  <si>
    <t>Hubert</t>
  </si>
  <si>
    <t>Mr. Hubert Lafeuille serves as Chief Financial Officer at Arabian Drilling. Mr. Lafeuille is the CFO of Arabian Drilling, having joined the company in early 2020. Before joining Arabian Drilling, he was working with SUBSEA 7 since 2015 as the Managing Director for Angola and then as the Regional Financial Director for the Asia Pacific and the Middle East area. Prior to this, he held a number of financial executive positions, mainly in the offshore drilling industry, including as Ocean Rig's Vice President of Finance and Accounting between 2014 and 2015. From 2000 to 2013, he held a number of other managerial roles worldwide for TRANSOCEAN, mostly as Regional Head of Finance. He has extensive international experience having lived in Denmark, Morocco, Brazil, the USA, Angola, Indonesia, Malaysia, Scotland, Singapore, Greece, UAE, and now Saudi Arabia. His solid experience in Oilfield Services started in 1995 when he first joined Schlumberger as an internal auditor. He is a French citizen and graduated with a master's degree in Management and Finance from NEOMA Business School, France, in 1991.</t>
  </si>
  <si>
    <t>NEOMA Business School</t>
  </si>
  <si>
    <t>hlafeuille@arabdrill.com</t>
  </si>
  <si>
    <t>460048-96P</t>
  </si>
  <si>
    <t>Husam Al-Bader</t>
  </si>
  <si>
    <t>Husam</t>
  </si>
  <si>
    <t>Mr. Husam Al-Bader serves as Chief Financial Officer at Saudi Industrial Investment Group.</t>
  </si>
  <si>
    <t>husamal-bader@siig.com.sa</t>
  </si>
  <si>
    <t>363251-98P</t>
  </si>
  <si>
    <t>Hussam Al Nouri</t>
  </si>
  <si>
    <t>Al Nouri</t>
  </si>
  <si>
    <t>Hussam</t>
  </si>
  <si>
    <t>Mr. Hussam Al Nouri serves as Chief Financial Officer at MBC Group (Media Company). At MBC GROUP, Mr. Al Nouri is responsible for a team of more than 80 finance executives across six locations, including Riyadh, Dubai, Cairo, Beirut, Amman, and Istanbul. His role encompasses overseeing the financial activities of the Group's numerous companies and joint ventures, such as linear TV, radio, video on demand (Shahid), social and digital media, studio productions, music publishing, gaming, events, and more. He holds an MBA from Alliance Manchester Business School at the University of Manchester and is a Certified Management Accountant (CMA).</t>
  </si>
  <si>
    <t>Manchester University</t>
  </si>
  <si>
    <t>hussam.alnouri@mbc.net</t>
  </si>
  <si>
    <t>461821-15P</t>
  </si>
  <si>
    <t>Hussam Al-Qannas</t>
  </si>
  <si>
    <t>Al-Qannas</t>
  </si>
  <si>
    <t>Al-Etihad Cooperative Insurance</t>
  </si>
  <si>
    <t>Mr. Hussam Al-Qannas serves as Chief Executive Officer at Al-Etihad Cooperative Insurance.</t>
  </si>
  <si>
    <t>h.alkannas@aletihad.sa</t>
  </si>
  <si>
    <t>Al Abdulkarim Tower</t>
  </si>
  <si>
    <t>King Fahad bin Abdulaziz Road, Al-Qashlah District</t>
  </si>
  <si>
    <t>34232-4233</t>
  </si>
  <si>
    <t>369224-02P</t>
  </si>
  <si>
    <t>Hussein Badawy</t>
  </si>
  <si>
    <t>Badawy</t>
  </si>
  <si>
    <t>Hussein</t>
  </si>
  <si>
    <t>Mohammed Abdul Salam Hassa</t>
  </si>
  <si>
    <t>Mr. Hussein Badawy serves as Chief Financial Officer at ADES International Holding. Hussein joined ADES in 2016 and has been appointed as the group CFO since December 2021. Prior to his appointment as the group CFO, he held important roles as the Corporate Investor Relations and Finance Director. Bringing over more than 14+ years of experience, Hussein has played a pivotal role in ensuring sustainable capital growth and bringing financial stability to the group, through generating successful strategic investments that are backed up by strong Capital Structures. In addition to all Finance functions, Hussein spearheads our Strategic Planning and Decision Support that serves the group with profound strategies, analytics, and foresight. Prior to joining ADES, Hussein served as the Senior Relationship Manager for the Corporate &amp; Investment Banking Group with Arab International Bank, a multilateral bank. Hussein has bachelor's degree in International Business Administration from Sadat Academy for Management Sciences in collaboration with the university of New Brunswick - Canada and has a Professional Certification in Credit Risk &amp; Risk Management from AUC School of Business.</t>
  </si>
  <si>
    <t>University of New Brunswick</t>
  </si>
  <si>
    <t>hussein.badawy@adesgroup.com</t>
  </si>
  <si>
    <t>256524-13P</t>
  </si>
  <si>
    <t>Hussein Eid</t>
  </si>
  <si>
    <t>Eid</t>
  </si>
  <si>
    <t>Saudi National Bank</t>
  </si>
  <si>
    <t>Mr. Hussein Eid serves as Group Chief Financial Officer at Saudi National Bank. Mr. Eid served as Chief Financial Officer at Sela (Jeddah). He served as Group Chief Financial Officer at Saudi National Bank.</t>
  </si>
  <si>
    <t>+966 (0)92 000 1000</t>
  </si>
  <si>
    <t>h.eid@alahli.com</t>
  </si>
  <si>
    <t>King Fahd Road 3208</t>
  </si>
  <si>
    <t>Al Aqeeq District Unit Number 778</t>
  </si>
  <si>
    <t>Al Aqeeq</t>
  </si>
  <si>
    <t>13519</t>
  </si>
  <si>
    <t>385802-02P</t>
  </si>
  <si>
    <t>Ian Kent</t>
  </si>
  <si>
    <t>Kent</t>
  </si>
  <si>
    <t>Ian</t>
  </si>
  <si>
    <t>United Electronics Company</t>
  </si>
  <si>
    <t>Mr. Ian Kent serves as Chief Operating Officer at United Electronics Company. He served as Director, Integration Joint Venture (China) at CADA Design Group, Store Manager - London at Marketing Week, Store Manager - in London at Skillcast and Chief Operating Officer (Malaysia) at Tesco. He completed a degree in Retail Operations from Alliance Manchester Business School.</t>
  </si>
  <si>
    <t>+966 (0)13 829 9600</t>
  </si>
  <si>
    <t>King Faisal bin Abdulaziz</t>
  </si>
  <si>
    <t>Al Rawabi district</t>
  </si>
  <si>
    <t>+966 (0)13 858 1532</t>
  </si>
  <si>
    <t>350081-47P</t>
  </si>
  <si>
    <t>Ibrahim Al-Hammad</t>
  </si>
  <si>
    <t>Al-Hammad</t>
  </si>
  <si>
    <t>Obeikan Glass</t>
  </si>
  <si>
    <t>Mr. Ibrahim Mohammad Al-Hammad serves as Chief Executive Officer at Obeikan Glass.</t>
  </si>
  <si>
    <t>+966 (0)58 359 3576</t>
  </si>
  <si>
    <t>Yanbu, Saudi Arabia</t>
  </si>
  <si>
    <t>Al-Olaya District, King Fahd Road</t>
  </si>
  <si>
    <t>PO Box 75767</t>
  </si>
  <si>
    <t>Yanbu</t>
  </si>
  <si>
    <t>339946-30P</t>
  </si>
  <si>
    <t>Ibrahim Al-Omar</t>
  </si>
  <si>
    <t>Al-Omar</t>
  </si>
  <si>
    <t>Chief Operations Officer &amp; Senior Vice President</t>
  </si>
  <si>
    <t>Mr. Ibrahim Al-Omar serves as Chief Operations Officer &amp; Senior Vice President at Bank AlJazira.</t>
  </si>
  <si>
    <t>alomar.i@bankaljazira.com</t>
  </si>
  <si>
    <t>329269-42P</t>
  </si>
  <si>
    <t>Ibrahim Alassaf</t>
  </si>
  <si>
    <t>Alassaf</t>
  </si>
  <si>
    <t>Musharaka REIT</t>
  </si>
  <si>
    <t>Chief Executive Officer, Managing Director &amp; Director</t>
  </si>
  <si>
    <t>Mr. Ibrahim Alassaf serves as Chief Executive Officer, Managing Director &amp; Director at Musharaka REIT. He has a Bachelor's in Accounting from King Fahd University of Petroleum And Minerals, and an M.B.A. in Banking &amp; Finance from King Fahd University of Petroleum And Minerals.</t>
  </si>
  <si>
    <t>+966 (0)13 804 4644</t>
  </si>
  <si>
    <t>13th Floor, Adeer Tower, Prince Turki Road</t>
  </si>
  <si>
    <t>Corniche</t>
  </si>
  <si>
    <t>+966 (0)13 881 8412</t>
  </si>
  <si>
    <t>382084-03P</t>
  </si>
  <si>
    <t>Ibrahim Alhudaithi</t>
  </si>
  <si>
    <t>Alhudaithi</t>
  </si>
  <si>
    <t>Mr. Ibrahim Alhudaithi serves as Chairman at Mulkia Investment. Businessman and founder of several companies, and investor in a variety of fields such as real estate, financial investments, contracting, tourism, agriculture, and security services.</t>
  </si>
  <si>
    <t>370201-33P</t>
  </si>
  <si>
    <t>Ibrahim Alrajhi</t>
  </si>
  <si>
    <t>Alrajhi</t>
  </si>
  <si>
    <t>Milling Company 3</t>
  </si>
  <si>
    <t>+966 (0)17 250 1539</t>
  </si>
  <si>
    <t>Khamis Mushait, Saudi Arabia</t>
  </si>
  <si>
    <t>Al-Anad Road</t>
  </si>
  <si>
    <t>PO Box 15027</t>
  </si>
  <si>
    <t>Khamis Mushait</t>
  </si>
  <si>
    <t>61961</t>
  </si>
  <si>
    <t>331861-24P</t>
  </si>
  <si>
    <t>Ibrahim bin Al-Amqian</t>
  </si>
  <si>
    <t>Al-Amqian</t>
  </si>
  <si>
    <t>Ibrahim bin</t>
  </si>
  <si>
    <t>Nofoth Food Products</t>
  </si>
  <si>
    <t>Mr. Ibrahim bin Al-Amqian serves as Chief Executive Officer &amp; Managing Director at Nofoth Food Products.</t>
  </si>
  <si>
    <t>+966 (0)92 000 0973</t>
  </si>
  <si>
    <t>Post Box 30</t>
  </si>
  <si>
    <t>Abu Bakr Al-Siddiq Road, Al-Nuzha</t>
  </si>
  <si>
    <t>12471</t>
  </si>
  <si>
    <t>371499-49P</t>
  </si>
  <si>
    <t>Ibrahim Gharbieh</t>
  </si>
  <si>
    <t>Gharbieh</t>
  </si>
  <si>
    <t>Akram Ibrahim</t>
  </si>
  <si>
    <t>Chief Financial Officer, Finance Manager &amp; Secretary</t>
  </si>
  <si>
    <t>Mr. Ibrahim Gharbieh serves as Chief Financial Officer, Finance Manager &amp; Secretary at Armah Sports.</t>
  </si>
  <si>
    <t>+966 (0)1 183 8600 x101</t>
  </si>
  <si>
    <t>igharbieh@armahsports.com</t>
  </si>
  <si>
    <t>+966 (0)1 183 8600</t>
  </si>
  <si>
    <t>291133-81P</t>
  </si>
  <si>
    <t>Ibrahim Kulaib</t>
  </si>
  <si>
    <t>Kulaib</t>
  </si>
  <si>
    <t>bin Abdullah bin Rashid</t>
  </si>
  <si>
    <t>Saudi Darb Investment Co</t>
  </si>
  <si>
    <t>Chief Executive Officer &amp; Deputy Chairman</t>
  </si>
  <si>
    <t>Mr. Ibrahim Kulaib serves as Chief Executive Officer &amp; Deputy Chairman at Saudi Darb Investment Co.</t>
  </si>
  <si>
    <t>+966 (0)17 722 3333</t>
  </si>
  <si>
    <t>Al Izdihar</t>
  </si>
  <si>
    <t>22888</t>
  </si>
  <si>
    <t>+966 (0)17 722 4445</t>
  </si>
  <si>
    <t>385112-80P</t>
  </si>
  <si>
    <t>Ibrahim Shammari</t>
  </si>
  <si>
    <t>Shammari</t>
  </si>
  <si>
    <t>Khalaf Hamlan Al</t>
  </si>
  <si>
    <t>Al Mohafaza Company</t>
  </si>
  <si>
    <t>Mr. Ibrahim Shammari serves as Chief Executive Officer &amp; Board Member at Al Mohafaza Company.</t>
  </si>
  <si>
    <t>+966 (0)55 227 7629</t>
  </si>
  <si>
    <t>ishammari@al-mohafaza.com.sa</t>
  </si>
  <si>
    <t>Hafar Al Batin, Saudi Arabia</t>
  </si>
  <si>
    <t>8721 Ibn Taymiyah Street</t>
  </si>
  <si>
    <t>3295</t>
  </si>
  <si>
    <t>Hafar Al Batin</t>
  </si>
  <si>
    <t>39921</t>
  </si>
  <si>
    <t>380750-32P</t>
  </si>
  <si>
    <t>Imad Talil</t>
  </si>
  <si>
    <t>Talil</t>
  </si>
  <si>
    <t>Imad</t>
  </si>
  <si>
    <t>Fourth Milling</t>
  </si>
  <si>
    <t>Co-Chief Operating Officer</t>
  </si>
  <si>
    <t>Mr. Imad Talil serves as Co-Chief Operating Officer at Fourth Milling.</t>
  </si>
  <si>
    <t>+966 (0)13 829 9010</t>
  </si>
  <si>
    <t>King Abdul-Aziz Port</t>
  </si>
  <si>
    <t>32211</t>
  </si>
  <si>
    <t>+966 (0)13 829 9011</t>
  </si>
  <si>
    <t>385713-28P</t>
  </si>
  <si>
    <t>Isa Ali</t>
  </si>
  <si>
    <t>Isa</t>
  </si>
  <si>
    <t>Mr. Isa Ali serves as Chief Operating Officer at Saudi Re. Mr. Isa Ali served as Chief Strategy Officer &amp; Chief Technology Officer at Saudi Re.</t>
  </si>
  <si>
    <t>iali@saudire.net</t>
  </si>
  <si>
    <t>92382-94P</t>
  </si>
  <si>
    <t>Issam Al Tawair</t>
  </si>
  <si>
    <t>Al Tawair</t>
  </si>
  <si>
    <t>Issam</t>
  </si>
  <si>
    <t>Zaid Mohammed</t>
  </si>
  <si>
    <t>Chairman of the Audit Committee</t>
  </si>
  <si>
    <t>Dr. Issam Al Tawair serves as Chairman of the Audit Committee at Alkhabeer Capital. Dr. Al Tawair is an expert in Islamic Finance, currently holding the position of Managing Partner at Newbury Economic Consulting which he founded in Kuwait. He is also a partner in E-mark Consulting, and an advisor to the Chairman of the Board of Directors of the International Investor Company in Kuwait. He was the founder of Rasameel Structured Financial Company in Kuwait, where he previously held the position of Chairman and Managing Director. He also held several companies in the Corporation, including the Board of Directors of Ain Takaful Insurance Company, Sorouh Investments, and membership of the two Boards of Directors of Dubai Wire Company, Kuwait Catalyst Company, and others. Issam Al Tawair holds a Bachelor's degree in Economics &amp; Business Administration from University of Kuwait; and a Master's degree in Business Administration from University of Hull, England.</t>
  </si>
  <si>
    <t>University of Hull</t>
  </si>
  <si>
    <t>437326-21P</t>
  </si>
  <si>
    <t>Jabri Maali</t>
  </si>
  <si>
    <t>Maali</t>
  </si>
  <si>
    <t>Jabri</t>
  </si>
  <si>
    <t>Mr. Jabri Maali serves as Chief Financial Officer at Cenomi Centers. He has been a key member of the executive team since 2006. In his role, he oversees the company's financial operations, ensures regulatory compliance, and provides crucial information to senior management. He works closely with the Chief Executive Officer to manage the company's financial actions, such as financial planning, analyzing financial strengths and weaknesses, proposing corrective measures, and ensuring financial sustainability. Prior to Cenomi Centers, he has held several senior financial roles across hospitality, tourism and manufacturing organizations across the region.</t>
  </si>
  <si>
    <t>maalij@centers.cenomi.com</t>
  </si>
  <si>
    <t>234928-54P</t>
  </si>
  <si>
    <t>Jahanzeb Khan</t>
  </si>
  <si>
    <t>Jahanzeb</t>
  </si>
  <si>
    <t>Mr. Jahanzeb Khan serves as Chief Financial Officer at National Medical Care. Mr. Khan is a Chartered Accountant from the Institute of Chartered Accountants of Pakistan. He is an accomplished Finance Leader with more than 15 years of experience in various aspects of Financial Management and Audits. He worked as a Regional Financial Controller in Pladis Global, Senior Manager Audit in KPMG Saudi Arabia and Senior Manager for Planning &amp; Budgeting in Central Depository Company.</t>
  </si>
  <si>
    <t>jkhan@care.med.sa</t>
  </si>
  <si>
    <t>458743-51P</t>
  </si>
  <si>
    <t>Jalal Salamah AlHtamleh</t>
  </si>
  <si>
    <t>Salamah AlHtamleh</t>
  </si>
  <si>
    <t>Jalal</t>
  </si>
  <si>
    <t>Marketing Home Group For Trading</t>
  </si>
  <si>
    <t>Mr. Jalal Salamah AlHtamleh serves as Chief Financial Officer at Marketing Home Group For Trading.</t>
  </si>
  <si>
    <t>+966 (0)11 273 5290</t>
  </si>
  <si>
    <t>3533 Old Al Kharj Road</t>
  </si>
  <si>
    <t>14511</t>
  </si>
  <si>
    <t>+966 (0)11 495 7573</t>
  </si>
  <si>
    <t>422620-12P</t>
  </si>
  <si>
    <t>Jamal Alkholani</t>
  </si>
  <si>
    <t>Alkholani</t>
  </si>
  <si>
    <t>Mr. Jamal Alkholani serves as Chief Operating Officer at Yaqeen Capital.</t>
  </si>
  <si>
    <t>jamal.alkholani@yaqeen.sa</t>
  </si>
  <si>
    <t>341015-23P</t>
  </si>
  <si>
    <t>Jamal Mohammed</t>
  </si>
  <si>
    <t>ramdan</t>
  </si>
  <si>
    <t>Mr. Jamal Mohammed serves as Chief Financial Officer at Raoom Trading.</t>
  </si>
  <si>
    <t>343390-96P</t>
  </si>
  <si>
    <t>Jameel Al-Molhem</t>
  </si>
  <si>
    <t>Al-Molhem</t>
  </si>
  <si>
    <t>Jameel</t>
  </si>
  <si>
    <t>Sinad Holding</t>
  </si>
  <si>
    <t>Mr. Jameel Al-Molhem serves as Chief Executive Officer &amp; Managing Director at Sinad Holding.</t>
  </si>
  <si>
    <t>+966 (0)11 235 3399</t>
  </si>
  <si>
    <t>jal-molhem@sinadholding.com</t>
  </si>
  <si>
    <t>Kingdom of Saudi Arabia, Riyadh, CMC Tower, King Fahd Road, Al Malqa District</t>
  </si>
  <si>
    <t>Building number 7702</t>
  </si>
  <si>
    <t>13524</t>
  </si>
  <si>
    <t>+966 (0)11 235 3388</t>
  </si>
  <si>
    <t>463727-26P</t>
  </si>
  <si>
    <t>James Clarke</t>
  </si>
  <si>
    <t>Clarke</t>
  </si>
  <si>
    <t>James</t>
  </si>
  <si>
    <t>Mr. James Clarke serves as Chief Financial Officer at Obeikan Glass.</t>
  </si>
  <si>
    <t>jclarke@obeikanglass.sa</t>
  </si>
  <si>
    <t>327455-20P</t>
  </si>
  <si>
    <t>Jarallah Amrah</t>
  </si>
  <si>
    <t>Amrah</t>
  </si>
  <si>
    <t>Jarallah</t>
  </si>
  <si>
    <t>Mr. Jarallah Amrah serves as Chief Executive Officer at Sumou Real Estate. Sumou's success in the real estate development business came as a result of careful and thoughtful planning, a promising and ambitious vision of the future, and most importantly the ability to be creative and innovative and to provide quality real estate products that meet exceed the expectations of the aspirations of the nation, the citizens, and the investor.</t>
  </si>
  <si>
    <t>jamrah@sumou.com.sa</t>
  </si>
  <si>
    <t>282336-13P</t>
  </si>
  <si>
    <t>Jassem Mohamed Bu Ataba Alzaabi</t>
  </si>
  <si>
    <t>Bu Ataba Alzaabi</t>
  </si>
  <si>
    <t>Jassem Mohamed</t>
  </si>
  <si>
    <t>Etihad Etisalat (Mobily)</t>
  </si>
  <si>
    <t>Mr. Jassem Mohamed Bu Ataba Alzaabi serves as Chairman at Etihad Etisalat (Mobily). Mr. Bu Ataba Al Zaabi is Chairman of the Abu Dhabi Department of Finance, Secretary General of the Supreme Council for Financial and Economic Affairs and Member of the Executive Council. In his role as Chairman of the Abu Dhabi Department of Finance, H.E. Al Zaabi is responsible for driving a culture of fiscal sustainability throughout all government related entities and maintaining the robust balance sheet of the Emirate. H.E Al Zaabi is the Secretary General of the Supreme Council for Financial and Economic Affairs, an entity established by Presidential Decree to oversee all matters related to Abu Dhabi's financial, investment and economic affairs. As a member of the Abu Dhabi Executive Council, H.E. Al Zaabi holds the position of Vice Chairman of the Executive Committee. In this role, he is responsible for overseeing the strategic and executive plans of all entities affiliated to Abu Dhabi Government as well as monitoring and assessing their performance. Previously, H.E. Al Zaabi held several important positions, including serving as Chairman of the Abu Dhabi Executive Office, during which time he oversaw the development of public policies and strategies, supporting the growth of Abu Dhabi. H.E. Al Zaabi served as Director General of the National Cybersecurity Authority, Chairman of the Board of Directors of Al Yah Satellite Communications Company (Yahsat) and Chairman of the Board of Directors of Injazat Data Systems. Additionally, he was part of the senior leadership at Mubadala's Information and Communications Technology (ICT) Unit. Furthermore, H.E. Al Zaabi is Chairman of the Board of Directors of the Abu Dhabi Pension Fund and Vice Chairman of the Board of Directors of Abu Dhabi Holding Company, as well as a member of the Advisory Board of the Mohammed Bin Zayed University for Artificial Intelligence. He is also a board member of First Abu Dhabi Bank and Tawazun Economic Council. H.E. Al Zaabi holds a Master's Degree in Business Administration from London Business School and Bachelor's Degree in Business Administration from Ajman University of Science and Technology.</t>
  </si>
  <si>
    <t>2332 Olaya Road</t>
  </si>
  <si>
    <t>PO Box 9979</t>
  </si>
  <si>
    <t>11423</t>
  </si>
  <si>
    <t>327945-16P</t>
  </si>
  <si>
    <t>Jawad Shehadeh</t>
  </si>
  <si>
    <t>Shehadeh</t>
  </si>
  <si>
    <t>Jawad</t>
  </si>
  <si>
    <t>Al Babtain Power and Telecommunications</t>
  </si>
  <si>
    <t>Mr. Jawad Shehadeh serves as Chief Executive Officer at Al Babtain Power and Telecommunications.</t>
  </si>
  <si>
    <t>+966 (0)11 241 1222</t>
  </si>
  <si>
    <t>jawad@al-babtain.com.sa</t>
  </si>
  <si>
    <t>PO Box 88373</t>
  </si>
  <si>
    <t>11662</t>
  </si>
  <si>
    <t>+966 (0)11 241 3395</t>
  </si>
  <si>
    <t>296590-87P</t>
  </si>
  <si>
    <t>Jehad Alkadi</t>
  </si>
  <si>
    <t>Alkadi</t>
  </si>
  <si>
    <t>Jehad</t>
  </si>
  <si>
    <t>bin Abdul Rahman</t>
  </si>
  <si>
    <t>Arriyadh Development</t>
  </si>
  <si>
    <t>Mr. Jehad Alkadi serves as Chief Executive Officer at Arriyadh Development Company. He has been the CEO of Riyadh Development Company "ARDCO" since December 2021. He joined ARDCO with more than 20 years of experience in the financial and investment sectors. During his career journey he held several leadership positions in several entities, including the Public Investment Fund - PIF , SEDCO Capital, Jadwa Investment and the Saudi National Bank. He is also a member of several boards of directors, including JLL Saudi Arabia where he heads the board as its Chairman. He is also a member of the board of directors of Dur Hospitality, the Saudi Economic Association, in addition to many affiliated boards and committees. Jehad holds a Bachelor's degree in Economics from King Saud University in Riyadh, and holds a Master's degree in Business Management from Hult International Business School, and he successfully completed several executive programs in a number of prestigious universities such as Harvard Business School, London Business School, IMD Business School, and IE University in Madrid.</t>
  </si>
  <si>
    <t>HULT International Business School, King Saud University</t>
  </si>
  <si>
    <t>+966 (0)11 411 0333</t>
  </si>
  <si>
    <t>jehad@riyadh.dev</t>
  </si>
  <si>
    <t>P.O.Box 7442</t>
  </si>
  <si>
    <t>Attameer Center, 3rd Floor Ruling Palace Area</t>
  </si>
  <si>
    <t>11462</t>
  </si>
  <si>
    <t>+966 (0)11 411 8333</t>
  </si>
  <si>
    <t>342151-57P</t>
  </si>
  <si>
    <t>Jehad Alrasheed</t>
  </si>
  <si>
    <t>Alrasheed</t>
  </si>
  <si>
    <t>Bin Abdul Aziz</t>
  </si>
  <si>
    <t>Yamama Cement Company</t>
  </si>
  <si>
    <t>Mr. Jehad Alrasheed serves as Chief Executive Officer &amp; Board Member at Yamama Cement Company. Mr. Alrasheed served as Chairman at Yamama Cement Company.</t>
  </si>
  <si>
    <t>+966 (0)1 408 5600</t>
  </si>
  <si>
    <t>jehad.alrasheed@yamamacement.com</t>
  </si>
  <si>
    <t>P.O.Box 293</t>
  </si>
  <si>
    <t>+966 (0)1 403 3292</t>
  </si>
  <si>
    <t>324573-31P</t>
  </si>
  <si>
    <t>Joe Igoe</t>
  </si>
  <si>
    <t>Igoe</t>
  </si>
  <si>
    <t>Joe</t>
  </si>
  <si>
    <t>Mr. Joe Igoe serves as Chief Operating Officer at Middle East Broadcasting Center.</t>
  </si>
  <si>
    <t>joe.igoe@mbc.net</t>
  </si>
  <si>
    <t>119371-87P</t>
  </si>
  <si>
    <t>Johnson Varughese</t>
  </si>
  <si>
    <t>Varughese</t>
  </si>
  <si>
    <t>Johnson</t>
  </si>
  <si>
    <t>Walaa Cooperative Insurance</t>
  </si>
  <si>
    <t>Mr. Johnson Varughese serves as Chief Executive Officer at Walaa Cooperative Insurance.</t>
  </si>
  <si>
    <t>+966 (0)13 865 2200</t>
  </si>
  <si>
    <t>johnson@walaa.com</t>
  </si>
  <si>
    <t>Adel Khashoggi Building, Custodian of the Two Holy Mosques Road</t>
  </si>
  <si>
    <t>PO Box 31616</t>
  </si>
  <si>
    <t>+966 (0)13 865 2255</t>
  </si>
  <si>
    <t>281847-97P</t>
  </si>
  <si>
    <t>Joy Niyogi</t>
  </si>
  <si>
    <t>Niyogi</t>
  </si>
  <si>
    <t>Joy</t>
  </si>
  <si>
    <t>Rasan Information Technology</t>
  </si>
  <si>
    <t>Mr. Joy Niyogi serves as Chief Operating Officer at Rasan Information Technology Company.</t>
  </si>
  <si>
    <t>+966 (0)11 482 6290</t>
  </si>
  <si>
    <t>jniyogi@rasan.co</t>
  </si>
  <si>
    <t>First Floor, Al-Jadah Square 3413</t>
  </si>
  <si>
    <t>Al-Thumama Road, Qurtubah</t>
  </si>
  <si>
    <t>13248</t>
  </si>
  <si>
    <t>460432-00P</t>
  </si>
  <si>
    <t>Kamal Jamjoum</t>
  </si>
  <si>
    <t>Jamjoum</t>
  </si>
  <si>
    <t>Kamal</t>
  </si>
  <si>
    <t>Osman</t>
  </si>
  <si>
    <t>Jamjoom Fashion</t>
  </si>
  <si>
    <t>Mr. Kamal Osman Jamjoum is a Founder and serves as Chairman of the Board of Directors at Jamjoom Fashion.</t>
  </si>
  <si>
    <t>+966 (0)50 336 7382</t>
  </si>
  <si>
    <t>kjamjoum@jamjoomfashion.com</t>
  </si>
  <si>
    <t>Triya Boulevard, 3rd Floor</t>
  </si>
  <si>
    <t>Asma Bint Umais Street, Extension Number Al Shatea District</t>
  </si>
  <si>
    <t>328183-48P</t>
  </si>
  <si>
    <t>Kamel Rajab</t>
  </si>
  <si>
    <t>Rajab</t>
  </si>
  <si>
    <t>Kamel</t>
  </si>
  <si>
    <t>Mohammed Yasir Abu</t>
  </si>
  <si>
    <t>Abdullah Saad Mohammed</t>
  </si>
  <si>
    <t>Mr. Kamel Rajab serves as Chief Financial Officer at Abdullah Saad Mohammed.</t>
  </si>
  <si>
    <t>+966 (0)11 401 0113</t>
  </si>
  <si>
    <t>Alfouttah District p.o.Box 9994</t>
  </si>
  <si>
    <t>+966 (0)11 401 0046</t>
  </si>
  <si>
    <t>339331-87P</t>
  </si>
  <si>
    <t>Kamran Jaffery</t>
  </si>
  <si>
    <t>Jaffery</t>
  </si>
  <si>
    <t>Kamran</t>
  </si>
  <si>
    <t>Mazhar</t>
  </si>
  <si>
    <t>Mr. Kamran Jaffery serves as Chief Executive Officer at Chubb Arabia Cooperative Insurance. He served as Chief Executive Officer at Liva Insurance. He also served as Chief Executive Officer at Chubb Arabia Cooperative Insurance.</t>
  </si>
  <si>
    <t>kjaffery@ace-mena.com</t>
  </si>
  <si>
    <t>297465-40P</t>
  </si>
  <si>
    <t>Khaled Abanami</t>
  </si>
  <si>
    <t>Abanami</t>
  </si>
  <si>
    <t>Khaled</t>
  </si>
  <si>
    <t>Mr. Khaled Abanami serves as Chief Financial Officer at Etihad Etisalat Company.</t>
  </si>
  <si>
    <t>k.abanami@mobily.com.sa</t>
  </si>
  <si>
    <t>377463-79P</t>
  </si>
  <si>
    <t>Khaled Abdulaziz Abdullah AL-Babtain</t>
  </si>
  <si>
    <t>AL-Babtain</t>
  </si>
  <si>
    <t>Khaled Abdulaziz Abdullah</t>
  </si>
  <si>
    <t>Pan Gulf Marketing</t>
  </si>
  <si>
    <t>Mr. Khaled Abdulaziz Abdullah AL-Babtain serves as Chief Executive Officer &amp; Manager at Pan Gulf Marketing.</t>
  </si>
  <si>
    <t>+966 (0)11 473 2595</t>
  </si>
  <si>
    <t>kalbabtain@pangulfmarketing.com</t>
  </si>
  <si>
    <t>PO Box 5490</t>
  </si>
  <si>
    <t>+966 (0)11 291 7510</t>
  </si>
  <si>
    <t>341630-92P</t>
  </si>
  <si>
    <t>Khaled Al Rajhi</t>
  </si>
  <si>
    <t>Saudi Cement</t>
  </si>
  <si>
    <t>Mr. Khaled Al Rajhi serves as Chairman at Saudi Cement.</t>
  </si>
  <si>
    <t>+966 (0)13 835 8000</t>
  </si>
  <si>
    <t>Al-Amamrah Area - Unit 1</t>
  </si>
  <si>
    <t>3964 - King Saud</t>
  </si>
  <si>
    <t>32415-7102</t>
  </si>
  <si>
    <t>+966 (0)13 834 3091</t>
  </si>
  <si>
    <t>224127-73P</t>
  </si>
  <si>
    <t>Khaled Al-Haqil</t>
  </si>
  <si>
    <t>Al-Haqil</t>
  </si>
  <si>
    <t>Bin Abdullah</t>
  </si>
  <si>
    <t>Saudi Public Transport</t>
  </si>
  <si>
    <t>Mr. Khaled Al-Haqil serves as Chief Executive Officer at Saudi Public Transport.</t>
  </si>
  <si>
    <t>+966 (0)11 288 4400</t>
  </si>
  <si>
    <t>Prince AbdulAziz bin Mosaid bin Jalawi Street</t>
  </si>
  <si>
    <t>Sulaymaniyah District</t>
  </si>
  <si>
    <t>11443</t>
  </si>
  <si>
    <t>+966 (0)11 288 4411</t>
  </si>
  <si>
    <t>334640-17P</t>
  </si>
  <si>
    <t>Khaled Al-Khudair</t>
  </si>
  <si>
    <t>Al-Khudair</t>
  </si>
  <si>
    <t>National Company for Learning and Education</t>
  </si>
  <si>
    <t>Mr. Khaled Al-Khudair serves as Chairman at National Company for Learning.</t>
  </si>
  <si>
    <t>+966 (0)11 221 9999</t>
  </si>
  <si>
    <t>Al Nozha neighborhood</t>
  </si>
  <si>
    <t>Prince Muqrin bin Abdul Aziz Street.</t>
  </si>
  <si>
    <t>466321-69P</t>
  </si>
  <si>
    <t>Khaled Al-Omar</t>
  </si>
  <si>
    <t>Abdullah Saleh</t>
  </si>
  <si>
    <t>Thob Al Aseel</t>
  </si>
  <si>
    <t>Mr. Khaled Al-Omar serves as Chief Executive Officer at Thob Al Aseel.</t>
  </si>
  <si>
    <t>+966 (0)11 465 2000</t>
  </si>
  <si>
    <t>komar@alaseel.com</t>
  </si>
  <si>
    <t>PO Box 310</t>
  </si>
  <si>
    <t>+966 (0)11 465 3000</t>
  </si>
  <si>
    <t>418119-31P</t>
  </si>
  <si>
    <t>Khaled Ali</t>
  </si>
  <si>
    <t>Samir Ahmed</t>
  </si>
  <si>
    <t>Jana Medical Company</t>
  </si>
  <si>
    <t>Mr. Khaled Samir Ahmed Ali serves as Chief Financial Officer at Jana Medical Company.</t>
  </si>
  <si>
    <t>+966 (0)11 231 7685</t>
  </si>
  <si>
    <t>Al Sahra Al Maghribiyyah</t>
  </si>
  <si>
    <t>Al-Nafl</t>
  </si>
  <si>
    <t>13312</t>
  </si>
  <si>
    <t>422348-77P</t>
  </si>
  <si>
    <t>Khaled AlIsawy</t>
  </si>
  <si>
    <t>AlIsawy</t>
  </si>
  <si>
    <t>Nice one (Internet Retail)</t>
  </si>
  <si>
    <t>Mr. Khaled AlIsawy serves as Chief Operating Officer at Nice one (Internet Retail).</t>
  </si>
  <si>
    <t>khaled@niceonesa.com</t>
  </si>
  <si>
    <t>Anas Ibn Malik</t>
  </si>
  <si>
    <t>AlMalqa District P.O. Box: 5497</t>
  </si>
  <si>
    <t>AlMalqa District</t>
  </si>
  <si>
    <t>51422</t>
  </si>
  <si>
    <t>350080-93P</t>
  </si>
  <si>
    <t>Khaled Tuwaijri</t>
  </si>
  <si>
    <t>Tuwaijri</t>
  </si>
  <si>
    <t>AI</t>
  </si>
  <si>
    <t>Abdul Aziz Al-Tuwaijri</t>
  </si>
  <si>
    <t>Mr. Khaled Tuwaijri serves as Chief Executive Officer &amp; Managing Director at Abdul Aziz Al-Tuwaijri.</t>
  </si>
  <si>
    <t>+966 (0)11 234 0000</t>
  </si>
  <si>
    <t>khaled@altwijri.com</t>
  </si>
  <si>
    <t>P.O. Box 4560</t>
  </si>
  <si>
    <t>King Abdulaziz Street Alyasmeen district</t>
  </si>
  <si>
    <t>+966 (0)11 210 5555</t>
  </si>
  <si>
    <t>233240-68P</t>
  </si>
  <si>
    <t>Khalid Al Dabbagh</t>
  </si>
  <si>
    <t>Al Dabbagh</t>
  </si>
  <si>
    <t>Saudi Basic Industries</t>
  </si>
  <si>
    <t>Mr. Khalid Al Dabbagh serves as Chairman of the Board at Saudi Basic Industries. He is currently a member of the Board of Directors of Saudi Aramco and the Board of Governors of the GCC Board Directors Institute. He has held a number of senior roles in Saudi Aramco, including Senior Vice President, Finance, Strategy &amp; Development, Financial Controller, and Treasurer. In addition, he has led several departments in Saudi Aramco, including the Joint Venture Development and Support and Business Analysis with Corporate Planning. Prior to that, he held key positions in London, Tokyo, and New York at Saudi Aramco-owned companies and became the CEO of Saudi Petroleum International, Inc. (US), and the Managing Director of Saudi Petroleum Company in Tokyo, Japan. He chaired the boards of Wisayah Global Investment Company (WISAYAH) and Saudi Aramco Development Company (SADCO). He also served as a board member of Sadara Chemical Company, the Malaysian Pengerang Refining Sdn. Bhd. and Pengerang Petrochemical Sdn. Bhd Companies, ARLANXEO Holding B.V. in the Netherlands, Showa Shell in Japan, Chinese Fujian Refining and Petrochemical Companies, Aramco Trading Company, Saudi Aramco Base Oil Company (Luberef), and Arab Petroleum Pipelines Company (SUMED) in Egypt. He holds a Bachelor of Science degree in Industrial Engineering from the University of Toledo, USA. He has also completed a number of executive leadership programs, including the Senior Executive Program at London Business School.</t>
  </si>
  <si>
    <t>University of Toledo</t>
  </si>
  <si>
    <t>aldabbaghk@sabic.com</t>
  </si>
  <si>
    <t>287417-08P</t>
  </si>
  <si>
    <t>Khalid Al Dawood</t>
  </si>
  <si>
    <t>Al Dawood</t>
  </si>
  <si>
    <t>Alujain</t>
  </si>
  <si>
    <t>Mr. Khalid Al Dawood serves as Chief Executive Officer at Alujain.</t>
  </si>
  <si>
    <t>+966 (0)11 234 6515</t>
  </si>
  <si>
    <t>kdawood@alujaincorp.com</t>
  </si>
  <si>
    <t>Al Abbas Ibn Abd Al Mouttaleb</t>
  </si>
  <si>
    <t>12485</t>
  </si>
  <si>
    <t>+966 (0)11 229 0994</t>
  </si>
  <si>
    <t>426699-37P</t>
  </si>
  <si>
    <t>Khalid Al Hamdan</t>
  </si>
  <si>
    <t>Al Hamdan</t>
  </si>
  <si>
    <t>Twareat Medical Care Company</t>
  </si>
  <si>
    <t>Dr. Khalid Al Hamdan serves as Chief Executive Officer &amp; Managing Director at Twareat &amp; served as COO and Board Member at Twareat. He holds the American Board of Emergency Medicine from Baylor College of Medicine in Houston and a Bachelor's degree in Medicine and Surgery from the University of Dammam. He has extensive practical experience in emergency medicine and healthcare management. Currently, he serves as the Chief Operating Officer at Twareat Medical Care Company. Previously, he worked as a resident physician in the emergency department at Ben Taub Hospital in Houston and held leadership roles such as Business Development Manager and Medical Director at Twareat Medical Care Company. Additionally, he has contributed to emergency medicine research at Baylor College and has experience in emergency care and medical project management.</t>
  </si>
  <si>
    <t>+966 (0)13 858 7000</t>
  </si>
  <si>
    <t>khalidalhamdan@twareat.com</t>
  </si>
  <si>
    <t>Kinan A1-Sharq. Al Kurnish District</t>
  </si>
  <si>
    <t>Prince Turki Road</t>
  </si>
  <si>
    <t>34413</t>
  </si>
  <si>
    <t>300627-19P</t>
  </si>
  <si>
    <t>Khalid Al-Buainain</t>
  </si>
  <si>
    <t>Qasim</t>
  </si>
  <si>
    <t>Eng. Khalid G. Alboainain, Chairman of the Board; B. Sc. from King Fahad University for Petroleum &amp; Minerals - Dammam; Board Member, HSBC Arabian - Riyadh.</t>
  </si>
  <si>
    <t>kalbuainain@saudiags.com</t>
  </si>
  <si>
    <t>414726-94P</t>
  </si>
  <si>
    <t>Khalid Al-Ghamdi</t>
  </si>
  <si>
    <t>bin Salim</t>
  </si>
  <si>
    <t>Mr. Khalid Al-Ghamdi serves as Chief Executive Officer at Saudi Electricity Company. He served as Acting CEO at Saudi Electricity Company. He is a strategic and visionary leader, with 20 years of diverse and cross-functional experience, where in his previous role he led the Corporate Digital Strategy, Investments and Growth at Saudi Aramco. Also he held several leadership positions in the company including; Project Manager for Saudi Aramco 4th Industrial Revolution Center, Head of Advanced Process Solutions and Head of Process Automation Systems at Saudi Aramco Corporate Engineering. He holds a bachelor degree in Systems Engineering from KFUPM, Saudi Arabia as well as a master's degree of Information Systems (MIS) from University of Phoenix, USA. He attended several leadership development programs from well renowned institutions such as Harvard Business School.</t>
  </si>
  <si>
    <t>University of Phoenix</t>
  </si>
  <si>
    <t>kal-ghamdi@se.com.sa</t>
  </si>
  <si>
    <t>467685-28P</t>
  </si>
  <si>
    <t>Khalid Al-Maktary</t>
  </si>
  <si>
    <t>Al-Maktary</t>
  </si>
  <si>
    <t>Abdulaziz Yassin</t>
  </si>
  <si>
    <t>Mr. Khalid Al-Maktary serves as Chief Executive Officer at Fourth Milling.</t>
  </si>
  <si>
    <t>kal-maktary@mc4.com.sa</t>
  </si>
  <si>
    <t>424361-98P</t>
  </si>
  <si>
    <t>Khalid Aldossary</t>
  </si>
  <si>
    <t>Aldossary</t>
  </si>
  <si>
    <t>Mohammed Saad</t>
  </si>
  <si>
    <t>AL Battal Factory For Chemical Industries</t>
  </si>
  <si>
    <t>Mr. Khalid Mohammed Saad Aldossary serves as Chief Executive Officer and Managing Director at AL Battal Factory For Chemical Industries.</t>
  </si>
  <si>
    <t>+966 (0)13 812 8881</t>
  </si>
  <si>
    <t>2nd Industrial City</t>
  </si>
  <si>
    <t>473939-74P</t>
  </si>
  <si>
    <t>Khalid Alhaqbani</t>
  </si>
  <si>
    <t>Alhaqbani</t>
  </si>
  <si>
    <t>Al Kuzama Trading</t>
  </si>
  <si>
    <t>Mr. Khalid Alhaqbani serves as Chairman at Al Kuzama Trading. As Chairman of Al Hayat Investments Co. from 2013 to 2025, he was also Chairman of Bab Mashwi from 2020 to 2024. He held the role of Vice President of Business Development at Leejam Sports Company (Fitness Time) from 2007 to 2015, and he was General Manager at Daisa Food and Restaurants from 2003 to 2011. From 2000 to 2007, he worked as a Project Manager at the Saudi Central Bank (SAMA), and from 2000 to 2003, he served as Business Development Manager at Bodymasters. He holds a master's degree in Business Administration and Management from King Saud University and a bachelor's degree in Information Systems from the same institution.</t>
  </si>
  <si>
    <t>+966 (0)1 230 4104</t>
  </si>
  <si>
    <t>Northern Ring Road, Al Wadi</t>
  </si>
  <si>
    <t>Exit 6</t>
  </si>
  <si>
    <t>288505-81P</t>
  </si>
  <si>
    <t>Khalid Alshuwaier</t>
  </si>
  <si>
    <t>Alshuwaier</t>
  </si>
  <si>
    <t>Mr. Khalid Alshuwaier serves as Chief Executive Officer at Axa Cooperative Insurance.</t>
  </si>
  <si>
    <t>khalid.abdulaziz-alshuwaier@gig.sa</t>
  </si>
  <si>
    <t>408527-83P</t>
  </si>
  <si>
    <t>Khalid bin Asaad Khashoggi</t>
  </si>
  <si>
    <t>Khashoggi</t>
  </si>
  <si>
    <t>Khalid bin Asaad</t>
  </si>
  <si>
    <t>Mr. Khalid bin Asaad Khashoggi serves as Chief Executive Officer &amp; Managing Director at Saudi Cable.</t>
  </si>
  <si>
    <t>316720-63P</t>
  </si>
  <si>
    <t>Khalid Hassan Al Qahtani</t>
  </si>
  <si>
    <t>Al Qahtani</t>
  </si>
  <si>
    <t>Khalid Hassan</t>
  </si>
  <si>
    <t>Abdulkarim</t>
  </si>
  <si>
    <t>Mr. Khalid Hassan Al Qahtani serves as Chairman at Arabian Food and Dairy Factories.</t>
  </si>
  <si>
    <t>322893-64P</t>
  </si>
  <si>
    <t>Khalid Suleimani</t>
  </si>
  <si>
    <t>Suleimani</t>
  </si>
  <si>
    <t>Mr. Khalid Suleimani serves as Chief Executive Officer at Sustained Infrastructure Holding Company. He has over 30 years of experience in VC Investment, digital transformation, and entrepreneurship. Helped structure and design strategies for several VC funds, and structured, executed, and oversaw several M&amp;A transactions deals locally and internationally. As an early investor in technology transfer, and digital transformation since 1994, he executed more than 70 digital transformation projects for the public, government, military and private sector. He is the author of the MENA best seller book on investment and entrepreneurship "84 tips to a successful business startup", co-authored the Arabic edition of "The Art of Startup Funding" by Alejandro Cremades and has numerous publications in business and scientific journals including Harvard Business Review Arabic edition and IEEE.</t>
  </si>
  <si>
    <t>116332-39P</t>
  </si>
  <si>
    <t>Khalifa Abdullatif Al Mulhim</t>
  </si>
  <si>
    <t>Al Mulhim</t>
  </si>
  <si>
    <t>Khalifa Abdullatif</t>
  </si>
  <si>
    <t>Mr. Khalifa Abdullatif Al Mulhim serves as Chairman at Advanced Petrochemical. Mr. Al Mulhim is one of the founders of the Company, in which he has vast experience in industrial and commercial projects, management of banking and banking services. He worked at the Saudi Industrial Development Fund "SIDF" and held multiple memberships in several Boards, such as: SABB, Saudi Spanish Bank, General Organization for Social Insurance "Governmental Authority", Nama Chemicals Company, Riyadh Cement Co. and Al-Ittefaq Steel Products Company. Mr. Khalifa graduated from Colorado University, USA, in 1978 with bachelor's degree in Business Administration.</t>
  </si>
  <si>
    <t>Colorado State University</t>
  </si>
  <si>
    <t>429539-95P</t>
  </si>
  <si>
    <t>Khalil Aboufadel</t>
  </si>
  <si>
    <t>Aboufadel</t>
  </si>
  <si>
    <t>Khalil</t>
  </si>
  <si>
    <t>Camille</t>
  </si>
  <si>
    <t>Mr. Khalil Aboufadel serves as Chief Executive Officer at Raydan Food.</t>
  </si>
  <si>
    <t>khalila@raydan.com.sa</t>
  </si>
  <si>
    <t>473377-06P</t>
  </si>
  <si>
    <t>Kroom Bin Samber Abdulrahman</t>
  </si>
  <si>
    <t>Samber Abdulrahman</t>
  </si>
  <si>
    <t>Kroom Bin</t>
  </si>
  <si>
    <t>Mr. Kroom Bin Samber Abdulrahman serves as Chief Executive Officer at Amwaj International.</t>
  </si>
  <si>
    <t>kabdulrahman@amwaj-trd.com</t>
  </si>
  <si>
    <t>84315-61P</t>
  </si>
  <si>
    <t>Lama Ghazzaoui</t>
  </si>
  <si>
    <t>Ghazzaoui</t>
  </si>
  <si>
    <t>Lama</t>
  </si>
  <si>
    <t>Ms. Lama Ghazzaoui serves as Chief Financial Officer at Saudi Awwal Bank. She served as Head, Strategy and Finance Group &amp; Chief Financial Officer at National Commercial Bank. She was appointed Chief Financial Officer in April 2021. She was the Chief Financial Officer at NCB for 8 years with a long and successful 24 year career. She is widely respected in the industry and has considerable experience in all aspects of accounting and finance for financial institutions. She is a Bachelor of Science graduate from the Lebanese American University in 1996 in Accounting, and then obtained her CPA accreditation in 2001 from the State of Colorado, USA.</t>
  </si>
  <si>
    <t>l.ghazzaoui@alahli.com</t>
  </si>
  <si>
    <t>371834-92P</t>
  </si>
  <si>
    <t>Louay Baras</t>
  </si>
  <si>
    <t>Baras</t>
  </si>
  <si>
    <t>Louay</t>
  </si>
  <si>
    <t>Mr. Louay Baras serves as Chief Executive Officer at View Real Estate. He holds a Bachelor's degree in Architecture from the University of Aden in Yemen in 2011. He holds a diploma in business administration from the New Horizons Institute (Aden - Yemen) in 2011. He obtained a strategic planning certificate (Aden - Yemen) in 2011-He obtained a strategic planning certificate (Aden - Yemen) in 2011. He obtained the MINI MBA ( distance) degree in 2019.</t>
  </si>
  <si>
    <t>363420-46P</t>
  </si>
  <si>
    <t>M. Abdul Rahman Bin Suleiman</t>
  </si>
  <si>
    <t>Bin Suleiman</t>
  </si>
  <si>
    <t>M. Abdul Rahman</t>
  </si>
  <si>
    <t>Abdul Aziz</t>
  </si>
  <si>
    <t>National Gas &amp; Industrialization</t>
  </si>
  <si>
    <t>Chief Executive Officer &amp; Member of the Board of Directors</t>
  </si>
  <si>
    <t>Mr. M. Abdul Rahman Bin Suleiman serves as Chief Executive Officer &amp; Member of the Board of Directors at National Gas &amp; Industrialization.</t>
  </si>
  <si>
    <t>+966 (0)11 466 4999</t>
  </si>
  <si>
    <t>binsuleimanmabdulrahman@gasco.com.sa</t>
  </si>
  <si>
    <t>Building 331, North of King Fahad Med city</t>
  </si>
  <si>
    <t>Post Office Box 564</t>
  </si>
  <si>
    <t>+966 (0)11 250 8397</t>
  </si>
  <si>
    <t>198017-65P</t>
  </si>
  <si>
    <t>Madani Hozaien</t>
  </si>
  <si>
    <t>Hozaien</t>
  </si>
  <si>
    <t>Madani</t>
  </si>
  <si>
    <t>Mr. Madani Hozaien serves as Chief Financial Officer at Middle East Healthcare Company. Mr. Hozaien served as Chief Financial Officer at Koryolink. He has a MBA Degree from Université Paris Dauphine , MA Degree in Economy and Business Administration from University of Paris I: Panthéon-Sorbonne &amp; BSC Degree in Commerce and Accounting from Ain Shams University.</t>
  </si>
  <si>
    <t>Université Paris Dauphine, Ain Shams University</t>
  </si>
  <si>
    <t>mbhozaien@sghgroup.net</t>
  </si>
  <si>
    <t>330266-71P</t>
  </si>
  <si>
    <t>Bahyeldin Abbas</t>
  </si>
  <si>
    <t>Mr. Madani Hozaien serves as Chief Financial Officer at Middle East Healthcare Company.</t>
  </si>
  <si>
    <t>Paris Dauphine University, University of Paris, Ain Shams University</t>
  </si>
  <si>
    <t>mhozaien@saudigermanhealth.com</t>
  </si>
  <si>
    <t>340794-73P</t>
  </si>
  <si>
    <t>Maher Al Aswad</t>
  </si>
  <si>
    <t>Al Aswad</t>
  </si>
  <si>
    <t>Maher</t>
  </si>
  <si>
    <t>Saudi Marketing Company</t>
  </si>
  <si>
    <t>Mr. Maher Al Aswad serves as Chief Executive Officer at Saudi Marketing Company.</t>
  </si>
  <si>
    <t>+966 (0)13 853 5800</t>
  </si>
  <si>
    <t>malaswad@farm.com.sa</t>
  </si>
  <si>
    <t>Saudi Arabia Eastern Region - Al- Dammam</t>
  </si>
  <si>
    <t>+966 (0)13 826 7779</t>
  </si>
  <si>
    <t>325590-94P</t>
  </si>
  <si>
    <t>Maher Bawadi</t>
  </si>
  <si>
    <t>Bawadi</t>
  </si>
  <si>
    <t>Tawfiq Fawzy</t>
  </si>
  <si>
    <t>Mr. Maher Bawadi serves as Chief Financial Officer at 2P Perfect Presentation.</t>
  </si>
  <si>
    <t>mbawadi@2p.com.sa</t>
  </si>
  <si>
    <t>187304-86P</t>
  </si>
  <si>
    <t>Mahmood Hussain</t>
  </si>
  <si>
    <t>Mahmood</t>
  </si>
  <si>
    <t>Mr. Mahmood Hussain serves as Chief Financial Officer at Sustained Infrastructure Holding Company. He served as Head of Proprietary Investments at Alkhabeer Capital. He began his career in 1999 in covering audit, corporate finance, and financial restructuring, with a particular focus on mergers and acquisitions and Initial Public Offerings. Prior to joining Alkhabeer, he was leading the deals practice of PricewaterhouseCoopers in the Eastern Province of Saudi Arabia and was responsible for setting up Deloitte's Financial Advisory Services practice in Saudi Arabia. Prior to that, he worked in the UK for over 11 years specializing in corporate finance, transaction services, and financial restructuring. He has advised numerous corporate, private equity, and family businesses on a number of complex cross-border engagements in the UK, Germany, Italy, Spain, and the Middle East. He is a qualified chartered accountant from the UK and holds an MA in Accounting &amp; Management from the University of Aberdeen. With over 2 decades of local and international experience in M&amp;A and private equity transactions, restructuring, and accounting advisory.</t>
  </si>
  <si>
    <t>mhussain@sisco.com.sa</t>
  </si>
  <si>
    <t>341580-70P</t>
  </si>
  <si>
    <t>Mahmood Siddiqui</t>
  </si>
  <si>
    <t>Siddiqui</t>
  </si>
  <si>
    <t>Mr. Mahmood Siddiqui serves as Chief Financial Officer at Red Sea International.</t>
  </si>
  <si>
    <t>mahmood.siddiqui@redseaintl.com</t>
  </si>
  <si>
    <t>329333-86P</t>
  </si>
  <si>
    <t>Mahmoud Al Ghamry</t>
  </si>
  <si>
    <t>Al Ghamry</t>
  </si>
  <si>
    <t>Mohamed Zaky</t>
  </si>
  <si>
    <t>Chief Financial Officer &amp; Member of Nominations and Remunerations committee</t>
  </si>
  <si>
    <t>Mr. Mahmoud Al Ghamry serves as Chief Financial Officer &amp; Member of Nominations and Remunerations committee at Zahrat Al Waha.</t>
  </si>
  <si>
    <t>340235-65P</t>
  </si>
  <si>
    <t>Mahmoud Al-Abdullah</t>
  </si>
  <si>
    <t>Al-Abdullah</t>
  </si>
  <si>
    <t>Etihad GO Telecom</t>
  </si>
  <si>
    <t>Mr. Mahmoud Al-Abdullah serves as Acting Chief Financial Officer at Etihad GO Telecom.</t>
  </si>
  <si>
    <t>+966 (0)11 511 1100</t>
  </si>
  <si>
    <t>m.al-abdullah@go.com.sa</t>
  </si>
  <si>
    <t>3704 King Abdullah Branch Rd</t>
  </si>
  <si>
    <t>Almughrizat District, PO Box 12482</t>
  </si>
  <si>
    <t>11391</t>
  </si>
  <si>
    <t>484423-93P</t>
  </si>
  <si>
    <t>Mahmoud Masoud</t>
  </si>
  <si>
    <t>Masoud</t>
  </si>
  <si>
    <t>Catrion Catering Holding</t>
  </si>
  <si>
    <t>Chief Financial Officer &amp; Executive Vice President</t>
  </si>
  <si>
    <t>Mr. Mahmoud Masoud serves as Chief Financial Officer &amp; Executive Vice President at Catrion. Previosuly he has held the role of Chief Financial Officer (CFO) in organizations including CWT for Europe, the Middle East &amp; Africa at Carlson; Wagonlit Travel in the United Kingdom; Mannai Corporation in Doha; and DHL United Kingdom. Additionally, he served as the Vice President Global Controller of DHL in Brussels and CFO of DHL Nordics in Helsinki. He holds a bachelor's degree in accounting and financial management from Ain Shams University, Cairo, Egypt.</t>
  </si>
  <si>
    <t>Ain Shams University</t>
  </si>
  <si>
    <t>+966 (0)92 002 2081</t>
  </si>
  <si>
    <t>mmasoud@catrion.com</t>
  </si>
  <si>
    <t>Prince Sultan Road - Al Muhammadiyah District 5</t>
  </si>
  <si>
    <t>P.O. Box 9178</t>
  </si>
  <si>
    <t>21413</t>
  </si>
  <si>
    <t>+966 (0)12 233 9481</t>
  </si>
  <si>
    <t>339989-23P</t>
  </si>
  <si>
    <t>Majed Al Asilaan</t>
  </si>
  <si>
    <t>Al Asilaan</t>
  </si>
  <si>
    <t>City Cement</t>
  </si>
  <si>
    <t>Chief Executive Officer &amp; Executive Board Member</t>
  </si>
  <si>
    <t>Mr. Majed Al Asilaan serves as Chief Executive Officer &amp; Executive Board Member at City Cement.</t>
  </si>
  <si>
    <t>m.alosailan@citycement.sa</t>
  </si>
  <si>
    <t>P.O.Box 859</t>
  </si>
  <si>
    <t>11041</t>
  </si>
  <si>
    <t>467248-42P</t>
  </si>
  <si>
    <t>Majed Al Mutairi</t>
  </si>
  <si>
    <t>Al Mutairi</t>
  </si>
  <si>
    <t>Mr. Majed Al Mutairi serves as Chief Executive Officer at Almasar Alshamil Education. He is an experienced education sector professional. Prior to joining Masar Education, he held multiple leadership positions, including Chief Executive Officer of GEMS Education - Saudi Arabia and Chief Executive Officer of CareTech MENA Social Care. He also held the position of Executive Vice President of Operations at "Al Fahim Holding Group" in the United Arab Emirates and the Gulf. He also held several positions through his 15 years of work at Saudi Aramco and SABIC. He holds a Bachelor's degree in Computer Engineering Science from "The University of Arkansas at Little Rock" in the United States of America.</t>
  </si>
  <si>
    <t>malmutairi@masareducation.com</t>
  </si>
  <si>
    <t>385712-20P</t>
  </si>
  <si>
    <t>Majed Al Zahrani</t>
  </si>
  <si>
    <t>Al Zahrani</t>
  </si>
  <si>
    <t>Mr. Majed Al Zahrani serves as Chief Operating Officer at Saudi International Petrochemical.</t>
  </si>
  <si>
    <t>mzahrani@sipchem.com</t>
  </si>
  <si>
    <t>351708-04P</t>
  </si>
  <si>
    <t>Majed AlBawardi</t>
  </si>
  <si>
    <t>AlBawardi</t>
  </si>
  <si>
    <t>H.E.</t>
  </si>
  <si>
    <t>Chairman of the board</t>
  </si>
  <si>
    <t>Mr. Majed AlBawardi serves as Chairman of the board at Rasan Information Technology Company.</t>
  </si>
  <si>
    <t>286493-68P</t>
  </si>
  <si>
    <t>Majed Alghamdi</t>
  </si>
  <si>
    <t>Mr. Majed Alghamdi serves as Chief Operating Officer at Wataniya Insurance.</t>
  </si>
  <si>
    <t>+966 (0)12 660 6200</t>
  </si>
  <si>
    <t>m.alghamdi@wataniya.com.sa</t>
  </si>
  <si>
    <t>398286-91P</t>
  </si>
  <si>
    <t>Majed Ali Al-Ajmi</t>
  </si>
  <si>
    <t>Ali Al-Ajmi</t>
  </si>
  <si>
    <t>Neft Alsharq</t>
  </si>
  <si>
    <t>Mr. Majed Ali Al-Ajmi serves as Chief Executive Officer &amp; Board Member at Neft Alsharq. Mr. Al-Ajmi holds a Master of Business Administration in Finance from England. He has over 15 years of experience in the oil industry. His position is Managing Director and CEO. Nationality: Saudi</t>
  </si>
  <si>
    <t>+966 (0)11 403 0304</t>
  </si>
  <si>
    <t>Kingdom of Saudi Arabia - Riyadh - Northern Ring Road - Intersection of Abu Bakr Al Siddiq</t>
  </si>
  <si>
    <t>Exit 6 - Square 6 Building</t>
  </si>
  <si>
    <t>341005-69P</t>
  </si>
  <si>
    <t>Majed AlMusbahi</t>
  </si>
  <si>
    <t>AlMusbahi</t>
  </si>
  <si>
    <t>Aref Qayed</t>
  </si>
  <si>
    <t>Mr. Majed AlMusbahi serves as Chief Executive Officer at Ghida Al-Sultan. Mr. AlMusbahi served as Chief Executive Officer at Sultan Delight Burger. He holds Bachelor's in Marketing from King Abdulaziz University.</t>
  </si>
  <si>
    <t>majed@ghidas.com</t>
  </si>
  <si>
    <t>461846-71P</t>
  </si>
  <si>
    <t>Majed Alsuwigh</t>
  </si>
  <si>
    <t>Alsuwigh</t>
  </si>
  <si>
    <t>bin Ahmed</t>
  </si>
  <si>
    <t>Mr. Majed Alsuwigh serves as Chairman at Al Sagr Cooperative Insurance. He also serves as Member of the Risk and Executive Committee. A financial and economic advisor with over 25 years of experience in banking, investment, treasury management, risk management, wealth management, training, and consultancy.</t>
  </si>
  <si>
    <t>439039-36P</t>
  </si>
  <si>
    <t>Majed Balubaid</t>
  </si>
  <si>
    <t>Chief Executive Officer and Vice Chairman of the Board</t>
  </si>
  <si>
    <t>Mr. Majed Balubaid serves as Chief Executive Officer and Vice Chairman of the Board at Service Equipment.</t>
  </si>
  <si>
    <t>mbalubaid@serviceequipment.com.sa</t>
  </si>
  <si>
    <t>57046-15P</t>
  </si>
  <si>
    <t>Majid bin Abdulmohsen Al-Hokair</t>
  </si>
  <si>
    <t>bin Abdulmohsen Al-Hokair</t>
  </si>
  <si>
    <t>Majid</t>
  </si>
  <si>
    <t>Mr. Majid bin Abdulmohsen Al-Hokair serves as Chairman at Baan Holding.</t>
  </si>
  <si>
    <t>415203-76P</t>
  </si>
  <si>
    <t>Malek Almoosa</t>
  </si>
  <si>
    <t>Almoosa</t>
  </si>
  <si>
    <t>Malek</t>
  </si>
  <si>
    <t>Abdulaziz Abdullah</t>
  </si>
  <si>
    <t>Almoosa Health</t>
  </si>
  <si>
    <t>Mr. Malek Almoosa serves as Chief Executive Officer &amp; Board Member at Almoosa Health. He began his career as administrative affairs director in Almoosa Hospital in 2007. In 2023 became the CEO of Almoosa health group, where he set the transformational vision that turned Almoosa from a 100 Bed hospital to a 440-bed tertiary level hospital today. With plans to expand to 750 beds with the new rehabilitation and long-term care hospital in 2022. Under his leadership, Almoosa was the first hospital to receive the Planetree Accreditation in the Middle East in 2015. He later became a board member of Planetree International, and he serves in the Board of Riyadh Second Cluster. He is the chairman of the health committee in Alahsa Chamber of Commerce and Vice-Chairman of the national hospital committee, He holds a bachelor's and Master in healthcare management and currently pursuing his Doctorate Degree in Business Administration "D.B.A." from the University of Warwick -U.K. He attended multiple executive education programs in many prestigious business schools such as Harvard business school and Stanford business school. He is involved in many community activities and supports many initiatives and causes, from sports and wellness to art and entertainment. He served as vice-chairman of the Alfateh sporting club and a mentor in the Qimam Development Program for university students. He was a sponsor of the power of art initiative that focuses on art therapy for patients. He holds a D.B.A. from University of Warwick - Warwick Business School, Masters in Healthcare Management from the Royal College of Surgeons in Ireland, Diploma in Healthcare Management from University of Surrey and a Bachelor of Science (BSc) in Healthcare Administration.</t>
  </si>
  <si>
    <t>University of Warwick</t>
  </si>
  <si>
    <t>malmoosa@almoosahealthgroup.org</t>
  </si>
  <si>
    <t>Al-Ahsa, Saudi Arabia</t>
  </si>
  <si>
    <t>Dharan Street, Alfaisal District</t>
  </si>
  <si>
    <t>Al-Ahsa, Eastern province, PO Box 5098</t>
  </si>
  <si>
    <t>Al-Ahsa</t>
  </si>
  <si>
    <t>350139-97P</t>
  </si>
  <si>
    <t>Mana Mehthel</t>
  </si>
  <si>
    <t>Mehthel</t>
  </si>
  <si>
    <t>Mana</t>
  </si>
  <si>
    <t>Mohamed Aal</t>
  </si>
  <si>
    <t>Mr. Mana Mehthel serves as Chief Executive Officer at Milling Company 3.</t>
  </si>
  <si>
    <t>298844-56P</t>
  </si>
  <si>
    <t>Mansoor Alharbi</t>
  </si>
  <si>
    <t>Mansoor</t>
  </si>
  <si>
    <t>Mr. Mansoor Alharbi serves as Chief Operating Officer at Flynas.</t>
  </si>
  <si>
    <t>malharbi@flynas.com</t>
  </si>
  <si>
    <t>341848-00P</t>
  </si>
  <si>
    <t>Mansour Al-Habdan</t>
  </si>
  <si>
    <t>Al-Habdan</t>
  </si>
  <si>
    <t>Mansour</t>
  </si>
  <si>
    <t>bin Ibrahim bin Mohammed</t>
  </si>
  <si>
    <t>Mr. Mansour Al-Habdan serves as Chief Financial Officer at Tabuk Cement.</t>
  </si>
  <si>
    <t>mansour@tcc-sa.com</t>
  </si>
  <si>
    <t>426622-06P</t>
  </si>
  <si>
    <t>Mansour Hashr</t>
  </si>
  <si>
    <t>Hashr</t>
  </si>
  <si>
    <t>Abdullaziz</t>
  </si>
  <si>
    <t>Future Care Trading</t>
  </si>
  <si>
    <t>Dr. Mansour Abdullaziz Hashr, Chairman of the Board. He holds a Bachelor of Medicine and Surgery from Ibn Sina National University in Saudi Arabia in 2016. He holds the Saudi Board of Internal Medicine in 2020.</t>
  </si>
  <si>
    <t>+966 (0)92 000 2821</t>
  </si>
  <si>
    <t>Ahmed Aqilan Street</t>
  </si>
  <si>
    <t>P.O 6454, Al-Khalidiya District</t>
  </si>
  <si>
    <t>23421</t>
  </si>
  <si>
    <t>427205-71P</t>
  </si>
  <si>
    <t>Mansour Qahtani</t>
  </si>
  <si>
    <t>Qahtani</t>
  </si>
  <si>
    <t>Ayed Al</t>
  </si>
  <si>
    <t>Mr. Mansour Qahtani serves as Chief Operating Officer at Digital Research Company.</t>
  </si>
  <si>
    <t>mqahtani@drc.com</t>
  </si>
  <si>
    <t>371854-99P</t>
  </si>
  <si>
    <t>Marc Narsolis</t>
  </si>
  <si>
    <t>Narsolis</t>
  </si>
  <si>
    <t>Marc</t>
  </si>
  <si>
    <t>Mr. Marc Narsolis serves as Chief Financial Officer at United Mining Industries.</t>
  </si>
  <si>
    <t>marc@ugc.com.sa</t>
  </si>
  <si>
    <t>411356-44P</t>
  </si>
  <si>
    <t>Mario Jimenez</t>
  </si>
  <si>
    <t>Jimenez</t>
  </si>
  <si>
    <t>Mario</t>
  </si>
  <si>
    <t>Mr. Mario Jimenez serves as Chief Financial Officer at Alamar Foods.</t>
  </si>
  <si>
    <t>mario.jimenez@alamar.com</t>
  </si>
  <si>
    <t>372742-66P</t>
  </si>
  <si>
    <t>Marwan A.Ibrahim</t>
  </si>
  <si>
    <t>A.Ibrahim</t>
  </si>
  <si>
    <t>Marwan</t>
  </si>
  <si>
    <t>Abdullah Al Othaim Markets</t>
  </si>
  <si>
    <t>Mr. Marwan A.Ibrahim serves as Chief Financial Officer &amp; Director of Finance at Abdullah Al Othaim Markets.</t>
  </si>
  <si>
    <t>+966 (0)11 829 9905</t>
  </si>
  <si>
    <t>P.O.Box 41700</t>
  </si>
  <si>
    <t>Al Andlus</t>
  </si>
  <si>
    <t>+966 (0)1 493 3264</t>
  </si>
  <si>
    <t>467360-02P</t>
  </si>
  <si>
    <t>Marwan Hafez</t>
  </si>
  <si>
    <t>Hafez</t>
  </si>
  <si>
    <t>Akada (Household Products)</t>
  </si>
  <si>
    <t>Mr. Marwan Hafez serves as Chief Executive Officer at Akada.</t>
  </si>
  <si>
    <t>+966 (0)54 059 5507</t>
  </si>
  <si>
    <t>marwan@akada.com.sa</t>
  </si>
  <si>
    <t>6254 Al Farooq District</t>
  </si>
  <si>
    <t>12864</t>
  </si>
  <si>
    <t>341595-46P</t>
  </si>
  <si>
    <t>Masood Ahmed</t>
  </si>
  <si>
    <t>Masood</t>
  </si>
  <si>
    <t>Hamid Amin</t>
  </si>
  <si>
    <t>Qassim Cement</t>
  </si>
  <si>
    <t>Mr. Masood Ahmed serves as Chief Financial Officer at Qassim Cement. Mr. Ahmed holds Bachelor of Commerce from Helwan University.</t>
  </si>
  <si>
    <t>+966 (0)16 316 5555</t>
  </si>
  <si>
    <t>masood@qcc.com.sa</t>
  </si>
  <si>
    <t>Qassim Cement Co Building Number 4266</t>
  </si>
  <si>
    <t>Unit Number: 1</t>
  </si>
  <si>
    <t>52271</t>
  </si>
  <si>
    <t>+966 (0)16 381 6041</t>
  </si>
  <si>
    <t>394845-31P</t>
  </si>
  <si>
    <t>Mazen Al-Rumaih</t>
  </si>
  <si>
    <t>Al-Rumaih</t>
  </si>
  <si>
    <t>Abdul Razzaq</t>
  </si>
  <si>
    <t>Chairman of Board of Directors &amp; Chairman of the Executive Committee</t>
  </si>
  <si>
    <t>Mr. Mazen Al-Rumaih serves as Chairman of Board of Directors &amp; Chairman of the Executive Committee at Banque Saudi Fransi. Mr. Al-Rumaih currently holds the position of CEO of Future Generation Investments Company. He also holds the position of Chairman of the Board of Directors of King Faisal Specialist Hospital and Research Center, and a member of the Board of Directors of the Real Estate Development Fund, the Saudi Tourism Authority, Saudi Arabian Airlines, and the position of Vice Chairman of the Board of Directors of the Dr. Group. Sulaiman Al-Habib Medical. He has previously held many positions, including Director General of the General Administration of Corporate Finance at the Capital Market Authority, and CEO of Samba Asset and Investment Management Company, in addition to holding a membership in the Local Content and Government Procurement Authority, the Board of Directors of the Capital Market Authority, and Chairman of the Board of Directors of the Company. Saudi Fransi Capital, and served as a member of the Board of Directors of HSBC Saudi Arabia Limited, Al Yamamah Steel Company, and Al Issa Holding Group, and a former partner in Food Concepts Company. He holds a Bachelor's degree in Accounting and Financial Management from the University of Buckingham.</t>
  </si>
  <si>
    <t>University of Buckingham</t>
  </si>
  <si>
    <t>465022-36P</t>
  </si>
  <si>
    <t>Mazen Al-Tamimi</t>
  </si>
  <si>
    <t>Al-Tamimi</t>
  </si>
  <si>
    <t>Hani Zaki</t>
  </si>
  <si>
    <t>Mr. Mazen Al-Tamimi serves as Chairman of the Board of Directors at Gulf General Cooperative Insurance.</t>
  </si>
  <si>
    <t>376874-29P</t>
  </si>
  <si>
    <t>Mazen Badawood</t>
  </si>
  <si>
    <t>Badawood</t>
  </si>
  <si>
    <t>Bin Abdullah Bin Mohammad</t>
  </si>
  <si>
    <t>Al-Jouf Agriculture Development</t>
  </si>
  <si>
    <t>Mr. Mazen Badawood serves as Chief Executive Officer at Al-Jouf Agriculture Development.</t>
  </si>
  <si>
    <t>+966 (0)14 646 6664</t>
  </si>
  <si>
    <t>Al-Jouf Skaka, Saudi Arabia</t>
  </si>
  <si>
    <t>PO Box 321</t>
  </si>
  <si>
    <t>Aljaouf Province - Buseta Center</t>
  </si>
  <si>
    <t>Al-Jouf Skaka</t>
  </si>
  <si>
    <t>72394</t>
  </si>
  <si>
    <t>+966 (0)4 654 0233</t>
  </si>
  <si>
    <t>316676-62P</t>
  </si>
  <si>
    <t>Mazen Salam</t>
  </si>
  <si>
    <t>Kalil</t>
  </si>
  <si>
    <t>National Environmental Recycling</t>
  </si>
  <si>
    <t>Mr. Mazen Salam serves as Chief Financial Officer &amp; Director of Finance at National Environmental Recycling.</t>
  </si>
  <si>
    <t>+966 (0)11 485 6186</t>
  </si>
  <si>
    <t>Wadi Waj Road</t>
  </si>
  <si>
    <t>Al Malqa District</t>
  </si>
  <si>
    <t>+966 (0)11 485 6179</t>
  </si>
  <si>
    <t>334136-89P</t>
  </si>
  <si>
    <t>Mazin Baghdadi</t>
  </si>
  <si>
    <t>Baghdadi</t>
  </si>
  <si>
    <t>Alinma Hospitality REIT</t>
  </si>
  <si>
    <t>Mr. Mazin Baghdadi serves as Chairman of the Board at Alinma Hospitality REIT.</t>
  </si>
  <si>
    <t>Post Box 55560</t>
  </si>
  <si>
    <t>Al Anoud Tower 2 King Fahad Road</t>
  </si>
  <si>
    <t>330200-29P</t>
  </si>
  <si>
    <t>Medhat Ghaleb</t>
  </si>
  <si>
    <t>Ghaleb</t>
  </si>
  <si>
    <t>Medhat</t>
  </si>
  <si>
    <t>Electrical Industries</t>
  </si>
  <si>
    <t>Chief Financial Officer, Director of Finance &amp; Executive Vice President of Finance &amp; Information Technology</t>
  </si>
  <si>
    <t>Mr. Medhat Ghaleb serves as Chief Financial Officer, Director of Finance &amp; Executive Vice President of Finance &amp; Information Technology at Electrical Industries. He is also on the board of Saudi Power Transformers. He received an undergraduate degree from Alexandria University.</t>
  </si>
  <si>
    <t>Alexandria University</t>
  </si>
  <si>
    <t>+966 (0)13 810 0280</t>
  </si>
  <si>
    <t>mmedhat@eic.com.sa</t>
  </si>
  <si>
    <t>First Industrial City of Dammam</t>
  </si>
  <si>
    <t>P.O. Box 6033</t>
  </si>
  <si>
    <t>31442</t>
  </si>
  <si>
    <t>+966 (0)13 810 0265</t>
  </si>
  <si>
    <t>342066-61P</t>
  </si>
  <si>
    <t>Mehdi Khalifa</t>
  </si>
  <si>
    <t>Khalifa</t>
  </si>
  <si>
    <t>Mehdi</t>
  </si>
  <si>
    <t>Mr. Mehdi Khalifa serves as Chief Financial Officer at Zain Saudi Arabia. He joined Zain as Chief Financial Officer in February 2017, where he contributed to delivering strategic improvements in profitability and a strategic refocus on commercial investment and enhanced cash liquidity together with improved capital structure. He has international ICT sector experience in various areas within the telecommunications industry, namely: Financial Management, Performance Monitoring, Budgeting and Planning, Treasury and Corporate Finance. He has occupied several roles within Zain Group since 2009, where he succeeded in achieving transformation in terms of cost optimization and reducing operational expenses. Prior to joining Zain, he held key strategic roles with leading international telecom companies, where he served as Budget &amp; Planning Analyst for Orascom Telecom and as Financial Analyst for SGCIB. He holds a master's degree in Corporate Finance from INSEEC and a Professional Learning Experience Degree from Harvard Business School for the Program of Leadership Development.</t>
  </si>
  <si>
    <t>Harvard Business School, INSEEC Business School</t>
  </si>
  <si>
    <t>340980-49P</t>
  </si>
  <si>
    <t>Meshaal Aloqla</t>
  </si>
  <si>
    <t>Aloqla</t>
  </si>
  <si>
    <t>Meshaal</t>
  </si>
  <si>
    <t>Bin Abdul Rahman</t>
  </si>
  <si>
    <t>Mr. Meshaal Aloqla serves as Chief Executive Officer &amp; Board Member at National Building &amp; Marketing Co. Mr. Aloqla holds Bachelor of Commerce Specialization Accounting and Master's degree in Business Administration.</t>
  </si>
  <si>
    <t>maloqla@nbm.com.sa</t>
  </si>
  <si>
    <t>327594-07P</t>
  </si>
  <si>
    <t>Meshal Al Kathiri</t>
  </si>
  <si>
    <t>Al Kathiri</t>
  </si>
  <si>
    <t>Meshal</t>
  </si>
  <si>
    <t>Mohammed Naser</t>
  </si>
  <si>
    <t>Mr. Meshal Al Kathiri serves as Chief Executive Officer &amp; Board Member at Al Kathiri Holding.</t>
  </si>
  <si>
    <t>mishaal@alkathiriholding.com</t>
  </si>
  <si>
    <t>328695-76P</t>
  </si>
  <si>
    <t>Meshal Shanifi</t>
  </si>
  <si>
    <t>Shanifi</t>
  </si>
  <si>
    <t>Al Rajhi REIT Fund</t>
  </si>
  <si>
    <t>Mr. Meshal Shanifi serves as Chairman at Al Rajhi REIT Fund.</t>
  </si>
  <si>
    <t>+966 (0)92 000 5856</t>
  </si>
  <si>
    <t>PO Box 5561</t>
  </si>
  <si>
    <t>11432</t>
  </si>
  <si>
    <t>314611-21P</t>
  </si>
  <si>
    <t>Meshary Al-Jubair</t>
  </si>
  <si>
    <t>Al-Jubair</t>
  </si>
  <si>
    <t>Meshary</t>
  </si>
  <si>
    <t>Mr. Meshary Al-Jubair serves as Chief Operating Officer at Alinma Bank. Previously he served as General Manager &amp; Deputy General Manager of the Information Technology Divison at Alinma Bank. Before joining Alinma Bank, he worked at Saudi Telecom Company as Manager of the Information Security Planning Department and at SAMA as Manager of the Systems Department. He holds a Bachelor of Science in Computer Engineering from King Saud University.</t>
  </si>
  <si>
    <t>340367-50P</t>
  </si>
  <si>
    <t>Mesheal Bin Ibrahim Al Shayea</t>
  </si>
  <si>
    <t>Al Shayea</t>
  </si>
  <si>
    <t>Mesheal Bin Ibrahim</t>
  </si>
  <si>
    <t>Mr. Mesheal Bin Ibrahim Al Shayea serves as Chief Executive Officer at Gulf Union Cooperative Insurance.</t>
  </si>
  <si>
    <t>malshayea@gulfunion.com.sa</t>
  </si>
  <si>
    <t>460575-28P</t>
  </si>
  <si>
    <t>Michael Albers</t>
  </si>
  <si>
    <t>Albers</t>
  </si>
  <si>
    <t>Michael</t>
  </si>
  <si>
    <t>Joachim</t>
  </si>
  <si>
    <t>Mr. Michael Albers serves as Chief Operating Officer at First Milling.</t>
  </si>
  <si>
    <t>michael.albers@firstmills.com</t>
  </si>
  <si>
    <t>162981-28P</t>
  </si>
  <si>
    <t>Mike Sneesby</t>
  </si>
  <si>
    <t>Sneesby</t>
  </si>
  <si>
    <t>Mike</t>
  </si>
  <si>
    <t>Nine Entertainment (Sydney) (Former)</t>
  </si>
  <si>
    <t>Mr. Mike Sneesby serves as Chief Executive Officer at MBC Group. He served as Chief Executive Officer and Board Member at Nine Entertainment Company. He also served as Chief Executive Officer at Cudo and Stan Entertainment.</t>
  </si>
  <si>
    <t>mike.sneesby@mbc.net</t>
  </si>
  <si>
    <t>284769-55P</t>
  </si>
  <si>
    <t>Mishal Al Saud</t>
  </si>
  <si>
    <t>Mishal</t>
  </si>
  <si>
    <t>Bin Sultan</t>
  </si>
  <si>
    <t>Mr. Mishal Al Saud serves as Chairman at Jahez.</t>
  </si>
  <si>
    <t>386729-20P</t>
  </si>
  <si>
    <t>Moataz Mortada</t>
  </si>
  <si>
    <t>Mortada</t>
  </si>
  <si>
    <t>Moataz</t>
  </si>
  <si>
    <t>Mr. Moataz Mortada serves as Chief Financial Officer at Arabian Cement (Saudi Arabia).</t>
  </si>
  <si>
    <t>mmortada@arabiancement.com.sa</t>
  </si>
  <si>
    <t>454621-96P</t>
  </si>
  <si>
    <t>Moazam Shah</t>
  </si>
  <si>
    <t>Moazam</t>
  </si>
  <si>
    <t>Avalon Pharma</t>
  </si>
  <si>
    <t>Mr. Moazam Shah serves as Chief Financial Officer at Avalon Pharma. He is an award-winning CFO who forged his career within Australia, United States, United Kingdom, the Middle East, and Asia over a period of more than 25 years.During his journey as CFO, he led business turn-around situations, managed digital transformation projects, successfully concluded M&amp;A deals, and Implemented financial governance framework within diversified conglomerates. He has a strong background experience in corporate governance and sat on the Boards of International businesses within healthcare industry. He is also an active public speaker and has been featured in various international magazines and business forums. canesal Officer</t>
  </si>
  <si>
    <t>+966 (0)92 001 0564</t>
  </si>
  <si>
    <t>mshah@avalonpharmaceutical.com</t>
  </si>
  <si>
    <t>8146 King Muhammad V</t>
  </si>
  <si>
    <t>Sulimaniyah</t>
  </si>
  <si>
    <t>12223</t>
  </si>
  <si>
    <t>437323-24P</t>
  </si>
  <si>
    <t>Mohamed Abbas</t>
  </si>
  <si>
    <t>Abbas</t>
  </si>
  <si>
    <t>Mr. Mohamed Abbas serves as Chief Operating Officer at Cenomi Retail. He is a senior retail professional with over 25 years of experience in the Fashion Retail Industry. He joined Cenomi Retail in 2014, where he held multiple commercial and leadership roles before taking on the responsibility of Chief Operating Officer. Prior to joining Cenomi Retail, He also held multiple leadership roles for other leading retail companies such as Azadea across KSA, MENA, CIS &amp; Caucasus regions. He holds an MBA from ESCP France.</t>
  </si>
  <si>
    <t>mabbas@cenomiretail.com</t>
  </si>
  <si>
    <t>422349-40P</t>
  </si>
  <si>
    <t>Mohamed Ahmed</t>
  </si>
  <si>
    <t>Omran Ali</t>
  </si>
  <si>
    <t>Mr. Mohamed Ahmed serves as Chief Financial Officer at Nice one (Internet Retail).</t>
  </si>
  <si>
    <t>340990-21P</t>
  </si>
  <si>
    <t>Mohamed AlHindawi</t>
  </si>
  <si>
    <t>AlHindawi</t>
  </si>
  <si>
    <t>Mohi Abbas</t>
  </si>
  <si>
    <t>Waja Company</t>
  </si>
  <si>
    <t>Mr. Mohamed AlHindawi serves as Chief Financial Officer at Waja Company.</t>
  </si>
  <si>
    <t>+966 (0)55 221 7777</t>
  </si>
  <si>
    <t>King Fahad Street, Al Anood Tower</t>
  </si>
  <si>
    <t>17th Floor, PO Box 12214</t>
  </si>
  <si>
    <t>Olayya</t>
  </si>
  <si>
    <t>12214</t>
  </si>
  <si>
    <t>+966 (0)11 221 8888</t>
  </si>
  <si>
    <t>400273-75P</t>
  </si>
  <si>
    <t>Mohamed Ali Ahmed Amin</t>
  </si>
  <si>
    <t>Ali Ahmed Amin</t>
  </si>
  <si>
    <t>Mr. Mohamed Ali Ahmed Amin serves as Chief Financial Officer at Horizon Educational ( Educational and Training Services).</t>
  </si>
  <si>
    <t>m.aliahmedamin@horizon.sch.sa</t>
  </si>
  <si>
    <t>298092-34P</t>
  </si>
  <si>
    <t>Mohamed Alkhereiji</t>
  </si>
  <si>
    <t>Mr. Mohamed AlKhereiji serves as Chief Executive Officer at AlArabia.</t>
  </si>
  <si>
    <t>383451-85P</t>
  </si>
  <si>
    <t>Mohamed Atef</t>
  </si>
  <si>
    <t>Atef</t>
  </si>
  <si>
    <t>Mr. Mohamed Atef serves as Chief Financial Officer at Arabian Shield Cooperative Insurance.</t>
  </si>
  <si>
    <t>mohamed@der3.com</t>
  </si>
  <si>
    <t>441641-71P</t>
  </si>
  <si>
    <t>Mohamed Bahri</t>
  </si>
  <si>
    <t>Co-Chief Executive Officer</t>
  </si>
  <si>
    <t>Mr. Mohamed Bahri serves as Co-Chief Executive Officer at Bahri.</t>
  </si>
  <si>
    <t>mbahri@bahri.sa</t>
  </si>
  <si>
    <t>341844-04P</t>
  </si>
  <si>
    <t>Mohamed Bakry</t>
  </si>
  <si>
    <t>Bakry</t>
  </si>
  <si>
    <t>Saad Kamel Ali</t>
  </si>
  <si>
    <t>Tabuk Agricultural Development</t>
  </si>
  <si>
    <t>Mr. Mohamed Bakry serves as Chief Financial Officer at Tabuk Agricultural Development. Mr Bakry is CEO in Tabuk Agricultural Development Co and Board Member at Tourism Enterprise Co. He was CEO in Saudi Fisheries</t>
  </si>
  <si>
    <t>+966 (0)14 450 0000</t>
  </si>
  <si>
    <t>mbakry@tadco.online</t>
  </si>
  <si>
    <t>PO Box 808</t>
  </si>
  <si>
    <t>71421</t>
  </si>
  <si>
    <t>+966 (0)14 450 0025</t>
  </si>
  <si>
    <t>376519-69P</t>
  </si>
  <si>
    <t>Mohamed Butt</t>
  </si>
  <si>
    <t>Butt</t>
  </si>
  <si>
    <t>Shazam</t>
  </si>
  <si>
    <t>Mr. Mohamed Butt serves as Chief Financial Officer at Fad International.</t>
  </si>
  <si>
    <t>mohamed@fadint.com</t>
  </si>
  <si>
    <t>426703-33P</t>
  </si>
  <si>
    <t>Mohamed El-Sayed</t>
  </si>
  <si>
    <t>Tarek Mohamed</t>
  </si>
  <si>
    <t>Mr. Mohamed El-Sayed serves as Chief Financial Officer at Twareat. Mr. El-Sayed is the Chief Financial Officer. He holds a Diploma in International Financial Reporting Standards from the Association of Chartered Certified Accountants in London and a Bachelor's degree in Accounting from Cairo University. He has extensive experience in financial management and accounting, having held several leadership positions in Saudi and Egyptian joint-stock companies, including Amiantit in Saudi Arabia. He also worked as a Manager of Accounts and Financial Reporting at Fawaz Refrigeration and Air Conditioning Company, and held various roles at Telecom Egypt, where he started his career in accounting before taking on supervisory and account management responsibilities.</t>
  </si>
  <si>
    <t>mohamedelsayed@twareat.com</t>
  </si>
  <si>
    <t>263259-64P</t>
  </si>
  <si>
    <t>Mohamed Fahmy</t>
  </si>
  <si>
    <t>Fahmy</t>
  </si>
  <si>
    <t>Galal Ali</t>
  </si>
  <si>
    <t>Mr. Mohamed Fahmy serves as Chief Executive Officer, Managing Director &amp; Board Member at United Electronics Company. He has over 30 years of experience in sales, marketing, banking and accounting sectors, held several positions at Procter &amp; Gamble Company. He completed B.A. in accounting from Ain Shams University.</t>
  </si>
  <si>
    <t>331861-51P</t>
  </si>
  <si>
    <t>Mohamed Farouk</t>
  </si>
  <si>
    <t>Farouk</t>
  </si>
  <si>
    <t>Mr. Mohamed Farouk serves as Chief Financial Officer at Nofoth Food Products.</t>
  </si>
  <si>
    <t>384490-36P</t>
  </si>
  <si>
    <t>Mohamed Hassan Dawoud</t>
  </si>
  <si>
    <t>Dawoud</t>
  </si>
  <si>
    <t>Mohamed Hassan</t>
  </si>
  <si>
    <t>Al-Razi Medical</t>
  </si>
  <si>
    <t>Mr. Mohamed Hassan Dawoud serves as Chief Executive Officer at Al-Razi Medical.</t>
  </si>
  <si>
    <t>+966 (0)16 332 9999</t>
  </si>
  <si>
    <t>mdawoud@razi.sa</t>
  </si>
  <si>
    <t>Qassim - Al Bada'i, King Abdul Aziz</t>
  </si>
  <si>
    <t>+966 (0)16 321 7777</t>
  </si>
  <si>
    <t>410769-46P</t>
  </si>
  <si>
    <t>Mohamed Jawad</t>
  </si>
  <si>
    <t>Mr. Mohamed Jawad serves as Chief Financial Officer at Jabal Omar Development.</t>
  </si>
  <si>
    <t>mjawad@jodc.com.sa</t>
  </si>
  <si>
    <t>298090-81P</t>
  </si>
  <si>
    <t>Mohamed Saber Hamad</t>
  </si>
  <si>
    <t>Mohamed Saber</t>
  </si>
  <si>
    <t>Mr. Mohamed Saber Hamad Saber serves as Chief Financial Officer at Inma Al Rawabi.</t>
  </si>
  <si>
    <t>mhamad@enmaalrwabi.com</t>
  </si>
  <si>
    <t>440020-09P</t>
  </si>
  <si>
    <t>Mohamed Shehata</t>
  </si>
  <si>
    <t>Shehata</t>
  </si>
  <si>
    <t>Mr. Mohamed Shehata serves as Chief Financial Officer at Saudi Ceramic. Previously, he was the Chief Financial Officer at Weareinfinity and Rajhi-Invest.</t>
  </si>
  <si>
    <t>mshehata@saudiceramics.com</t>
  </si>
  <si>
    <t>404603-47P</t>
  </si>
  <si>
    <t>Mohamed Zakaria</t>
  </si>
  <si>
    <t>Zakaria</t>
  </si>
  <si>
    <t>Zaki</t>
  </si>
  <si>
    <t>Mr. Mohamed Zakaria serves as Chief Operating Officer at Osool &amp; Bakheet Investment. He holds a Bachelor's degree in Computer Science from the Jordan University of Science and Technology in 2004, and a Master's degree in Computer Science in 2006 from the same university.</t>
  </si>
  <si>
    <t>mzakaria@obic.com.sa</t>
  </si>
  <si>
    <t>329891-41P</t>
  </si>
  <si>
    <t>Mohammad Abu Farhah</t>
  </si>
  <si>
    <t>Abu Farhah</t>
  </si>
  <si>
    <t>Baker Reda</t>
  </si>
  <si>
    <t>Al Yamamah Steel Industries</t>
  </si>
  <si>
    <t>Mr. Mohammad Abu Farhah serves as Chief Financial Officer at Al Yamamah Steel Industries. In Mr. Abu Farhah's past career he held the position of Chief Financial Officer of Qassim Cement Co. He received an undergraduate degree from Birzeit University.</t>
  </si>
  <si>
    <t>+966 (0)1 477 0512</t>
  </si>
  <si>
    <t>mohammad@yamsteel.com</t>
  </si>
  <si>
    <t>P.O. Box 55303</t>
  </si>
  <si>
    <t>Aqaria Asteen 6th Floor Building 2 Office No 6201</t>
  </si>
  <si>
    <t>+966 (0)1 479 1943</t>
  </si>
  <si>
    <t>316722-43P</t>
  </si>
  <si>
    <t>Mohammad Al Rassam</t>
  </si>
  <si>
    <t>Al Rassam</t>
  </si>
  <si>
    <t>Mr. Mohammad Al Rassam serves as Chief Executive Officer at Arabian Food and Dairy Factories.</t>
  </si>
  <si>
    <t>339960-70P</t>
  </si>
  <si>
    <t>Mohammad Al-Balawi</t>
  </si>
  <si>
    <t>Al-Balawi</t>
  </si>
  <si>
    <t>Bawan</t>
  </si>
  <si>
    <t>Mr. Mohammad Al-Balawi serves as Chief Executive Officer at Bawan.</t>
  </si>
  <si>
    <t>+966 (0)11 291 7799</t>
  </si>
  <si>
    <t>mohammad.albalawi@bawan.com.sa</t>
  </si>
  <si>
    <t>King Fahd Road, Al, Sahab Building 1073</t>
  </si>
  <si>
    <t>11371</t>
  </si>
  <si>
    <t>+966 (0)11 291 5858</t>
  </si>
  <si>
    <t>315732-16P</t>
  </si>
  <si>
    <t>Mohammad Al-Basha</t>
  </si>
  <si>
    <t>Al-Basha</t>
  </si>
  <si>
    <t>Mr. Mohammad Al-Basha serves as Chief Financial Officer at Tamkeen HR. Mr. Al-Basha holds Bachelor's in Accounting from Yarmouk University and Master's in Accounting from Leeds Beckett University.</t>
  </si>
  <si>
    <t>Leeds Beckett University</t>
  </si>
  <si>
    <t>malbasha@tamkeenhr.com</t>
  </si>
  <si>
    <t>286703-29P</t>
  </si>
  <si>
    <t>Mohammad Almubarak</t>
  </si>
  <si>
    <t>Almubarak</t>
  </si>
  <si>
    <t>Knowledge Economic City</t>
  </si>
  <si>
    <t>Mr. Mohammad Almubarak serves as Chief Executive Officer at Knowledge Economic City.</t>
  </si>
  <si>
    <t>+966 (0)14 865 1010</t>
  </si>
  <si>
    <t>malmubarak@madinahkec.com</t>
  </si>
  <si>
    <t>Madinah, Saudi Arabia</t>
  </si>
  <si>
    <t>Building Number 5257</t>
  </si>
  <si>
    <t>Madinah</t>
  </si>
  <si>
    <t>42362</t>
  </si>
  <si>
    <t>+966 (0)14 865 4040</t>
  </si>
  <si>
    <t>322842-88P</t>
  </si>
  <si>
    <t>Mohammad Alsaif</t>
  </si>
  <si>
    <t>Alsaif</t>
  </si>
  <si>
    <t>Mr. Mohammad Alsaif serves as Chief Executive Officer &amp; Board Member at AlSaif Stores for Dev.</t>
  </si>
  <si>
    <t>malsaif@alsaifgallery.com</t>
  </si>
  <si>
    <t>340896-79P</t>
  </si>
  <si>
    <t>Mohammad Attiya</t>
  </si>
  <si>
    <t>Attiya</t>
  </si>
  <si>
    <t>Knowledge Net</t>
  </si>
  <si>
    <t>Managing Director, Chief Executive Officer &amp; Board Member</t>
  </si>
  <si>
    <t>Mr. Mohammad Attiya serves as Managing Director, Chief Executive Officer &amp; Board Member at Knowledge Net. As an active regional player in the technology industry since the early nineties, He is a globally recognized name in the business of technology for financial services. He combines management and sales experience in local and international companies of varying sizes with an almost exclusive industry focus on financial services from 2003, He assumed various executive roles in Knowledge Net, a regional mission-critical software company until 2011 where he was assigned the CEO role. He also serves as a board member of several leading names in finance and data management, where his vast experience contributes to strengthening the resources of the region. Leveraging his academic background as an alumni of KFUPM and Manchester Business School, as well as his diverse management and sales experience, He demonstrates strong abilities in areas of strategy, product planning, and market penetration. Also, his participation in multi-cultural teams during his career has honed his people leadership skills. His exceptional skills a nd industry knowledge have seen him sought out as speaker at many leading events and he regularly appears on television programs as an expert in his field. Under his leadership, Knowledge Net has shown consistent growth, by focusing its product offering in niche areas and adopting extensible strategies for growth on the medium and long term. He is driving the company to be both the leading regional financial services software provider and the leading regional fintech enabler.</t>
  </si>
  <si>
    <t>mattiya@kn-it.com</t>
  </si>
  <si>
    <t>2277 Makkah Al Mukarramah</t>
  </si>
  <si>
    <t>Al Olaya District</t>
  </si>
  <si>
    <t>12611</t>
  </si>
  <si>
    <t>305290-45P</t>
  </si>
  <si>
    <t>Mohammad bin Ahmad Al Balawi</t>
  </si>
  <si>
    <t>bin Ahmad Al Balawi</t>
  </si>
  <si>
    <t>Mr. Mohammad bin Ahmad Al Balawi serves as Chief Executive Officer at Bawan.</t>
  </si>
  <si>
    <t>404587-63P</t>
  </si>
  <si>
    <t>Mohammad Khan</t>
  </si>
  <si>
    <t>Usman</t>
  </si>
  <si>
    <t>Mr. Mohammad Usman Khan serves as Chief Financial Officer at Riyadh Steel Company.</t>
  </si>
  <si>
    <t>mohammad-khan@riyadhsteel.com.sa</t>
  </si>
  <si>
    <t>331403-32P</t>
  </si>
  <si>
    <t>Mohammad Mazi</t>
  </si>
  <si>
    <t>Mazi</t>
  </si>
  <si>
    <t>Mr. Mohammad Mazi serves as Chief Executive Officer at Saudi Ground Services Company. Mr. Mazi started his career back in 2005 at Aramco, where he climbed up the career ladder successfully, starting at the audits division, until becoming the Acting Division Head of the Corporate Reports Planning &amp; Performance Management Department. Throughout these years he left his mark by having redesigned the corporate performance measurement and management process, as well as leading the design and implementation of the corporate target setting process for 2014-2016 business plan, which was the first of its kind in the company's history. Mohammed holds an MBA from Texas A&amp;M University, and a triple-major bachelor's degree in accounting, business administration, and MIS from the University of New Orleans.</t>
  </si>
  <si>
    <t>Texas A&amp;M University, College Station, University of New Orleans</t>
  </si>
  <si>
    <t>mmazi@saudiags.com</t>
  </si>
  <si>
    <t>181434-97P</t>
  </si>
  <si>
    <t>Mohammad Saleh</t>
  </si>
  <si>
    <t>Muhammad Al-Hammadi</t>
  </si>
  <si>
    <t>Mr. Mohammad Saleh serves as Chief Executive Officer &amp; Managing Director at Hammadi Holding.</t>
  </si>
  <si>
    <t>saleh@alhammadi.com</t>
  </si>
  <si>
    <t>80562-43P</t>
  </si>
  <si>
    <t>Mohammed Aballala</t>
  </si>
  <si>
    <t>Aballala</t>
  </si>
  <si>
    <t>Mr. Mohammed Aballala is the Founder &amp; serves as Chairman at Al Masane Al Kobra Mining. He has been elected as the new Chairman of AMAK with effect from 17 September 2017. Chairman of Najran Cement Company since establishment in 2005. He received his undergraduate degree from The University of Arkansas, graduate degree in 1984 from The University of Arkansas, and undergraduate degree in 1983 from Portland State University.</t>
  </si>
  <si>
    <t>University of Arkansas, Fort Smith, Portland State University</t>
  </si>
  <si>
    <t>mohammed.aballala@amak.com.sa</t>
  </si>
  <si>
    <t>426511-90P</t>
  </si>
  <si>
    <t>Mohammed Abdulaziz Al-Buward</t>
  </si>
  <si>
    <t>Al-Buward</t>
  </si>
  <si>
    <t>Mohammed Abdulaziz</t>
  </si>
  <si>
    <t>Mr. Mohammed Abdulaziz Al-Buward serves as Chief Executive Officer &amp; Managing Director at Basma Adeem Medical.</t>
  </si>
  <si>
    <t>54207-73P</t>
  </si>
  <si>
    <t>Mohammed Ahmed al-Theeb</t>
  </si>
  <si>
    <t>Ahmed al-Theeb</t>
  </si>
  <si>
    <t>Bin</t>
  </si>
  <si>
    <t>Theeb Rent a Car</t>
  </si>
  <si>
    <t>Mr. Mohammed Ahmed al-Theeb serves as Chairman at Theeb Rent a Car.</t>
  </si>
  <si>
    <t>+966 (0)11 493 9222</t>
  </si>
  <si>
    <t>P.O. Box 9551</t>
  </si>
  <si>
    <t>+966 (0)11 492 0171</t>
  </si>
  <si>
    <t>343469-62P</t>
  </si>
  <si>
    <t>Mohammed Al Jaris</t>
  </si>
  <si>
    <t>Al Jaris</t>
  </si>
  <si>
    <t>bin Jaris Mohammed</t>
  </si>
  <si>
    <t>Al Munif Trading</t>
  </si>
  <si>
    <t>Mr. Mohammed Al Jrayes serves as Chief Executive Officer at Al Munif Trading.</t>
  </si>
  <si>
    <t>+966 (0)11 222 7262</t>
  </si>
  <si>
    <t>+966 (0)11 222 7242</t>
  </si>
  <si>
    <t>295494-40P</t>
  </si>
  <si>
    <t>Mohammed Al-Farraj</t>
  </si>
  <si>
    <t>Al-Farraj</t>
  </si>
  <si>
    <t>Saad Butti</t>
  </si>
  <si>
    <t>Al Dawaa Medical Services</t>
  </si>
  <si>
    <t>Mr. Mohammed Al-Farraj serves as Chief Executive Officer at Al Dawaa Medical Services.</t>
  </si>
  <si>
    <t>+966 (0)13 867 7776</t>
  </si>
  <si>
    <t>4326-Al-Khobar</t>
  </si>
  <si>
    <t>+966 (0)13 867 0201</t>
  </si>
  <si>
    <t>379626-94P</t>
  </si>
  <si>
    <t>Mohammed Al-Ghannam</t>
  </si>
  <si>
    <t>Mr. Mohammed Al-Ghannam serves as CEO &amp; Managing Director at Avalon Pharma. Having 23 years of experience in the pharmaceutical industry with various roles within Avalon including COO, HR &amp; Admin Manager, Admin &amp; Logistics Manager, Purchasing &amp; IT Manager, focuses on serving the needs of the medical, pharmaceutical, and scientific communities. Law College Lebanon; B.A. Damascus, Syria; MBA California Central University</t>
  </si>
  <si>
    <t>California Coast University</t>
  </si>
  <si>
    <t>350141-32P</t>
  </si>
  <si>
    <t>Mohammed Al-Resheid</t>
  </si>
  <si>
    <t>Al-Resheid</t>
  </si>
  <si>
    <t>bin Abdullah Mohammed</t>
  </si>
  <si>
    <t>Mr. Mohammed Alresheid serves as Chief Executive Officer &amp; Manager at Jazan Development. He served as Director of Strategic Planning, Global Company at Downstream Industries. He holds MA in Project and Systems Management from Catholic University of America and the BA in Finance from King Saud University.</t>
  </si>
  <si>
    <t>Catholic University of America, King Saud University</t>
  </si>
  <si>
    <t>329116-78P</t>
  </si>
  <si>
    <t>Mohammed Al-Sayed</t>
  </si>
  <si>
    <t>Mr. Mohammed Al-Sayed serves as Chief Financial Officer at Molan Steel.</t>
  </si>
  <si>
    <t>325988-20P</t>
  </si>
  <si>
    <t>Mohammed Al-Shaheen</t>
  </si>
  <si>
    <t>Al-Shaheen</t>
  </si>
  <si>
    <t>East Pipes Integrated</t>
  </si>
  <si>
    <t>Mr. Mohammed Al-Shaheen serves as Chief Executive Officer at East Pipes Integrated.</t>
  </si>
  <si>
    <t>+966 (0)13 812 1005</t>
  </si>
  <si>
    <t>mohammed.alshaheen@eastpipes.com</t>
  </si>
  <si>
    <t>Street Number 89, 2nd Industrial City</t>
  </si>
  <si>
    <t>Post Office Box 12943, P. Code 31483</t>
  </si>
  <si>
    <t>31483</t>
  </si>
  <si>
    <t>+966 (0)13 812 1666</t>
  </si>
  <si>
    <t>385685-11P</t>
  </si>
  <si>
    <t>Mohammed Al-Shamrani</t>
  </si>
  <si>
    <t>Al-Shamrani</t>
  </si>
  <si>
    <t>Chief Operating Officer and Director of Sales &amp; Marketing</t>
  </si>
  <si>
    <t>Mr. Mohammed Al-Shamrani serves as Chief Operating Officer and Director of Sales &amp; Marketing at Saudi Arabian Amiantit.</t>
  </si>
  <si>
    <t>mohammedshamrani@amiantit.com</t>
  </si>
  <si>
    <t>151895-89P</t>
  </si>
  <si>
    <t>Mohammed Al-Shroogi</t>
  </si>
  <si>
    <t>Al-Shroogi</t>
  </si>
  <si>
    <t>Chairman &amp; Independent Director</t>
  </si>
  <si>
    <t>Mr. Mohammed Al-Shroogi serves as Chairman &amp; Independent Director at L'azurde. He serves on Board member of APM Terminals Company, Bahraini Joint Stock Company, specializing in the Transportation &amp; Logistics Sector in the Kingdom of Bahrain, since 2010, Vice Chairman of Al Baraka Banking Group, a Bahraini Joint Stock Company, specialised in Banking and Financial services, in the Kingdom of Bahrain, since 2010. He is a Board member of Wisayah Investment Company, a Limited Liability Company a wholly owned subsidiary of Saudi Aramco, specializing in investment sector, Saudi Arabia, since 2018 &amp; Chairman of the Board of Gulf Cooperation Council Board Directors Institute, non-profit organization, in the Kingdom of Bahrain., since 2015 and Director at the National US-Arab Chamber of Commerce; since 1995</t>
  </si>
  <si>
    <t>Harvard University, kuwait University</t>
  </si>
  <si>
    <t>307619-11P</t>
  </si>
  <si>
    <t>Mohammed Al-Zuabi</t>
  </si>
  <si>
    <t>Al-Zuabi</t>
  </si>
  <si>
    <t>Berki</t>
  </si>
  <si>
    <t>Marafiq</t>
  </si>
  <si>
    <t>President &amp; Chief Executive Officer</t>
  </si>
  <si>
    <t>Mr. Mohammed Al-Zuabi serves as President &amp; Chief Executive Officer at Marafiq (Saudi Arabia). He graduated with a bachelor's degree in Electrical Engineering from King Fahd University of Petroleum and Minerals, Saudi Arabia, and later acquired a master's degree in Construction Engineering and Management from the same institution in 1999. He also earned a master's degree in Sustainable Electrical Energy from Georgia Institute of Technology, United States of America, in 2016. Starting in 1993, he began his career in the power and energy sector at Saudi Arabian Oil Company (Saudi Aramco), as an electrical engineer and advanced to the position of director of energy operations for the northern region. Since 2020, he has been the Chairman of the Board of Directors of the Jeddah Al-Thaniya Water Company (JAWC), Jubail Water and Power Company (JWAP), and MaSa Services for Operation and Maintenance Company (MaSa Services).</t>
  </si>
  <si>
    <t>Georgia Institute of Technology</t>
  </si>
  <si>
    <t>+966 (0)92 002 0084</t>
  </si>
  <si>
    <t>P.O. Box 11133</t>
  </si>
  <si>
    <t>+966 (0)13 340 1168</t>
  </si>
  <si>
    <t>201828-07P</t>
  </si>
  <si>
    <t>Mohammed ALFaisal</t>
  </si>
  <si>
    <t>ALFaisal</t>
  </si>
  <si>
    <t>K.</t>
  </si>
  <si>
    <t>Mr. Mohammed ALFaisal serves as Chairman of the Board of Directors at Saudi Telecom Company.</t>
  </si>
  <si>
    <t>413771-77P</t>
  </si>
  <si>
    <t>Mohammed Ali</t>
  </si>
  <si>
    <t>Arabian United Float Glass</t>
  </si>
  <si>
    <t>Mr. Mohammed Ali serves as Chief Executive Officer at Arabian United Float Glass. He brings experience from previous roles at SABIC. He holds a B.Sc in Chemical Engineering @ King Fahd University of Petroleum &amp; Minerals, with a robust skill set that includes Plastics, International Sales, Polymers, Factory, Petrochemical and more.</t>
  </si>
  <si>
    <t>mohammed@aufgc.com</t>
  </si>
  <si>
    <t>Al Thumama Road</t>
  </si>
  <si>
    <t>13316 P.O. Box, All Rabie District</t>
  </si>
  <si>
    <t>325987-93P</t>
  </si>
  <si>
    <t>Mohammed Ali Darweesh</t>
  </si>
  <si>
    <t>Ali Darweesh</t>
  </si>
  <si>
    <t>Mr. Mohammed Ali Darweesh serves as Chief Financial Officer at East Pipes Integrated.</t>
  </si>
  <si>
    <t>+966 (0)13 861 6801</t>
  </si>
  <si>
    <t>297570-52P</t>
  </si>
  <si>
    <t>Mohammed Alkhubani</t>
  </si>
  <si>
    <t>Alkhubani</t>
  </si>
  <si>
    <t>Nahdi Medical</t>
  </si>
  <si>
    <t>Mr. Mohammed Alkhubani serves as Chief Financial Officer at Nahdi Medical.</t>
  </si>
  <si>
    <t>mohammed.a@nahdi.sa</t>
  </si>
  <si>
    <t>King Abdallah Rd</t>
  </si>
  <si>
    <t>Al Nakheel</t>
  </si>
  <si>
    <t>23241</t>
  </si>
  <si>
    <t>339734-98P</t>
  </si>
  <si>
    <t>Mohammed Alkulaib</t>
  </si>
  <si>
    <t>Alkulaib</t>
  </si>
  <si>
    <t>Mr. Mohammed Alkulaib serves as Chief Financial Officer at Arriyadh Development Company since June 2022. He joined ARDCO with more than 19 years of experience in the financial field in the manufacturing sectors working with several entities including STC, the Arabian Oil Company (Aramco), the Saudi Basic Industries Corporation (SABIC) and ARASCO. He started his career in 2003 in the accounting sector, at STC. Then he moved to the Arabian Oil Company (Aramco) as a Cost Compliance Analyst until 2003. Then he moved to the Saudi Basic Industries Corporation (SABIC) and rose to become Senior Manager of Finance. Then he assumed the position of Chief Financial Officer of ARASCO, a publicly listed company. On the academic level, he holds a Bachelor's degree in Business Administration, majoring in accounting, from King Faisal University in 2003. He also obtained a Master's degree in Business Administration, majoring in accounting, from Murray State University, as well as a CMA certificate for management accounting.</t>
  </si>
  <si>
    <t>Murray State University</t>
  </si>
  <si>
    <t>mohammed@riyadh.dev</t>
  </si>
  <si>
    <t>382780-81P</t>
  </si>
  <si>
    <t>Mohammed Alshowair</t>
  </si>
  <si>
    <t>Alshowair</t>
  </si>
  <si>
    <t>Mr. Mohammed Alshowair serves as Chief Operating Officer at Saudi Industrial Export.</t>
  </si>
  <si>
    <t>mohammedalshowair@siec.com.sa</t>
  </si>
  <si>
    <t>484423-12P</t>
  </si>
  <si>
    <t>Mohammed AlShuhail</t>
  </si>
  <si>
    <t>AlShuhail</t>
  </si>
  <si>
    <t>As Executive Vice President of Foodservice at Almarai, he spearheaded the establishment of the company's B2B business unit across the GCC. He also served as CEO of Al Safi Dairy Company and CEO of the International Pediatric Nutrition Company, among other roles at SABIC and other prominent corporations. He holds a Bachelor's degree in Marketing from King Fahd University of Petroleum and Minerals and an Executive MBA from London Business School.</t>
  </si>
  <si>
    <t>malshuhail@catrion.com</t>
  </si>
  <si>
    <t>340453-72P</t>
  </si>
  <si>
    <t>Mohammed Dhalaan</t>
  </si>
  <si>
    <t>Dhalaan</t>
  </si>
  <si>
    <t>Ali Al</t>
  </si>
  <si>
    <t>Keir International</t>
  </si>
  <si>
    <t>Mr. Mohammed Dhalaan is the Founder &amp; serves as Chairman at Keir International. Mr. Dhalaan has more than 30 years of professional work and experiences as a leader primarily in the telecommunications field and specifically in Sales, Marketing, Public Affairs (including competitor and market intelligence gathering/analysis), Public Relations (including corporate, employee and market communications, media relations and brand management/advertising, customer relations and corporate citizenship philanthropy), corporate planning, contracts management and executive management/administration.</t>
  </si>
  <si>
    <t>+966 (0)11 494 0999</t>
  </si>
  <si>
    <t>mdhalaan@keir.com.sa</t>
  </si>
  <si>
    <t>Building 67, Area 632</t>
  </si>
  <si>
    <t>6678 Wag Valley, Al Malga District</t>
  </si>
  <si>
    <t>13524-3744</t>
  </si>
  <si>
    <t>385550-56P</t>
  </si>
  <si>
    <t>Mohammed En-Nunu</t>
  </si>
  <si>
    <t>En-Nunu</t>
  </si>
  <si>
    <t>Munzer</t>
  </si>
  <si>
    <t>Chief Financial Officer &amp; Director, Finance &amp; fiannce Controller</t>
  </si>
  <si>
    <t>Mr. Mohammed En-Nunu serves as Chief Financial Officer &amp; Director, Finance &amp; fiannce Controller at Middle East Specialized Cables.</t>
  </si>
  <si>
    <t>424442-98P</t>
  </si>
  <si>
    <t>Mohammed Fahad Alshehhi</t>
  </si>
  <si>
    <t>Fahad Alshehhi</t>
  </si>
  <si>
    <t>Alshehili Company</t>
  </si>
  <si>
    <t>Vice Chairman &amp; Chief Executive Officer</t>
  </si>
  <si>
    <t>Mr. Mohammed Fahad Alshehhi serves as Vice Chairman and Chief Executive Officer at Alshehili Company. Mr. Al-Shahili was appointed as Deputy General Manager of Al-Shahili Metal Industries Company in 2015. Mohammed Al-Shahili has extensive experience in the field of management for more than 10 years, and has a strong background in the industrial sector, business strategies and regulatory policies. Mohammed Al-Shahili has held several positions, the most important of which is the General Manager for 3 years between 2020 and 2023. During this period, he was able to increase and raise the company's performance and take a larger market share. He currently holds the position of CEO and Vice Chairman of the Board of Directors. Mohammed Al-Shahili holds a Bachelor's degree in Business Administration, specializing in Financial Management, from Dar Al-Uloom University 2017.</t>
  </si>
  <si>
    <t>+966 (0)92 001 0000</t>
  </si>
  <si>
    <t>4699 Al-Tenhat Street</t>
  </si>
  <si>
    <t>7288 Al-Manakh District</t>
  </si>
  <si>
    <t>14314</t>
  </si>
  <si>
    <t>273670-66P</t>
  </si>
  <si>
    <t>Mohammed Gadhi</t>
  </si>
  <si>
    <t>Gadhi</t>
  </si>
  <si>
    <t>Mr. Mohammed Gadhi serves as Co-Chief Executive Officer at Allied Cooperative Insurance Group.</t>
  </si>
  <si>
    <t>424103-41P</t>
  </si>
  <si>
    <t>Mohammed Hamoud Al-Hamoud</t>
  </si>
  <si>
    <t>Hamoud Al-Hamoud</t>
  </si>
  <si>
    <t>Arabica Star</t>
  </si>
  <si>
    <t>Mr. Mohammed Hamoud Al-Hamoud serves as Chief Executive Officer and Managing Director at Arabica Star.</t>
  </si>
  <si>
    <t>mal-hamoud@arabicastar.com</t>
  </si>
  <si>
    <t>Al-Qassim, Saudi Arabia</t>
  </si>
  <si>
    <t>326158-03P</t>
  </si>
  <si>
    <t>Mohammed Khashabah</t>
  </si>
  <si>
    <t>Khashabah</t>
  </si>
  <si>
    <t>Mahmoud Abu</t>
  </si>
  <si>
    <t>Mr. Mohammed Khashabah serves as Chief Financial Officer at Banan Real Estate.</t>
  </si>
  <si>
    <t>328182-94P</t>
  </si>
  <si>
    <t>Mohammed Moati</t>
  </si>
  <si>
    <t>Moati</t>
  </si>
  <si>
    <t>Abdullah Saad Abo</t>
  </si>
  <si>
    <t>Mr. Mohammed Moati serves as Chief Executive Officer &amp; Executive Director at Abdullah Saad Mohammed.</t>
  </si>
  <si>
    <t>446258-35P</t>
  </si>
  <si>
    <t>Mohammed Rubaian</t>
  </si>
  <si>
    <t>Rubaian</t>
  </si>
  <si>
    <t>Abdullah Abdulrahman Al</t>
  </si>
  <si>
    <t>Mr. Mohammed Rubaian serves as Chief Financial Officer at Axelerated Solutions for Information and Communication Technology.</t>
  </si>
  <si>
    <t>385711-66P</t>
  </si>
  <si>
    <t>Mohammed Shakhouri</t>
  </si>
  <si>
    <t>Shakhouri</t>
  </si>
  <si>
    <t>Tenaris Saudi Steel Pipes</t>
  </si>
  <si>
    <t>Chief Financial Officer and Finance &amp; Administration Director</t>
  </si>
  <si>
    <t>Mr. Mohammed Shakhouri serves as Chief Financial Officer and Finance &amp; Administration Director at Tenaris Saudi Steel Pipes.</t>
  </si>
  <si>
    <t>+966 (0)13 812 2222</t>
  </si>
  <si>
    <t>mohammed@sspipe.com</t>
  </si>
  <si>
    <t>39th Street, Second Industrial City</t>
  </si>
  <si>
    <t>PO Box: 11680</t>
  </si>
  <si>
    <t>31463</t>
  </si>
  <si>
    <t>145289-80P</t>
  </si>
  <si>
    <t>Mohammed Sultan Al-Subaie</t>
  </si>
  <si>
    <t>Al-Subaie</t>
  </si>
  <si>
    <t>Mohammed Sultan</t>
  </si>
  <si>
    <t>Mouwasat Medical Services</t>
  </si>
  <si>
    <t>Mr. Mohammed Sultan Al-Subaie serves as Chairman of the Board at Mouwasat Medical Services.</t>
  </si>
  <si>
    <t>+966 (0)13 820 0000</t>
  </si>
  <si>
    <t>P.O. Box 7011</t>
  </si>
  <si>
    <t>Block 71 - King Fahad Road</t>
  </si>
  <si>
    <t>+966 (0)13 820 3436</t>
  </si>
  <si>
    <t>339957-64P</t>
  </si>
  <si>
    <t>Mohammed Tantawi</t>
  </si>
  <si>
    <t>Tantawi</t>
  </si>
  <si>
    <t>Mr. Mohammed Tantawi serves as Group Chief Financial Officer at Batic Investments and Logistics. Mr. Tantawi holds a bachelor's degree in accounting from Benha University and holds several certificates in accounting the most important of which are the Saudi Fellowship Certificate for Certified Public Accountants (SOCPA) and the International Financial Reporting Standards Certificate. He is a core member of the Saudi Organization for Auditors and Accountants. He holds the Best Financial CEO Award for the years 2022 and 2023 for the sector. Logistician in Saudi Arabia, he has more than 17 years of experience in all areas of accounting, managing company budgets, analyzing financial data and information, managing cash flows, and helping to improve efficiencies and reduce costs.</t>
  </si>
  <si>
    <t>339389-29P</t>
  </si>
  <si>
    <t>Mohammed Tokhy</t>
  </si>
  <si>
    <t>Tokhy</t>
  </si>
  <si>
    <t>Najah</t>
  </si>
  <si>
    <t>Mr. Mohammed Tokhy serves as Chief Financial Officer at Al Babtain Power and Telecommunications.</t>
  </si>
  <si>
    <t>najah@al-babtain.com.sa</t>
  </si>
  <si>
    <t>382769-83P</t>
  </si>
  <si>
    <t>Mohammed Yanouri</t>
  </si>
  <si>
    <t>Yanouri</t>
  </si>
  <si>
    <t>Mr. Mohammed Yanouri serves as Chief Executive Officer at Canadian Medical Center. Mr. Yanouri, a British national, has over 25 years of experience in business and medical projects both locally and internationally. He has held key positions as Planning Director at Saad Specialist Hospital, CEO of Medical Rescue and General Manager of Healthcare at Rushaid/International SOS. He holds a master's degree in healthcare management from the United Kingdom.</t>
  </si>
  <si>
    <t>myanouri@canadian-mc.com</t>
  </si>
  <si>
    <t>385228-18P</t>
  </si>
  <si>
    <t>Mohanna Almoaibed</t>
  </si>
  <si>
    <t>Almoaibed</t>
  </si>
  <si>
    <t>Mohanna</t>
  </si>
  <si>
    <t>Mr. Abdulla Moaibed is the Founder of Basic Chemical Industries.</t>
  </si>
  <si>
    <t>342023-77P</t>
  </si>
  <si>
    <t>Mohannad Al Desouki</t>
  </si>
  <si>
    <t>Al Desouki</t>
  </si>
  <si>
    <t>Mohannad</t>
  </si>
  <si>
    <t>Mr. Mohannad Al Desouki serves as Chief Financial Officer at Walaa Cooperative Insurance.</t>
  </si>
  <si>
    <t>mohannad.d@walaa.com</t>
  </si>
  <si>
    <t>339333-76P</t>
  </si>
  <si>
    <t>Mohannad Badkook</t>
  </si>
  <si>
    <t>Badkook</t>
  </si>
  <si>
    <t>Mr. Mohannad Badkook serves as Chief Operating Officer at Chubb Arabia Cooperative Insurance.</t>
  </si>
  <si>
    <t>Cass Business School, Bentley University, Suffolk University</t>
  </si>
  <si>
    <t>mohannad.badkook@chubb.com</t>
  </si>
  <si>
    <t>397284-13P</t>
  </si>
  <si>
    <t>Mohd Syahrul Ishak</t>
  </si>
  <si>
    <t>Ishak</t>
  </si>
  <si>
    <t>Mohd Syahrul</t>
  </si>
  <si>
    <t>Mr. Mohd Syahrul Ishak serves as Chief Executive Officer at Al Rajhi Banking and Investment.</t>
  </si>
  <si>
    <t>442808-74P</t>
  </si>
  <si>
    <t>Mohnish Rikhy</t>
  </si>
  <si>
    <t>Rikhy</t>
  </si>
  <si>
    <t>Mohnish</t>
  </si>
  <si>
    <t>Mr. Mohnish Rikhy serves as Chief Executive Officer &amp; President at United Carton Industries Company.</t>
  </si>
  <si>
    <t>397846-81P</t>
  </si>
  <si>
    <t>Mohsen Elhefnawy</t>
  </si>
  <si>
    <t>Elhefnawy</t>
  </si>
  <si>
    <t>Mohsen</t>
  </si>
  <si>
    <t>Gamal Eldin</t>
  </si>
  <si>
    <t>Chief Financial Officer and Director of Finance</t>
  </si>
  <si>
    <t>Mr. Mohsen Elhefnawy serves as Chief Financial Officer and Director of Finance at Sumou Real Estate.</t>
  </si>
  <si>
    <t>melhefnawy@sumou.com.sa</t>
  </si>
  <si>
    <t>458718-58P</t>
  </si>
  <si>
    <t>Montasser Samy</t>
  </si>
  <si>
    <t>Samy</t>
  </si>
  <si>
    <t>Montasser</t>
  </si>
  <si>
    <t>Mr. Montasser Samy serves as Chief Operating Officer at ADES International Holding. He started his career in the field of Fracturing &amp; Stimulation in Schlumberger and has held different leadership roles across Europe, the Middle East, Russia &amp; the US. His last role in SLB was as the Global VP of Integrated Production Services based out of the UK. He has also held the roles of Vice President of Well Services for the Middle East &amp; Asia and Vice President of Deepwater Well Integrity. He holds a bachelor's degree in Mechanical Engineering from the American University in Cairo.</t>
  </si>
  <si>
    <t>The American University in Cairo</t>
  </si>
  <si>
    <t>montasser.samy@adesgroup.com</t>
  </si>
  <si>
    <t>Al Zamil House, Prince Turki Road</t>
  </si>
  <si>
    <t>Al Corniche</t>
  </si>
  <si>
    <t>484585-48P</t>
  </si>
  <si>
    <t>Monther Al-Sorayai</t>
  </si>
  <si>
    <t>Al-Sorayai</t>
  </si>
  <si>
    <t>Monther</t>
  </si>
  <si>
    <t>Mohammed Abdullah</t>
  </si>
  <si>
    <t>Mr. Monther Al-Sorayai serves as Chief Executive Officer at Naseej International Trading.</t>
  </si>
  <si>
    <t>malsorayai@al-sorayai.com</t>
  </si>
  <si>
    <t>399582-82P</t>
  </si>
  <si>
    <t>Mostafa Maghawry</t>
  </si>
  <si>
    <t>Maghawry</t>
  </si>
  <si>
    <t>Mostafa</t>
  </si>
  <si>
    <t>Al Majed Oud</t>
  </si>
  <si>
    <t>Executive assistant Chief Financial Officer</t>
  </si>
  <si>
    <t>Mr. Mostafa Maghawry serves as Executive assistant Chief Financial Officer at Al Majed Oud.</t>
  </si>
  <si>
    <t>+966 (0)92 002 0088</t>
  </si>
  <si>
    <t>m.maghawry@almajed4oud.com</t>
  </si>
  <si>
    <t>Al Sahafa</t>
  </si>
  <si>
    <t>13321</t>
  </si>
  <si>
    <t>393243-22P</t>
  </si>
  <si>
    <t>Muhammad Al-Hawi</t>
  </si>
  <si>
    <t>Al-Hawi</t>
  </si>
  <si>
    <t>Umm Al Qura Cement Company</t>
  </si>
  <si>
    <t>Mr. Muhammad Al-Hawi serves as Chief Executive Officer at Umm Al Qura Cement Company. Mr. Al-Hawi's extensive experience in the cement industry spans more than 30 years. in Mechanical Engineering from King Fahd University of Petroleum and Minerals in 1989.</t>
  </si>
  <si>
    <t>+966 (0)11 487 4477</t>
  </si>
  <si>
    <t>m.alhawi@uacc.com.sa</t>
  </si>
  <si>
    <t>King Abdulaziz Road. Al</t>
  </si>
  <si>
    <t>Sahafa District</t>
  </si>
  <si>
    <t>326398-33P</t>
  </si>
  <si>
    <t>Muhammad Al-Manhrawi</t>
  </si>
  <si>
    <t>Al-Manhrawi</t>
  </si>
  <si>
    <t>Hamdi</t>
  </si>
  <si>
    <t>Watani Iron Steel</t>
  </si>
  <si>
    <t>Mr. Muhammad Al-Manhrawi serves as Chief Financial Officer at Watani Iron Steel.</t>
  </si>
  <si>
    <t>+966 (0)11 252 4444</t>
  </si>
  <si>
    <t>mmanhrawi@wataniasteel.com</t>
  </si>
  <si>
    <t>Riyadh Heet Alkharj Road P.O. 355355</t>
  </si>
  <si>
    <t>11383</t>
  </si>
  <si>
    <t>+966 (0)11 252 4401</t>
  </si>
  <si>
    <t>344047-87P</t>
  </si>
  <si>
    <t>Muhammad Bin Abdulrahman Alagil</t>
  </si>
  <si>
    <t>Muhammad Bin</t>
  </si>
  <si>
    <t>Mr. Muhammad Bin Abdulrahman Alagil serves as Non-Executive Chairman at Jarir Bookstore.</t>
  </si>
  <si>
    <t>422953-57P</t>
  </si>
  <si>
    <t>Muhammad Haddad</t>
  </si>
  <si>
    <t>Haddad</t>
  </si>
  <si>
    <t>Muhammad Haddad serves as Chief Financial Officer at Abdul Aziz Al-Tuwaijri.</t>
  </si>
  <si>
    <t>mh@altwijri.com</t>
  </si>
  <si>
    <t>460438-39P</t>
  </si>
  <si>
    <t>Muhammad Namazi</t>
  </si>
  <si>
    <t>Namazi</t>
  </si>
  <si>
    <t>Issa Yahya</t>
  </si>
  <si>
    <t>Mr. Muhammad Issa Yahya Namazi serves as Chief Executive Officer and Board Member at Wajd Life Trading.</t>
  </si>
  <si>
    <t>379212-13P</t>
  </si>
  <si>
    <t>Muhammad Suleiman</t>
  </si>
  <si>
    <t>Ibrahim Muhammad</t>
  </si>
  <si>
    <t>Mr. Muhammad Suleiman serves as Co-Chief Financial Officer at Sinad Holding.</t>
  </si>
  <si>
    <t>484723-72P</t>
  </si>
  <si>
    <t>Muhammed Mehmood</t>
  </si>
  <si>
    <t>Mehmood</t>
  </si>
  <si>
    <t>Muhammed</t>
  </si>
  <si>
    <t>Mr. Muhammed Mehmood serves as Chief Financial Officer at Almunajem Foods. Before joining Almunajem, he held the position of financial controller in the Olayan Group's General Trading Company for two and a half years. He also worked for Deloitte &amp; Touche as an external auditor in the Kingdom of Saudi Arabia, Pakistan, and Qatar for more than 10 years. He holds membership as a certified accountant in the Association of Certified Public Accountants issued by the British Association of Certified Public Accountants (ACCA).</t>
  </si>
  <si>
    <t>muhammedm@almunajemfoods.com</t>
  </si>
  <si>
    <t>341620-57P</t>
  </si>
  <si>
    <t>Muhannad Alshqar</t>
  </si>
  <si>
    <t>Alshqar</t>
  </si>
  <si>
    <t>Muhannad</t>
  </si>
  <si>
    <t>Chief Financial Officer &amp; Financial Manager</t>
  </si>
  <si>
    <t>Mr. Muhannad Alshqar serves as Chief Financial Officer &amp; Financial Manager at Saudi Advanced Industries.</t>
  </si>
  <si>
    <t>442167-40P</t>
  </si>
  <si>
    <t>Murad Rabie</t>
  </si>
  <si>
    <t>Rabie</t>
  </si>
  <si>
    <t>Murad</t>
  </si>
  <si>
    <t>Afif Saleh Abu</t>
  </si>
  <si>
    <t>Mr. Murad Rabie serves as Chief Financial Officer at Al Ashghal Almoysra.</t>
  </si>
  <si>
    <t>mrabie@ashamco.net.sa</t>
  </si>
  <si>
    <t>472882-60P</t>
  </si>
  <si>
    <t>Musaab Bassem Fakhri Afaneh</t>
  </si>
  <si>
    <t>Fakhri Afaneh</t>
  </si>
  <si>
    <t>Musaab Bassem</t>
  </si>
  <si>
    <t>Mr. Musaab Bassem Fakhri Afaneh serves as Co-Chief Financial Officer at Advance International (Saudi Arabia).</t>
  </si>
  <si>
    <t>457655-41P</t>
  </si>
  <si>
    <t>Musaad AlQfari</t>
  </si>
  <si>
    <t>AlQfari</t>
  </si>
  <si>
    <t>Musaad</t>
  </si>
  <si>
    <t>Abdulrahman Abdulaziz</t>
  </si>
  <si>
    <t>Mr. Musaad AlQfari serves as Chief Executive Officer &amp; Managing Director at Marketing Home Group For Trading.</t>
  </si>
  <si>
    <t>283107-79P</t>
  </si>
  <si>
    <t>Musaed Al-Dawood</t>
  </si>
  <si>
    <t>Musaed</t>
  </si>
  <si>
    <t>Mr. Musaeid Abdulaziz Aldawood, Current Jobs - Undersecretary for Support Services - Ministry of Human Resources. Former Jobs - Vice Chairman of Operating Sector - Riyadh Airports Company - KSA. Qualifications - Bachelor of Computer Science in Information Systems, King Saud University 1999. Experiences - Director of the Knowledge Management Center, the General Authority for Tourism and Antiquities, KSA from 2003 to 2008.; CEO of Najm Insurance Services from 2008 to 2011. CEO of Tamam Facilities Cleaning and Maintenance Services from 2011 to 2017.; Vice President of Operating Sector - Riyadh Airports Company.</t>
  </si>
  <si>
    <t>398287-36P</t>
  </si>
  <si>
    <t>Mustafa Hussein Abdel Majeed Abu Qarwa</t>
  </si>
  <si>
    <t>Majeed Abu Qarwa</t>
  </si>
  <si>
    <t>Mustafa Hussein Abdel</t>
  </si>
  <si>
    <t>Mr. Mustafa Hussein Abdel Majeed Abu Qarwa serves as Chief Financial Officer at Neft Alsharq For Chemical Industry.</t>
  </si>
  <si>
    <t>m.majeedabuqarwa@neftalsharq.com</t>
  </si>
  <si>
    <t>322026-40P</t>
  </si>
  <si>
    <t>Mutaz AlAzzawi</t>
  </si>
  <si>
    <t>AlAzzawi</t>
  </si>
  <si>
    <t>Mutaz</t>
  </si>
  <si>
    <t>Kusai</t>
  </si>
  <si>
    <t>Vice-Chairman of the Board, Chairman of the Nomination and Compensation Committee, and Member of the Executive Committee</t>
  </si>
  <si>
    <t>Mr. Mutaz AlAzzawi serves as Vice-Chairman of the Board, Chairman of the Nomination and Compensation Committee, and Member of the Executive Committee at Riyad Bank. Mr. AlAzzawi has years of experience in business, commerce, and investment in the financial markets. Mr. AlAzzawi is currently the Chairman of Herfy Food Services Co., the CEO &amp; member of the Board of Directors of Saudi Industrial Construction &amp; Engineering Project Co. Ltd., Saudi Trading &amp; Technology Co.Ltd, and AlWusataa Development Co. He is a member of the Board of Directors of various companies, including Savola Group, Arabian Cement Co., Etihad Etisalat Co. (Mobily), Savola foods, United Sugar Co., and Afia Int'l Co. KSA. He holds a Bachelor's degree in Computer Engineering from King Saud University</t>
  </si>
  <si>
    <t>339317-11P</t>
  </si>
  <si>
    <t>Muwaffaq Mubarah</t>
  </si>
  <si>
    <t>Mubarah</t>
  </si>
  <si>
    <t>Muwaffaq</t>
  </si>
  <si>
    <t>Mr. Muwaffaq Mubarah serves as Chief Executive Officer &amp; Board Member at Abdullah Al Othaim Markets.</t>
  </si>
  <si>
    <t>410017-96P</t>
  </si>
  <si>
    <t>Muzamil Omar</t>
  </si>
  <si>
    <t>Muzamil</t>
  </si>
  <si>
    <t>AbdulWahab Sayed Ahmed</t>
  </si>
  <si>
    <t>Mr. Muzamil Omar serves as Chief Financial Officer at Al Majed Oud.</t>
  </si>
  <si>
    <t>momar@almajed4oud.com</t>
  </si>
  <si>
    <t>342013-96P</t>
  </si>
  <si>
    <t>Nabil Al-Amir</t>
  </si>
  <si>
    <t>Al-Amir</t>
  </si>
  <si>
    <t>Nabil</t>
  </si>
  <si>
    <t>United Wire Factories</t>
  </si>
  <si>
    <t>Mr. Nabil Al-Amir serves as Chief Executive Officer at United Wire Factories. Mr. Nabil Al-Amir holds a Bachelor's degree with honors in Industrial Management (Marketing) from King Fahd University of Petroleum and Minerals in 1990.</t>
  </si>
  <si>
    <t>+966 (0)11 265 5556</t>
  </si>
  <si>
    <t>P.O.Box 355208</t>
  </si>
  <si>
    <t>Second Industrial City - Kharj Road</t>
  </si>
  <si>
    <t>+966 (0)11 265 1668</t>
  </si>
  <si>
    <t>410029-84P</t>
  </si>
  <si>
    <t>Nader Al-Omari</t>
  </si>
  <si>
    <t>Al-Omari</t>
  </si>
  <si>
    <t>Hassan Atallah</t>
  </si>
  <si>
    <t>First Avenue Real Estate</t>
  </si>
  <si>
    <t>Mr. Nader Hassan Atallah Al-Omari serves as Chief Executive Officer at First Avenue Real Estate Development.</t>
  </si>
  <si>
    <t>+966 (0)57 111 2009</t>
  </si>
  <si>
    <t>Prince Turki Al Awwal Road</t>
  </si>
  <si>
    <t>P.O. Box 6314</t>
  </si>
  <si>
    <t>385679-08P</t>
  </si>
  <si>
    <t>Nadir Al-Koraya</t>
  </si>
  <si>
    <t>Al-Koraya</t>
  </si>
  <si>
    <t>Nadir</t>
  </si>
  <si>
    <t>S</t>
  </si>
  <si>
    <t>Mr. Nadir Al-Koraya serves as Chief Executive Officer at Riyad Bank. He was part of the core team that led Riyad Banks' transformation into one of the fastest-growing, most innovative and customer-centric banks in the region. Prior to his current role as CEO, he was the Chief Treasury and Investment Officer, where he led the end-to-end transformation of the bank funding, capital, ALM, product innovation and investment functions, driving Riyad Bank's exceptional growth. He has over 30 years of experience in KSA and global financial markets, starting his career at Samba Financial Group within the Treasury management. After spending 20 years in various roles at Samba, he then took over as Chief Treasury and Investment Officer at Riyad Bank in 2014. In addition to his leadership role in Riyad Bank, he is the Board Chairman of Jeel Innovation Digital Company, a Board member of Riyad Capital and a member of Mastercard Middle East &amp; Africa Advisory Board. He earned his Bachelor of Science in Civil Engineering and MBA from California State University at Fullerton. In addition, he has attended various leadership and financial market development programs at Harvard Business School, IMD, JP Morgan, UBS and Citibank.</t>
  </si>
  <si>
    <t>California State University, Fullerton</t>
  </si>
  <si>
    <t>nalkoraya@riyadbank.com</t>
  </si>
  <si>
    <t>328634-11P</t>
  </si>
  <si>
    <t>Najah Elossily</t>
  </si>
  <si>
    <t>Elossily</t>
  </si>
  <si>
    <t>Mr. Najah Elossily serves as Chief Financial Officer at Thob Al Aseel.</t>
  </si>
  <si>
    <t>nasele@alaseel.com</t>
  </si>
  <si>
    <t>326242-27P</t>
  </si>
  <si>
    <t>Najeb Humaid</t>
  </si>
  <si>
    <t>Humaid</t>
  </si>
  <si>
    <t>Najeb</t>
  </si>
  <si>
    <t>Hamad Mubarak Al</t>
  </si>
  <si>
    <t>Fesh Fash Snack Food Production</t>
  </si>
  <si>
    <t>Mr. Najeb Humaid serves as Chief Executive Officer &amp; Managing Director at Fesh Fash Snack Food Production.</t>
  </si>
  <si>
    <t>+966 (0)11 498 1916</t>
  </si>
  <si>
    <t>nhumaid@feshfashfood.com</t>
  </si>
  <si>
    <t>KSA Riyadh 14331-7707 Unit Number 3893 2nd Industrial City New 173 3893 KSA P.O.Box 90</t>
  </si>
  <si>
    <t>11623</t>
  </si>
  <si>
    <t>+966 (0)11 498 1451</t>
  </si>
  <si>
    <t>339332-41P</t>
  </si>
  <si>
    <t>Nasir Sheikh</t>
  </si>
  <si>
    <t>Nasir</t>
  </si>
  <si>
    <t>Mr. Nasir Sheikh serves as Chief Financial Officer at Chubb Arabia Cooperative Insurance.</t>
  </si>
  <si>
    <t>nasir.sheikh@chubb.com</t>
  </si>
  <si>
    <t>435871-81P</t>
  </si>
  <si>
    <t>Nasr Baba</t>
  </si>
  <si>
    <t>Baba</t>
  </si>
  <si>
    <t>Nasr</t>
  </si>
  <si>
    <t>Aldin</t>
  </si>
  <si>
    <t>Saudi Enaya Cooperative Insurance</t>
  </si>
  <si>
    <t>Acting Chief Executive Officer &amp; Chief Financial Officer</t>
  </si>
  <si>
    <t>Mr. Nasr Baba serves as Acting Chief Executive Officer &amp; Chief Financial Officer at Saudi Enaya Cooperative Insurance.</t>
  </si>
  <si>
    <t>+966 (0)92 000 4121</t>
  </si>
  <si>
    <t>nasraldin.baba@saudienaya.com</t>
  </si>
  <si>
    <t>7521 Al Fakher</t>
  </si>
  <si>
    <t>Al Khalidiya</t>
  </si>
  <si>
    <t>23423</t>
  </si>
  <si>
    <t>252961-39P</t>
  </si>
  <si>
    <t>Nasser Al-Subeaei</t>
  </si>
  <si>
    <t>Al-Subeaei</t>
  </si>
  <si>
    <t>Mr. Nasser Al-Subeaei serves as Chairman of the Board and Chairman of the Executive Committee at Bank Albilad.</t>
  </si>
  <si>
    <t>na@bankalbilad.com</t>
  </si>
  <si>
    <t>340449-76P</t>
  </si>
  <si>
    <t>Nasser Alagil</t>
  </si>
  <si>
    <t>Alagil</t>
  </si>
  <si>
    <t>Chief Operating Officer &amp; Board Member</t>
  </si>
  <si>
    <t>Mr. Nasser Alagil serves as Chief Operating Officer &amp; Board Member at Jarir Bookstore.</t>
  </si>
  <si>
    <t>nalagil@jarir.com</t>
  </si>
  <si>
    <t>145289-71P</t>
  </si>
  <si>
    <t>Nasser Sultan Al-Subaie</t>
  </si>
  <si>
    <t>Nasser Sultan</t>
  </si>
  <si>
    <t>Fahed</t>
  </si>
  <si>
    <t>Mr. Nasser Sultan Al-Subaie serves as Chief Executive Officer &amp; Vice Chairman at Mouwasat Medical Services.</t>
  </si>
  <si>
    <t>316146-61P</t>
  </si>
  <si>
    <t>Nathir Mohammed Hasan Al-Jishi</t>
  </si>
  <si>
    <t>Al-Jishi</t>
  </si>
  <si>
    <t>Nathir Mohammed Hasan</t>
  </si>
  <si>
    <t>Mr. Nathir Mohammed Hasan Al-Jishi serves as Chief Executive Officer at Naba Alsaha Medical Services.</t>
  </si>
  <si>
    <t>377464-42P</t>
  </si>
  <si>
    <t>Nawaf Mishari Fahd Al-Walan</t>
  </si>
  <si>
    <t>Al-Walan</t>
  </si>
  <si>
    <t>Nawaf Mishari Fahd</t>
  </si>
  <si>
    <t>Chief Financial Officer &amp; Manager of Shared Services</t>
  </si>
  <si>
    <t>Mr. Nawaf Mishari Fahd Al-Walan serves as Chief Financial Officer &amp; Manager of Shared Services at Pan Gulf Marketing.</t>
  </si>
  <si>
    <t>339945-58P</t>
  </si>
  <si>
    <t>Nayef bin Abdul Karim</t>
  </si>
  <si>
    <t>Nayef bin Abdul</t>
  </si>
  <si>
    <t>Karim Al Abdul</t>
  </si>
  <si>
    <t>Mr. Nayef bin Abdul Karim serves as Chief Executive Officer &amp; Managing Director at Bank AlJazira.</t>
  </si>
  <si>
    <t>karim.n@bankaljazira.com</t>
  </si>
  <si>
    <t>444447-46P</t>
  </si>
  <si>
    <t>Nemer Msalm</t>
  </si>
  <si>
    <t>Msalm</t>
  </si>
  <si>
    <t>Nemer</t>
  </si>
  <si>
    <t>Mr. Nemer Msalm serves as Chief Executive Officer at Al Kuzama Trading.</t>
  </si>
  <si>
    <t>442370-44P</t>
  </si>
  <si>
    <t>Nezar Banabeela</t>
  </si>
  <si>
    <t>Banabeela</t>
  </si>
  <si>
    <t>Nezar</t>
  </si>
  <si>
    <t>Mr. Nezar Banabeela serves as Chief Executive Officer at Etihad Etisalat.</t>
  </si>
  <si>
    <t>banabeela@mobily.com.sa</t>
  </si>
  <si>
    <t>446245-30P</t>
  </si>
  <si>
    <t>Obada Awad</t>
  </si>
  <si>
    <t>Obada</t>
  </si>
  <si>
    <t>Abdel Fattah</t>
  </si>
  <si>
    <t>Mr. Obada Awad serves as Chief Executive Officer at Time Entertainment.</t>
  </si>
  <si>
    <t>obada@time-entertainment.com</t>
  </si>
  <si>
    <t>282838-42P</t>
  </si>
  <si>
    <t>Obaid Al-Rasheed</t>
  </si>
  <si>
    <t>Obaid</t>
  </si>
  <si>
    <t>Mr. Obaid Al-Rasheed serves as Managing Director, Chief Executive Officer, Board Member &amp; Member of the Executive and Strategy Committees at Arab National Bank. He is Deputy CEO and Head of Retail &amp; Private Banking at ANB. He has over 27 years of experience in the banking industry in the Retail, Private, and Public Sectors, SMEs, and customer complaints and resolution departments. He is a member of key management committees (Senior Credit Committee, Asset-Liability Committee (ALCO), Business Continuity, etc.). He is the Chairman of the Board of Al Arabi Heavy Equipment Lease Company (a subsidiary), and a Board member of Saudi Home Loans (an associate), Saudi Chemical Company (Deputy Independent Chairman), and Dr. Sulaiman Al Habib Medical Services Holding Group Co.</t>
  </si>
  <si>
    <t>oalrasheed@anb.com.sa</t>
  </si>
  <si>
    <t>341594-83P</t>
  </si>
  <si>
    <t>Omar Al Omar</t>
  </si>
  <si>
    <t>Al Omar</t>
  </si>
  <si>
    <t>bin Abdullah Ibrahim</t>
  </si>
  <si>
    <t>Mr. Omar Al Omar serves as Chief Executive Officer &amp; Board Member at Qassim Cement. Mr. Al Omar holds Master of Industrial Engineering University of New Haven from USA Bachelor of Civil Engineering from University of Roger Williams United States of America.</t>
  </si>
  <si>
    <t>University of New Haven</t>
  </si>
  <si>
    <t>oalomar@qcc.com.sa</t>
  </si>
  <si>
    <t>469966-87P</t>
  </si>
  <si>
    <t>Omar Al-Jarisi</t>
  </si>
  <si>
    <t>Al-Jarisi</t>
  </si>
  <si>
    <t>Mr. Omar Al-Jarisi serves as Chairman of the Board at Tam Development.</t>
  </si>
  <si>
    <t>382332-25P</t>
  </si>
  <si>
    <t>Omar Ali Abdulrahman AlOlayan</t>
  </si>
  <si>
    <t>Abdulrahman AlOlayan</t>
  </si>
  <si>
    <t>Omar Ali</t>
  </si>
  <si>
    <t>Co-Founder, Chief Executive Officer and Board Member</t>
  </si>
  <si>
    <t>Mr. Omar AlOlayan is a Co-Founder and serves as Chief Executive Officer and Board Member at Nice one (Internet Retail). Mr. AlOlayan has held this position since 2017. In addition to his executive role, he serves as the Vice Chairman of the Board of Directors at United Nomou Holding Company, a company focused on innovation, development, and brand manufacturing in the food sector, since 2024. His leadership experience spans retail management and governance in the food industry. He holds an Bachelor's degree in Law from Mustaqbal University, earned in 2016.</t>
  </si>
  <si>
    <t>omar@niceonesa.com</t>
  </si>
  <si>
    <t>374030-29P</t>
  </si>
  <si>
    <t>Omar Alothaim</t>
  </si>
  <si>
    <t>Alothaim</t>
  </si>
  <si>
    <t>Chief Executive Officer &amp; Chief Investment Officer</t>
  </si>
  <si>
    <t>Mr. Omar Alothaim serves as Chief Executive Officer &amp; Chief Investment Officer at Mulkia Investment. Mr. Alothaim got his master's degree in finance and investments from University of Illinois at Urbana-Champaign. His experience extends to more than 10 years in the Investments practice in general. He worked on real estate investments along with investments in legal funding of commercial and real estate disputes. He also worked on private equity and venture capital investments. Mr. Al-Othaim is a (CFA Charterholder), and a member of CFA Society of Saudi Arabia. He is also a board member of joint-stock and limited-liability companies, and he is board member of OQAL Angel Investors Group.</t>
  </si>
  <si>
    <t>University of Illinois, Urbana-Champaign</t>
  </si>
  <si>
    <t>420183-73P</t>
  </si>
  <si>
    <t>Omar Hariri</t>
  </si>
  <si>
    <t>Hariri</t>
  </si>
  <si>
    <t>Talal Jamal</t>
  </si>
  <si>
    <t>Mr. Omar Hariri serves as Chief Executive Officer at SAL Saudi Logistics Services.</t>
  </si>
  <si>
    <t>omar.hariri@sal.sa</t>
  </si>
  <si>
    <t>340316-74P</t>
  </si>
  <si>
    <t>Omer Alnomany</t>
  </si>
  <si>
    <t>Alnomany</t>
  </si>
  <si>
    <t>Omer</t>
  </si>
  <si>
    <t>Chief Executive Officer &amp; Chairman</t>
  </si>
  <si>
    <t>Mr. Omer Alnomany serves as Chief Executive Officer &amp; Chairman at Solutions by STC (Systems and Information Management). Before his current role, he served as Vice President of IT at STC for 6 years. Moreover, he has more than 30 years of experience in IT services and telecommunications, of which 23 years have been at STC Group in various leadership positions. And before joining STC, he held several senior roles, including Head of Telecommunications at the Saudi Central Bank (SAMA). Currently, he has been the Board Chairman of CCC by STC and Giza Systems since June 2023. He is also a member of the Advisory Committee of the Saudi Capital Market Authority as of October 2023. In addition, he holds a bachelor's degree in computer engineering from King Saud University and is a graduate of the Senior Executive Leadership Program from Harvard University.</t>
  </si>
  <si>
    <t>Harvard University, King Saud University</t>
  </si>
  <si>
    <t>oalnomany@solutions.com.sa</t>
  </si>
  <si>
    <t>364822-84P</t>
  </si>
  <si>
    <t>Othman Alkassabi</t>
  </si>
  <si>
    <t>Alkassabi</t>
  </si>
  <si>
    <t>Mr. Othman Alkassabi serves as Chief Executive Officer at The Company for Cooperative Insurance.</t>
  </si>
  <si>
    <t>oalkassabi@tawuniya.com</t>
  </si>
  <si>
    <t>362266-30P</t>
  </si>
  <si>
    <t>Panagiotis Chatziantoniou</t>
  </si>
  <si>
    <t>Chatziantoniou</t>
  </si>
  <si>
    <t>Panagiotis</t>
  </si>
  <si>
    <t>Mr. Panagiotis Chatziantoniou serves as Chief Financial Officer at Fakeeh.Care. Panos becamea qualified accountant with PwC in Athens and soon became a senior leader inthe financial services assurance team where he advised and delivered thebiggest merger in the banking industry. Hemoved into banking sector initially as Group Finance Manager of Piraeus Bankand then he joined National Bank of Greece, a Regional leader in SE Europe with banking subsidiaries in SE Europe, US and Turkey. NBG was the largest listedentity in ATHEX with ADRs trading in NYSE. During his 10 year tenor implementeda robust IFRS and US GAAP financial reporting process compliant with SOX requirements, managed the Regulatory capital team and executed a series of M&amp;A and Debt raising transactions while progressing to Deputy Group CFO role.</t>
  </si>
  <si>
    <t>pchatziantoniou@fakeeh.care</t>
  </si>
  <si>
    <t>471265-75P</t>
  </si>
  <si>
    <t>Peter Faerber</t>
  </si>
  <si>
    <t>Faerber</t>
  </si>
  <si>
    <t>Peter</t>
  </si>
  <si>
    <t>Consolidated Grünenfelder Saady Holding</t>
  </si>
  <si>
    <t>Mr. Peter Faerber serves as Chief Executive Officer at Consolidated Grünenfelder Saady Holding. Prior experience as Managing Director UK and Global Transition Manager (post-merger integration) for the Kaba Group (now DormaKaba, total 11 years) as well as Product Manager, Sales Manager and Marketing Director within the Hilti Group (total 9 years) enable him to successfully drive growth, navigate challenges and manage risks. He started his career as Project Engineer for heating and refrigeration projects in Switzerland. He earned his Bachelor of Science degree in Economics &amp; Business Administration from an Applied Science University and his Advanced Federal Diploma in Engineering from a Higher Vocational School, both located in Zurich/Switzerland.</t>
  </si>
  <si>
    <t>University of Applied Sciences</t>
  </si>
  <si>
    <t>+966 (0)11 265 0990</t>
  </si>
  <si>
    <t>peter.faerber@cgs.com.sa</t>
  </si>
  <si>
    <t>P.O. Box 358</t>
  </si>
  <si>
    <t>Coldstores Group of Saudi Arabia</t>
  </si>
  <si>
    <t>+966 (0)11 265 1079</t>
  </si>
  <si>
    <t>396178-48P</t>
  </si>
  <si>
    <t>Petros Emmanuel</t>
  </si>
  <si>
    <t>Emmanuel</t>
  </si>
  <si>
    <t>Petros</t>
  </si>
  <si>
    <t>Leaf Global Environmental Services</t>
  </si>
  <si>
    <t>Mr. Petros Emmanuel serves as Chief Executive Officer &amp; Manager at Leaf Global Environmental Services.</t>
  </si>
  <si>
    <t>+966 (0)12 612 4171</t>
  </si>
  <si>
    <t>As Salamah District</t>
  </si>
  <si>
    <t>353128-06P</t>
  </si>
  <si>
    <t>Philip Antony</t>
  </si>
  <si>
    <t>Antony</t>
  </si>
  <si>
    <t>Philip</t>
  </si>
  <si>
    <t>Mr. Philip Antony serves as Chief Financial Officer at Dar Alarkan Real Estate Development.</t>
  </si>
  <si>
    <t>philip.antony@alarkan.com</t>
  </si>
  <si>
    <t>467686-09P</t>
  </si>
  <si>
    <t>Rabih Nahas</t>
  </si>
  <si>
    <t>Nahas</t>
  </si>
  <si>
    <t>Rabih</t>
  </si>
  <si>
    <t>Abdelkader Mounir</t>
  </si>
  <si>
    <t>Mr. Rabih Nahas serves as Chief Financial Officer at Fourth Milling.</t>
  </si>
  <si>
    <t>rnahas@mc4.com.sa</t>
  </si>
  <si>
    <t>228003-22P</t>
  </si>
  <si>
    <t>Raed al-Naeem</t>
  </si>
  <si>
    <t>al-Naeem</t>
  </si>
  <si>
    <t>bin Muhammad</t>
  </si>
  <si>
    <t>Ayyan Investment</t>
  </si>
  <si>
    <t>Mr. Raed al-Naeem serves as Chief Executive Officer at Al-Ahsa Development.</t>
  </si>
  <si>
    <t>+966 (0)13 583 2526</t>
  </si>
  <si>
    <t>ralnaeem@ahsa-dev.com.sa</t>
  </si>
  <si>
    <t>Al-Hasa, Saudi Arabia</t>
  </si>
  <si>
    <t>Post Office Box 2726, Office Number. 103, First Floor, Al-Mulhim Tower</t>
  </si>
  <si>
    <t>Al-Thuryat Road, Hufuf</t>
  </si>
  <si>
    <t>Al-Hasa</t>
  </si>
  <si>
    <t>31982</t>
  </si>
  <si>
    <t>+966 (0)13 583 2527</t>
  </si>
  <si>
    <t>483234-85P</t>
  </si>
  <si>
    <t>Raed Mudaiheem</t>
  </si>
  <si>
    <t>Mudaiheem</t>
  </si>
  <si>
    <t>Mr. Raed Mudaiheem serves as Chairman at United Mining Industries.</t>
  </si>
  <si>
    <t>raed@ugc.com.sa</t>
  </si>
  <si>
    <t>432026-47P</t>
  </si>
  <si>
    <t>Raja M. Al-Harbi</t>
  </si>
  <si>
    <t>M. Al-Harbi</t>
  </si>
  <si>
    <t>Raja</t>
  </si>
  <si>
    <t>Mr. Raja M. Al-Harbi serves as Chief Executive Officer at Arabian Company for Agricultural and Industrial Investment.</t>
  </si>
  <si>
    <t>422803-63P</t>
  </si>
  <si>
    <t>Rami Alharbi</t>
  </si>
  <si>
    <t>Rami</t>
  </si>
  <si>
    <t>Khamis Abdullah</t>
  </si>
  <si>
    <t>Balsm Alofoq Medical</t>
  </si>
  <si>
    <t>Mr. Rami Khamis Abdullah Alharbi serves as Chief Executive Officer and Managing Director at Balsm Alofoq Medical.</t>
  </si>
  <si>
    <t>ralharbi@balsmalofoq-mc.com</t>
  </si>
  <si>
    <t>Kingdom Of Suadi Arabia</t>
  </si>
  <si>
    <t>341119-99P</t>
  </si>
  <si>
    <t>Rami Jneid</t>
  </si>
  <si>
    <t>Jneid</t>
  </si>
  <si>
    <t>Jawad Mahmoud Abu</t>
  </si>
  <si>
    <t>Mr. Rami Jneid serves as Chief Financial Officer at Najran Cement.</t>
  </si>
  <si>
    <t>376419-16P</t>
  </si>
  <si>
    <t>Rami Mamdouh Mohammad</t>
  </si>
  <si>
    <t>Rami Mamdouh</t>
  </si>
  <si>
    <t>Mr. Rami Mamdouh Mohammad serves as Chief Financial Officer at Almujtama Alraida Medical.</t>
  </si>
  <si>
    <t>rmohammad@almujtama.com.sa</t>
  </si>
  <si>
    <t>326279-80P</t>
  </si>
  <si>
    <t>Rami Moussilli</t>
  </si>
  <si>
    <t>Moussilli</t>
  </si>
  <si>
    <t>Mohammed Radwan</t>
  </si>
  <si>
    <t>Alkhorayef Water &amp; Power Technologies</t>
  </si>
  <si>
    <t>Mr. Rami Moussilli serves as Chief Executive Officer at Alkhorayef Water &amp; Power Technologies.</t>
  </si>
  <si>
    <t>+966 (0)11 478 6161</t>
  </si>
  <si>
    <t>rmoussilli@awpt.com.sa</t>
  </si>
  <si>
    <t>+966 (0)11 477 5439</t>
  </si>
  <si>
    <t>329582-26P</t>
  </si>
  <si>
    <t>Ramzi Darwish</t>
  </si>
  <si>
    <t>Darwish</t>
  </si>
  <si>
    <t>Ramzi</t>
  </si>
  <si>
    <t>Chief Financial Officer &amp; Chief Strategy Officer</t>
  </si>
  <si>
    <t>Mr. Ramzi Darwish serves as Chief Financial Officer &amp; Chief Strategy Officer at Banque Saudi Fransi.</t>
  </si>
  <si>
    <t>ramzi.darwish@bsf.sa</t>
  </si>
  <si>
    <t>144076-33P</t>
  </si>
  <si>
    <t>Ramzi Zaroubi</t>
  </si>
  <si>
    <t>Zaroubi</t>
  </si>
  <si>
    <t>Mr. Ramzi Zaroubi serves as Group Chief Financial Officer at National Air Services. Previously, he was the Vice President of Finance and Strategic Planning at Royal Jet.</t>
  </si>
  <si>
    <t>rzaroubi@flynas.com</t>
  </si>
  <si>
    <t>379630-36P</t>
  </si>
  <si>
    <t>Rasheed Al Rasheed</t>
  </si>
  <si>
    <t>Rasheed</t>
  </si>
  <si>
    <t>Mr. Rasheed Al Rasheed serves as Chief Operating Officer at Avalon Pharma. He holds a Bachelor's degree in Pharmacy from King Saud University in Riyadh in 2001G. He obtained a licensing certificate in pharmacy and pharmaceutical technology from the Saudi Commission for Health Specialties in the city of Riyadh in 2003.</t>
  </si>
  <si>
    <t>rrasheed@avalonpharmaceutical.com</t>
  </si>
  <si>
    <t>339983-65P</t>
  </si>
  <si>
    <t>Ravish Tatly</t>
  </si>
  <si>
    <t>Tatly</t>
  </si>
  <si>
    <t>Ravish</t>
  </si>
  <si>
    <t>Mohammed Hussin</t>
  </si>
  <si>
    <t>Mr. Ravish Tatly serves as Chief Financial Officer at United International Transportation.</t>
  </si>
  <si>
    <t>University of Mumbai</t>
  </si>
  <si>
    <t>ravish@budgetsaudi.com</t>
  </si>
  <si>
    <t>445810-15P</t>
  </si>
  <si>
    <t>Rayan Al-Mansour</t>
  </si>
  <si>
    <t>Al-Mansour</t>
  </si>
  <si>
    <t>Rayan</t>
  </si>
  <si>
    <t>Saudi Fisheries</t>
  </si>
  <si>
    <t>Mr. Rayan Al-Mansour serves as Chief Executive Officer at Saudi Fisheries.</t>
  </si>
  <si>
    <t>+966 (0)92 000 0527</t>
  </si>
  <si>
    <t>Saudi Fish Company 8705 Nasr Bin Ghanem</t>
  </si>
  <si>
    <t>Al Malaz</t>
  </si>
  <si>
    <t>26401-2641</t>
  </si>
  <si>
    <t>+966 (0)3 859 3090</t>
  </si>
  <si>
    <t>341249-59P</t>
  </si>
  <si>
    <t>Rayan Baaqil</t>
  </si>
  <si>
    <t>Baaqil</t>
  </si>
  <si>
    <t>bin Mustafa</t>
  </si>
  <si>
    <t>Mr. Rayan Baaqil serves as Chief Financial Officer at Nama Chemicals. Mr. Baaqil has more than 14 years of experience in the field of finance, administrative and operational accounting, achieved through holding positions in several sectors such as chemical manufacturing, oil refineries, energy services, and professional consulting. He started his work in the external audit at KPMG Al Fozan &amp; Partners (KPMG). Then he joined Yanbu Aramco Sinopec Refinery Company Limited (YASREF) in various positions starting from the project stage for a period of 7 years, during which he participated in the development of financial functions, policies, systems and operations.</t>
  </si>
  <si>
    <t>University of Western Sydney</t>
  </si>
  <si>
    <t>rayan.baaqil@nama.com.sa</t>
  </si>
  <si>
    <t>317663-65P</t>
  </si>
  <si>
    <t>Rehan Masood</t>
  </si>
  <si>
    <t>Rehan</t>
  </si>
  <si>
    <t>Mr. Rehan Masood serves as Chief Financial Officer at Miahona.</t>
  </si>
  <si>
    <t>385710-22P</t>
  </si>
  <si>
    <t>Renwar Berzinji</t>
  </si>
  <si>
    <t>Berzinji</t>
  </si>
  <si>
    <t>Renwar</t>
  </si>
  <si>
    <t>Mr. Renwar Berzinji serves as Managing Director, Chief Executive Officer &amp; Board Member at Tenaris Saudi Steel Pipes.</t>
  </si>
  <si>
    <t>renwar@sspipe.com</t>
  </si>
  <si>
    <t>385685-20P</t>
  </si>
  <si>
    <t>Riyadh AlMalik</t>
  </si>
  <si>
    <t>AlMalik</t>
  </si>
  <si>
    <t>Bin Saleh</t>
  </si>
  <si>
    <t>Chief Executive Officer, Executive Committee Member &amp; Board Member</t>
  </si>
  <si>
    <t>Mr. Riyadh AlMalik serves as Chief Executive Officer, Executive Committee Member &amp; Board Member at Saudi Automotive Services.</t>
  </si>
  <si>
    <t>345122-83P</t>
  </si>
  <si>
    <t>Riyadh Alromizan</t>
  </si>
  <si>
    <t>Alromizan</t>
  </si>
  <si>
    <t>Mr. Riyadh Alromizan serves as Chief Executive Officer &amp; Board Member at Almawarid Manpower.</t>
  </si>
  <si>
    <t>ralromizan@mawarid.com.sa</t>
  </si>
  <si>
    <t>396174-52P</t>
  </si>
  <si>
    <t>Rizwan Nasrallah</t>
  </si>
  <si>
    <t>Nasrallah</t>
  </si>
  <si>
    <t>Rizwan</t>
  </si>
  <si>
    <t>Chief Financial Officer &amp; Executive Director</t>
  </si>
  <si>
    <t>Mr. Rizwan Nasrallah serves as Chief Financial Officer &amp; Executive Director at Leaf Global Environmental Services.</t>
  </si>
  <si>
    <t>396919-72P</t>
  </si>
  <si>
    <t>Roberto Bianchi</t>
  </si>
  <si>
    <t>Bianchi</t>
  </si>
  <si>
    <t>Roberto</t>
  </si>
  <si>
    <t>Mr. Roberto Bianchi serves as Chief Operating Officer at Miahona. Mr. Bianchi is a professional engineer with over thirty (30) years of experience. He joined the Company
in 2023G as Chief Operating Officer. Mr. Bianchi's international career has grown with over thirty (30) years of professional
experience in the water and waste sectors in eight (8) countries across Europe, Latin America, the Middle East and Australia.
He has successfully held senior positions in various operations and subsidiaries with performance responsibilities across
multiple entities and areas. Mr. Bianchi showcases international experience that has supported his cross-cultural management
skills. In his executive roles, Mr. Bianchi has faced challenges in operations, service transformation, capital expenditure
delivery, project planning, finance, development, contract management and negotiations. He has shown a particular
interest and demonstrated expertise in public-private partnerships (PPP) in environmental and infrastructure projects, from
initial development to tendering, delivery and operations. He is proficient in operations, service transformation, capital
expenditure delivery, project planning and development and contract management and negotiation. His professional
experience provides a deep insight of the water business and the transformational challenges facing water utilities. Mr.
Bianchi holds a Master's degree in Industrial Engineering from Politecnico di Milano, Italy, and a Master's degree in Business
Administration from the Business School, Buenos Aires, Argentina</t>
  </si>
  <si>
    <t>roberto.b@miahona.com</t>
  </si>
  <si>
    <t>409812-58P</t>
  </si>
  <si>
    <t>Rohit Chugh</t>
  </si>
  <si>
    <t>Chugh</t>
  </si>
  <si>
    <t>Rohit</t>
  </si>
  <si>
    <t>Mr. Rohit Chugh serves as Chief Executive Officer at Arabian Mills.</t>
  </si>
  <si>
    <t>471267-37P</t>
  </si>
  <si>
    <t>Ruban Bilen</t>
  </si>
  <si>
    <t>Bilen</t>
  </si>
  <si>
    <t>Ruban</t>
  </si>
  <si>
    <t>Deep Singh</t>
  </si>
  <si>
    <t>Mr. Ruban Bilen serves as Chief Financial Officer at Consolidated Grünenfelder Saady Holding. Prior to joining CGS, Ruban spent over a decade with KONE Corporation, holding key roles such as MEA Regional CFO in the UAE and Canada CFO, where he led regional finance teams and contributed to business growth across diverse geographies. Before KONE, he held several senior finance leadership positions at AECOM Technology Corporation in both Canada and the U.S., including Vice President of Operations and Senior Director roles overseeing global business lines and integration. Earlier in his career, Ruban built his financial foundation at Earth Tech Inc. and General Electric, progressing through a variety of roles in financial planning, analysis, and commercial finance. Ruban holds a Bachelor of Commerce degree from McMaster University in Hamilton, Ontario.</t>
  </si>
  <si>
    <t>ruban.bilen@cgs.com.sa</t>
  </si>
  <si>
    <t>68237-02P</t>
  </si>
  <si>
    <t>Rushdi Al-Dulaijan</t>
  </si>
  <si>
    <t>Al-Dulaijan</t>
  </si>
  <si>
    <t>Rushdi</t>
  </si>
  <si>
    <t>Mr. Rushdi Al-Dulaijan serves as Chief Financial Officer &amp; Vice President, Finance at Saudi International Petrochemical. Mr. Rushdi Al-Dulaijan served as General Manager, Finance &amp; Information Technology at Sahara Petrochemical.</t>
  </si>
  <si>
    <t>rdulaijan@sipchem.com</t>
  </si>
  <si>
    <t>391901-41P</t>
  </si>
  <si>
    <t>Ryyan Tarabzoni</t>
  </si>
  <si>
    <t>Tarabzoni</t>
  </si>
  <si>
    <t>Ryyan</t>
  </si>
  <si>
    <t>Mr. Ryyan Tarabzoni serves as the Chief Operating Officer at Bupa Arabia. Mr. Tarabzoni became the Chief Operations Officer of Bupa Arabia in 2024. Prior to his joining, 
Mr. Tarabzoni acted as the advisor to the CEO as well as the Chief Supply Chain Officer for Panda Retail, which belongs to Savola Group. Mr. Tarabzoni has a Bachelor of Science in Electrical Engineering from the University of the Pacific, California, USA. He successfully completed the Finance for Executives Program at INSEAD Business School in France, and has received a Certificate of Management Excellence from Harvard Business School, Boston, USA.</t>
  </si>
  <si>
    <t>University of the Pacific</t>
  </si>
  <si>
    <t>ryyan.tarabzoni@bupa.com.sa</t>
  </si>
  <si>
    <t>369770-59P</t>
  </si>
  <si>
    <t>Saad Al-Dughaish</t>
  </si>
  <si>
    <t>Al-Dughaish</t>
  </si>
  <si>
    <t>Mr. Saad Al-Dughaish serves as Chief Financial Officer at Arab National Bank. He has more than 20 years of experience during which he held several leadership positions in the field of financial management at Al Rajhi Bank and anb. He also serves as a member of several different management committees at anb.</t>
  </si>
  <si>
    <t>saldugish@anb.com.sa</t>
  </si>
  <si>
    <t>341003-80P</t>
  </si>
  <si>
    <t>Saad Aldrees</t>
  </si>
  <si>
    <t>Food Gate</t>
  </si>
  <si>
    <t>Mr. Saad Aldrees is the Co-Founder &amp; serves as Chief Executive Officer at Food Gate.</t>
  </si>
  <si>
    <t>+966 (0)11 263 3331</t>
  </si>
  <si>
    <t>PO Box 12018</t>
  </si>
  <si>
    <t>Al-Ghadeer District, Wadi Al-Shati Street</t>
  </si>
  <si>
    <t>+966 (0)11 419 2965</t>
  </si>
  <si>
    <t>343198-99P</t>
  </si>
  <si>
    <t>Saad AlHamidi</t>
  </si>
  <si>
    <t>AlHamidi</t>
  </si>
  <si>
    <t>AbdulMohsen</t>
  </si>
  <si>
    <t>Mr. Saad AbdulMohsen AlHamidi, Bachelor of Accounting - University of Northern Colorado - 2004 Certified Fraud Examiner (CFE) - USA - 2020. Membership in Nayifat : Chairman of the Audit Committee / Chairman of the Nomination and Remuneration Committee. Current positions: From 2022 - Member of the Board of Directors of Nayifat Finance Company (a public shareholding company operating in the finance and investment sector / inside the Kingdom) From 2015: General Manager of Advanced Time Company (a company in the investment and development sector / inside the Kingdom) Since 2019: Board Member of Al Hammadi Company (a public shareholding company operating in the investment and development sector / within the Kingdom) Since 2019: Member of the Board of Directors of Al-Baha Company (a public shareholding company operating in the investment and development sector / within the Kingdom). Previous work experience: 2009 - 2014: Compliance Manager at Amana Cooperative Insurance Company (a public shareholding company operating in the insurance sector / within the Kingdom) 2007 - 2009: Assistant Business Risk Team Leader at Ernst &amp; Young (Chartered Accountants / Inside the Kingdom) 2006 - 2007: Credit Officer at Al Rajhi Bank (a public shareholding company operating in the banking sector / inside the Kingdom) 2005 - 2006: External Auditor at PricewaterhouseCoopers (Chartered Accountants / Inside the Kingdom)</t>
  </si>
  <si>
    <t>329787-82P</t>
  </si>
  <si>
    <t>Sabri Al-Ghamdi</t>
  </si>
  <si>
    <t>Sabri</t>
  </si>
  <si>
    <t>Mr. Sabri Abdullah Al-Ghamdi, Previous Positions &amp; Experience: - Refinery Processes Engineer Saudi at Aramco. - Global Technology Licensing Manager at Saudi Arabia Basic Industries Corporation (SABIC). - Executive Director of the Center of Expertise, Global Technology Licensing and Contract at SABIC. - Chairman of Investment Committee at Global Company for Downstream Industries (GDI). - Currently is a member of Board of Directors of Hadaf International Energy Company. - Previously held Board memberships in various companies including GDI, Global Company for Chemical Industries (GCI); an affiliate of GDI, and Rufayah Chemicals Company (RCC) an affiliate of GDI. Eng. Sabri holds bachelor's degree in chemical engineering from King Fahd University of Petroleum &amp; Minerals, KSA, and specialized high level management training courses.</t>
  </si>
  <si>
    <t>410769-73P</t>
  </si>
  <si>
    <t>Saeed Alghamdi</t>
  </si>
  <si>
    <t>Mr. Saeed Alghamdi serves as Chairman of the Board of Directors at Jabal Omar Development.</t>
  </si>
  <si>
    <t>412032-43P</t>
  </si>
  <si>
    <t>Safwan Khasherif</t>
  </si>
  <si>
    <t>Khasherif</t>
  </si>
  <si>
    <t>Safwan</t>
  </si>
  <si>
    <t>Mr. Safwan Khasherif serves as Chief Financial Officer at Arabian Mills.</t>
  </si>
  <si>
    <t>339604-93P</t>
  </si>
  <si>
    <t>Sager Nadershah</t>
  </si>
  <si>
    <t>Nadershah</t>
  </si>
  <si>
    <t>Sager</t>
  </si>
  <si>
    <t>Abdul Latif</t>
  </si>
  <si>
    <t>AlJazira Takaful Taawuni</t>
  </si>
  <si>
    <t>Mr. Sager Nadershah serves as Chief Executive Officer &amp; Managing Director at AlJazira Takaful Taawuni. Mr. Nadershah, holds a Bachelor Degree in Criminal Law from US Bethune-Cookman University in 1988G. After his graduation he joined the Credit Group of the Saudi American Bank and promoted Assistant General Manager in 1996G., then he moved to the National Commercial Bank where he worked for ten years holding several leadership positions including General Director of Credit Card Marketing , Head of the Sales and Customer Relations, and then Regional Manager for the Western Region at the Retail Islamic Banking Group. In 2006G, Mr. Sager Nadershah moved to Al-Mashreq Bank in UAE holding the post of Vice President for Branches and Private Banking. He continued working for Al-Mashreq Bank till the end of 2007G., when he moved to Bank Aljazira in the post of General Manager for Retail Banking Group, he worked at the bank for four years to be appointed as Chief Executive Officer and Managing Director of Aljazira Takaful Ta'awuni Company in the second quarter of 2011G. Mr. Sager Nadershah worked as a board member of the Saudi Travellers Cheque Company (closed joint stock) in the period from 2008G. to 2011G. He is a board member of Makeen Capital since November 2012G.</t>
  </si>
  <si>
    <t>+966 (0)12 668 8877</t>
  </si>
  <si>
    <t>snadershah@aljaziratakaful.com.sa</t>
  </si>
  <si>
    <t>Hira Street, Al Salamah</t>
  </si>
  <si>
    <t>U-Zone Building</t>
  </si>
  <si>
    <t>+966 (0)12 667 7284</t>
  </si>
  <si>
    <t>342922-15P</t>
  </si>
  <si>
    <t>Said Alsaafeen</t>
  </si>
  <si>
    <t>Alsaafeen</t>
  </si>
  <si>
    <t>Said</t>
  </si>
  <si>
    <t>Mohammad Suleiman</t>
  </si>
  <si>
    <t>Mr. Mohammad Alsaafeen serves as Chief Financial Officer at Hammadi Holding. He holds MBA in Business Administration- Finance.</t>
  </si>
  <si>
    <t>418033-00P</t>
  </si>
  <si>
    <t>Sakhr Al Mulhem</t>
  </si>
  <si>
    <t>Al Mulhem</t>
  </si>
  <si>
    <t>Sakhr</t>
  </si>
  <si>
    <t>United International Holding Company</t>
  </si>
  <si>
    <t>Mr. Sakhr Al Mulhem serves as Chief Executive Officer at United International Holding Company. Mr. Al Mulhem is the Chief Executive Officer of United International Holding Company (UIHC) and member of several executive management committees with regional and global experience in the financial and banking sector in Saudi Arabia, the United States, the United Kingdom and Mexico. Prior to his appointment as CEO of UIHC, Sakhr held executive roles in the financial, insurance and aviation sectors spanning business management, development, product marketing, operations management, projects and strategic planning. He holds a Bachelor's degree in Business Administration and Marketing and an MBA from Washington International University in the United States with professional certifications from INSEAD in France and Singapore and the University of Texas, Austin.</t>
  </si>
  <si>
    <t>+966 (0)13 847 8888</t>
  </si>
  <si>
    <t>salmulhem@unitedholding.com.sa</t>
  </si>
  <si>
    <t>King Faisal Bin Abdulaziz Street</t>
  </si>
  <si>
    <t>Unit No. 8868</t>
  </si>
  <si>
    <t>Al Rawabi</t>
  </si>
  <si>
    <t>+966 (0)13 858 7799</t>
  </si>
  <si>
    <t>395268-49P</t>
  </si>
  <si>
    <t>Salah Al-Hareky</t>
  </si>
  <si>
    <t>Al-Hareky</t>
  </si>
  <si>
    <t>Salah</t>
  </si>
  <si>
    <t>Chief Financial Officer &amp; Board Audit Committee Member</t>
  </si>
  <si>
    <t>Mr. Salah Al-Hareky serves as Chief Financial Officer and Board Audit Committee Member at Saudi Basic Industries. Previously, he served as Executive Vice President, Corporate Finance at the company. Previous to his new appointment, he was the Senior Vice President and Treasurer for Saudi Aramco. Prior to this, he also held the position of Group Controller for Saudi Aramco. He has acquired extensive global experience as Managing Director of Saudi Petroleum Overseas Ltd. (SPOL) in the United Kingdom. In addition, he is also currently an active Board Member for the Aramco Trading Company, S-Oil Corporation, Saudi Aramco Development Company (SADCO), and the Wisayah Global Investment Management Company. He holds a B.S. degree in Accounting and an MBA from King Fahd University of Petroleum and Minerals.</t>
  </si>
  <si>
    <t>394694-29P</t>
  </si>
  <si>
    <t>Salah Al-Rashed</t>
  </si>
  <si>
    <t>Al-Rashed</t>
  </si>
  <si>
    <t>Mr. Salah Al-Rashed serves as Chairman of the Board of Directors, Chairman of the Executive Committee &amp; Member of the Nominations and Remunerations Committee at Arab National Bank.</t>
  </si>
  <si>
    <t>salrashed@anb.com.sa</t>
  </si>
  <si>
    <t>340981-03P</t>
  </si>
  <si>
    <t>Salah Mohammed</t>
  </si>
  <si>
    <t>Aldeen J.</t>
  </si>
  <si>
    <t>Mr. Salah Mohammed serves as Chief Financial Officer at National Building &amp; Marketing Co. Mr. Mohammed holds BA in Accounting and Finance.</t>
  </si>
  <si>
    <t>salah@nbm.com.sa</t>
  </si>
  <si>
    <t>484320-25P</t>
  </si>
  <si>
    <t>Saleem Akhtar</t>
  </si>
  <si>
    <t>Akhtar</t>
  </si>
  <si>
    <t>Saleem</t>
  </si>
  <si>
    <t>Chief Financial Officer &amp; Vice President</t>
  </si>
  <si>
    <t>Mr. Saleem Akhtar serves as Chief Financial Officer &amp; Vice President at Alujain. He previously served as Finance Manager, Khalid Ali Al-Turki Group. He holds CPA - USA and ACMA - Pakistan certifications. He has over more than 25 years of experience in Finance and Accounting.</t>
  </si>
  <si>
    <t>sakhtar@alujain.sa</t>
  </si>
  <si>
    <t>361615-06P</t>
  </si>
  <si>
    <t>Saleh al-Turki</t>
  </si>
  <si>
    <t>al-Turki</t>
  </si>
  <si>
    <t>bin Abdullah bin Muhammad</t>
  </si>
  <si>
    <t>Clean Life</t>
  </si>
  <si>
    <t>Mr. Saleh al-Turki serves as Chief Financial Officer at Clean Life. Mr. al-Turki holds a Bachelor's degree in Business Administration from King Saud University (Saudi Arabia) in 2009.</t>
  </si>
  <si>
    <t>+966 (0)92 000 4107</t>
  </si>
  <si>
    <t>Khurais road, Almanar district</t>
  </si>
  <si>
    <t>328622-23P</t>
  </si>
  <si>
    <t>Saleh Aldowais</t>
  </si>
  <si>
    <t>Aldowais</t>
  </si>
  <si>
    <t>bin Hussain</t>
  </si>
  <si>
    <t>Mr. Saleh Aldowais serves as Chief Operating Officer at Saudi Research and Media Group. Before assuming Mr. Aldowais current role, he spent 17 years in various leadership positions at SRMG companies. He is also a Board and committee member of the Saudi Printing &amp; Packaging Company. Mr. Aldowais has a bachelor's degree in translation with courses in leadership, finance and media.</t>
  </si>
  <si>
    <t>salah@srmg.com</t>
  </si>
  <si>
    <t>442203-94P</t>
  </si>
  <si>
    <t>Saleh Alhabdan</t>
  </si>
  <si>
    <t>Habdan</t>
  </si>
  <si>
    <t>Mr. Saleh Alhabdan serves as Chief Executive Officer at Jabal Omar Development.</t>
  </si>
  <si>
    <t>320486-95P</t>
  </si>
  <si>
    <t>Saleh Almunajem</t>
  </si>
  <si>
    <t>Almunajem</t>
  </si>
  <si>
    <t>Mr. Saleh Abdullah Ali Almunajem, Academic Qualifications: High school diploma from Al-Nasr School in Riyadh, in 1976G. Current Executive Positions: From 2022G, Vice Chairman of the Board of Directors of Abdullah Ali Almunajem Sons Company; From 2022G, Vice Chairman of the Board of Directors of Al Kafa'a Real Estate Company. Other Current Memberships: Since 2009G, member of the board of directors of Abdullah Ali Almunajem Sons Company; Since 2007G, member of the board of directors of Al-Kafaa Real Estate Company. Previous Executive Positions: From 1990G to 2006G, procurement and sales director at Almunajem Foods Company; From 1986G to 1990G, sales and marketing director at Almunajem Foods Company; From 1978G to 1985G, director of the Ateeqa Cold Store branch in Riyadh at Almunajem Foods Company. From 2017G to 2020G, member of the Agriculture and Food Security Committee at the Council of Saudi Chambers and the Riyadh Chamber. Other Previous Memberships: In 2013G, member of the Saudi-Moroccan Business Council. ; From 2010G to 2013G, member of the Saudi-Indian Business Council. ; From 2005G to 2008G, Chairman of the Saudi-Spanish Business Council</t>
  </si>
  <si>
    <t>372249-28P</t>
  </si>
  <si>
    <t>Saleh alTurki</t>
  </si>
  <si>
    <t>alTurki</t>
  </si>
  <si>
    <t>bin Abdullah bin Mohammed</t>
  </si>
  <si>
    <t>Mr. Saleh alTurki serves as Chief Financial Officer at Clean Life.</t>
  </si>
  <si>
    <t>467103-16P</t>
  </si>
  <si>
    <t>Saleh Ibrahim Al-Humaidhi</t>
  </si>
  <si>
    <t>Ibrahim Al-Humaidhi</t>
  </si>
  <si>
    <t>Sahat Almajd Trading</t>
  </si>
  <si>
    <t>Mr. Saleh Ibrahim Al-Humaidhi serves as Chairman of the Board at Sahat Almajd Trading.</t>
  </si>
  <si>
    <t>+966 (0)1 454 8701</t>
  </si>
  <si>
    <t>Al Takhassusi Street</t>
  </si>
  <si>
    <t>Al Ma'athar Al Shamali District</t>
  </si>
  <si>
    <t>273897-01P</t>
  </si>
  <si>
    <t>Saleh Saleh</t>
  </si>
  <si>
    <t>Head, Group Shared Services &amp; Chief Operating Officer</t>
  </si>
  <si>
    <t>Mr. Saleh Saleh serves as Head, Group Shared Services &amp; Chief Operating Officer at Saudi National Bank. He has been appointed to his current position in April 2021 after his previous position as the Chief Information Officer of the National Commercial Bank. He has experience in information technology, project management and quality management system.</t>
  </si>
  <si>
    <t>s.saleh@alahli.com</t>
  </si>
  <si>
    <t>396394-21P</t>
  </si>
  <si>
    <t>Salim Fakhouri</t>
  </si>
  <si>
    <t>Fakhouri</t>
  </si>
  <si>
    <t>Salim</t>
  </si>
  <si>
    <t>Chief Executive Officer - Fashion</t>
  </si>
  <si>
    <t>Mr .Salim Fakhouri serves as Chief Executive Officer at Cenomi Retail. He is a seasoned professional with over two decades of experience across the Middle East and North Africa. His primary professional focus has been FMCG and Fashion Retail. He has amassed vast experience and sharpened his expertise across different areas in retail; From commercial to finance, business development, and operations. His previous roles include a lengthy tenure at Azadea Group as President of Fashion Division. Prior to that, he was Regional Markets Director for the Azadea operation in Egypt and managed almost 50 international brands in GCC and MENA.</t>
  </si>
  <si>
    <t>sfakhouri@ir.cenomiretail.com</t>
  </si>
  <si>
    <t>240770-89P</t>
  </si>
  <si>
    <t>Salim Patka</t>
  </si>
  <si>
    <t>Patka</t>
  </si>
  <si>
    <t>Mr. Salim Patka serves as Chief Financial Officer at Bindawood.</t>
  </si>
  <si>
    <t>salim.patka@bindawood.com</t>
  </si>
  <si>
    <t>368581-06P</t>
  </si>
  <si>
    <t>Salman Al-Fawzan</t>
  </si>
  <si>
    <t>Al-Fawzan</t>
  </si>
  <si>
    <t>Saleh Ibrahim</t>
  </si>
  <si>
    <t>Mr. Salman Al-Fawzan serves as Chief Executive Officer &amp; Board Member at Lana Medical.</t>
  </si>
  <si>
    <t>salman@lanamedical.com</t>
  </si>
  <si>
    <t>282888-28P</t>
  </si>
  <si>
    <t>Sameer Baeasa</t>
  </si>
  <si>
    <t>Baeasa</t>
  </si>
  <si>
    <t>Sameer</t>
  </si>
  <si>
    <t>Board Member, Member of Executive committee &amp; Audit committee</t>
  </si>
  <si>
    <t>Mr. Sameer Omar Baeisa serves as Board Member, Member of Executive committee &amp; Audit committee at Saudi Company For Hardware. Mr. Sameer Omar Baeisa, Master of Business Administration California State University, USA 1987 Bachelor of Business Administration. King Abdulaziz University, Kingdom of Saudi Arabia 1982; Independent, Bank Albilad (from April 17, 2019).</t>
  </si>
  <si>
    <t>437143-78P</t>
  </si>
  <si>
    <t>Sameh Hassan</t>
  </si>
  <si>
    <t>Sameh</t>
  </si>
  <si>
    <t>Savola Group</t>
  </si>
  <si>
    <t>Mr. Sameh Hassan serves as Chief Executive Officer at Savola Group. Mr. Hassan served as Co-Chief Financial Officer / Group Finance Director at Al Faisaliah Group.</t>
  </si>
  <si>
    <t>+966 (0)12 268 7755</t>
  </si>
  <si>
    <t>Savola Tower, Ashati District, Prince Faisal Bin Fahd Road</t>
  </si>
  <si>
    <t>2444 Taha Khusaifan-Ashati, Unit No. 15</t>
  </si>
  <si>
    <t>Al Shatea</t>
  </si>
  <si>
    <t>385531-84P</t>
  </si>
  <si>
    <t>Samer Al-Hokail</t>
  </si>
  <si>
    <t>Al-Hokail</t>
  </si>
  <si>
    <t>Samer</t>
  </si>
  <si>
    <t>Mr. Samer Al-Hokail serves as Chief Executive Officer &amp; President at Saudi Aramco Base Oil Company - Luberef. He joined Luberef in 2023. Prior to this, he was the President and Chief Executive Officer of Saudi Petroleum International in New York since 2016, with the responsibility of managing Saudi Aramco's crude sales to North America. He holds an MBA from Massachusetts Institute of Technology (MIT) Sloan School of Management, along with a fellowship in innovational and global leadership, and a Bachelor's degree in Chemical Engineering from Arizona State University.</t>
  </si>
  <si>
    <t>Arizona State University, Massachusetts Institute of Technology (MIT)</t>
  </si>
  <si>
    <t>385213-42P</t>
  </si>
  <si>
    <t>Samer Hendawi</t>
  </si>
  <si>
    <t>Hendawi</t>
  </si>
  <si>
    <t>Vice President of Finance and Investment &amp; Chief Financial Officer</t>
  </si>
  <si>
    <t>Mr. Samer Hendawi serves as Vice President of Finance and Investment &amp; Chief Financial Officer at Astra Industrial Group.</t>
  </si>
  <si>
    <t>shendawi@aig.sa</t>
  </si>
  <si>
    <t>57046-24P</t>
  </si>
  <si>
    <t>Sami bin Abdulmohsen Al-Hokair</t>
  </si>
  <si>
    <t>Mr. Sami bin Abdulmohsen Al-Hokair serves as Chairman of the Board &amp; Chairman of the Executive Committee at Baan Holding. He earned his bachelor's degree in business administration from King Saud University in 1990 and continued his education with various training courses. These included English language courses from the British Council and the United States, as well as military training, and courses in the fields of tourism and hotel investments. He also expanded his knowledge by attending international exhibitions and seminars focused on the hotel, restaurant, and tourism sectors. He began his professional career in 1983 as a member of the Board of Directors of the BAAN Holding Group, gradually advancing through leadership roles. He served as the Deputy CEO of BAAN Holding Group from 2006 to 2012, then became CEO until 2024, and is currently the Managing Director of the group. He has led many projects in the entertainment and hospitality industries and has been the General Manager of Half Moon Bay Resort, Sparky's Land, Sparky's Oceanica, and Digital Land since 2001. In addition to his executive role, he is actively involved in several committees and boards. He has chaired the executive committee of BAAN Holding Group since 2012 and has served as Vice President of the Tourism Committee in the Eastern Chamber of Commerce since 2000. He is also a member of several prestigious international organizations, including the International Association of Amusement Parks and Attractions (IAAPA) in the U.S., the European Amusement Suppliers Association (EAASI), the American Hotel and Motel Association (AHMA), and the Themed Entertainment Association (TEA). He currently serves as the Chairman of the Board of BAAN Holding Group, a publicly listed company.</t>
  </si>
  <si>
    <t>sami@alhokair.com</t>
  </si>
  <si>
    <t>398789-11P</t>
  </si>
  <si>
    <t>Sami Saeed</t>
  </si>
  <si>
    <t>Abdullah Dakhil Allah Al</t>
  </si>
  <si>
    <t>Mr. Sami Saeed serves as Chief Executive Officer at Miral Dental Clinics.</t>
  </si>
  <si>
    <t>ssaeed@miraldental.com</t>
  </si>
  <si>
    <t>263695-69P</t>
  </si>
  <si>
    <t>Samir Al-Hamdan</t>
  </si>
  <si>
    <t>Al-Hamdan</t>
  </si>
  <si>
    <t>Samir</t>
  </si>
  <si>
    <t>Mr. Samir Al-Hamdan serves as Chief Operating Officer at Fourth Milling.</t>
  </si>
  <si>
    <t>466811-74P</t>
  </si>
  <si>
    <t>Samir Al-Raheeli</t>
  </si>
  <si>
    <t>Al-Raheeli</t>
  </si>
  <si>
    <t>Mr. Samir Al-Raheeli serves as Chief Executive Officer at Al Jouf Cement.</t>
  </si>
  <si>
    <t>samir.alraheeli@joufcem.com</t>
  </si>
  <si>
    <t>270325-27P</t>
  </si>
  <si>
    <t>Sarah Al-Suhaimi</t>
  </si>
  <si>
    <t>Al-Suhaimi</t>
  </si>
  <si>
    <t>Sarah</t>
  </si>
  <si>
    <t>Jammaz</t>
  </si>
  <si>
    <t>Ms. Sarah Al-Suhaimi serves as Chairperson at Saudi Stock Exchange. In her capacity, Mrs. AlSuhaimi spearheads Tadawul' s efforts to integrate the Saudi capital market with global peers by way of aligning the platforms operations and governing regulations. Mrs. AlSuhaimi is also the Chairperson of Lazard Ltd. in Saudi Arabia, the Middle East and North Africa and a Board Member at the Saudi Telecom Company, the Saudi Arabian Airlines Public Agency and the Cultural Development Fund and the Regional Voluntary Carbon Market Company. In addition, Mrs. AlSuhaimi is a trustee of the International Financial Reporting Standards Foundation and a We-Fi Leadership Champion. Mrs. Al-Suhaimi served as the CEO of Saudi National Bank Capital (SNB Capital) from 2014 to 2021 and was a member of the Board of Directors. During her tenure, AUMs grew by over four times, NCBC's brokerage market share increased by more than 10% and the bank executed multiple large investment banking mandates earning league table status in DCM and M&amp;A. Mrs. AlSuhaimi served a two-year term as Vice-Chairperson of the Advisory Committee of the Capital Market Authority (CMA) Board of Directors from 2013 to 2015. Prior to that, Mrs. AlSuhaimi led the asset and wealth management division at Jadwa Investment Company, where she was also the Chief Investment Officer from 2007 to 2014 and a member of the firms' Management Committee. Mrs. AlSuhaimi started her career within asset management at Samba Capital. Mrs. AlSuhaimi holds a Bachelor's degree in Accounting with Honors from King Saud University, and completed the General Management program in Harvard Business School.</t>
  </si>
  <si>
    <t>337813-48P</t>
  </si>
  <si>
    <t>Saud Al Ghonaim</t>
  </si>
  <si>
    <t>Al Ghonaim</t>
  </si>
  <si>
    <t>Mr. Saud Al Ghonaim serves as Chief Executive Officer at Al Rajhi Takaful.</t>
  </si>
  <si>
    <t>sghonaim@alrajhitakaful.com</t>
  </si>
  <si>
    <t>329991-31P</t>
  </si>
  <si>
    <t>Saud Al-Issa</t>
  </si>
  <si>
    <t>Sure Payments Technology Company</t>
  </si>
  <si>
    <t>Mr. Saud Al-Issa serves as Chief Executive Officer, Managing Director &amp; Board Member at Sure Global Tech.</t>
  </si>
  <si>
    <t>+966 (0)11 205 0043</t>
  </si>
  <si>
    <t>Imam Saud Bin Abdulaziz Bin Muhammad Road 12281</t>
  </si>
  <si>
    <t>Hayat Center Building B, First Floor, P.O Box 301334</t>
  </si>
  <si>
    <t>298820-89P</t>
  </si>
  <si>
    <t>Saud Mohammed Al Shuraim</t>
  </si>
  <si>
    <t>Al Shuraim</t>
  </si>
  <si>
    <t>Saud Mohammed</t>
  </si>
  <si>
    <t>Chief Executive Officer, Managing Director, Board Member &amp; Members of the Executive Management</t>
  </si>
  <si>
    <t>Mr. Saud Mohammed Al Shuraim serves as Chief Executive Officer, Managing Director, Board Member &amp; Members of the Executive Management at Advance International Co.</t>
  </si>
  <si>
    <t>saud@aictec.com</t>
  </si>
  <si>
    <t>462996-64P</t>
  </si>
  <si>
    <t>Saulat Sultan</t>
  </si>
  <si>
    <t>Sultan</t>
  </si>
  <si>
    <t>Saulat</t>
  </si>
  <si>
    <t>Acting Executive Vice President, Finance and Chief Financial Officer</t>
  </si>
  <si>
    <t>Mr. Saulat Sultan serves as Acting Executive Vice President, Finance and Chief Financial Officer at Saudi Arabian Mining. He brings over 20 years of global experience in corporate finance and investment banking, with leadership roles at Aramco, Credit Suisse, Moody's, SMBC, and Shell. He has strong expertise in resource-based, manufacturing, and infrastructure sectors, and has an extensive background with companies undergoing significant transformation and growth. He holds an MBA in Finance from Yale University's School of Management and has worked on more than $100 billion in M&amp;A, equity and debt transactions over his career.</t>
  </si>
  <si>
    <t>Yale University</t>
  </si>
  <si>
    <t>ssultan@maaden.com</t>
  </si>
  <si>
    <t>326163-07P</t>
  </si>
  <si>
    <t>Sayed Albsat</t>
  </si>
  <si>
    <t>Albsat</t>
  </si>
  <si>
    <t>Sayed</t>
  </si>
  <si>
    <t>Mr. Sayed Albsat serves as Chief Financial Officer at Canadian Medical Center.</t>
  </si>
  <si>
    <t>460432-27P</t>
  </si>
  <si>
    <t>Scott Bissett</t>
  </si>
  <si>
    <t>Bissett</t>
  </si>
  <si>
    <t>Scott</t>
  </si>
  <si>
    <t>Brian</t>
  </si>
  <si>
    <t>Mr. Scott Bissett serves as Group Chief Financial Officer at Jamjoom Fashion.</t>
  </si>
  <si>
    <t>sbissett@jamjoomfashion.com</t>
  </si>
  <si>
    <t>465805-09P</t>
  </si>
  <si>
    <t>Serge Osouf</t>
  </si>
  <si>
    <t>Osouf</t>
  </si>
  <si>
    <t>Serge</t>
  </si>
  <si>
    <t>Michel</t>
  </si>
  <si>
    <t>Mr. Serge Michel Osouf serves as Chairman at Chubb Arabia Cooperative Insurance.</t>
  </si>
  <si>
    <t>serge.osouf@chubb.com.sa</t>
  </si>
  <si>
    <t>316711-90P</t>
  </si>
  <si>
    <t>Shafiq Alrumaih</t>
  </si>
  <si>
    <t>Alrumaih</t>
  </si>
  <si>
    <t>Shafiq</t>
  </si>
  <si>
    <t>Mr. Shafiq Alrumaih serves as Chief Financial Officer at Al Sagr Cooperative Insurance.</t>
  </si>
  <si>
    <t>328442-23P</t>
  </si>
  <si>
    <t>Shahjahan Mirza</t>
  </si>
  <si>
    <t>Mirza</t>
  </si>
  <si>
    <t>Shahjahan</t>
  </si>
  <si>
    <t>Qadeer</t>
  </si>
  <si>
    <t>Taleem</t>
  </si>
  <si>
    <t>Mr. Shahjahan Mirza serves as Chairman at Taleem. He served as Fund Chairman at Bonyan REIT.</t>
  </si>
  <si>
    <t>+966 (0)11 282 6666</t>
  </si>
  <si>
    <t>PO Box 23454</t>
  </si>
  <si>
    <t>11426</t>
  </si>
  <si>
    <t>+966 (0)11 282 6667</t>
  </si>
  <si>
    <t>415208-17P</t>
  </si>
  <si>
    <t>Shailesh Chander</t>
  </si>
  <si>
    <t>Chander</t>
  </si>
  <si>
    <t>Shailesh</t>
  </si>
  <si>
    <t>Mr. Shailesh Chander serves as Chief Financial Officer at Almoosa Health.</t>
  </si>
  <si>
    <t>schander@almoosahealthgroup.org</t>
  </si>
  <si>
    <t>381219-49P</t>
  </si>
  <si>
    <t>Shaker Al Otaibi</t>
  </si>
  <si>
    <t>Shaker</t>
  </si>
  <si>
    <t>Nafil</t>
  </si>
  <si>
    <t>Mr. Shaker Al Otaibi serves as Chief Executive Officer at National Metal Manufacturing And Casting.</t>
  </si>
  <si>
    <t>s.alotaibi@maadaniyah.com</t>
  </si>
  <si>
    <t>326451-34P</t>
  </si>
  <si>
    <t>Sharukh Qurashi</t>
  </si>
  <si>
    <t>Qurashi</t>
  </si>
  <si>
    <t>Sharukh</t>
  </si>
  <si>
    <t>Mr. Sharukh Qurashi serves as Group Chief Financial Officer at Saudi Tadawul Group. He joined in March 2018 as Chief Financial Officer. He has over 23 years of experience in strategic financial planning &amp; management, accounting, investment management, company start-ups, mergers &amp; acquisitions and assets and liabilities management. He holds a Master's Degree in Commerce from Pakistan. He is a fellow member of The Institute of Chartered Accountants of Pakistan and the Institute of Public Finance Accountants.</t>
  </si>
  <si>
    <t>sharukh.qurashi@tadawulgroup.sa</t>
  </si>
  <si>
    <t>234579-43P</t>
  </si>
  <si>
    <t>Shazam Butt</t>
  </si>
  <si>
    <t>Mr. Shazam Butt serves as Chief Financial Officer at Fad International. Mr. Butt served as Group Chief Financial Officer at Zultec Group. Mr. Butt oversees the accounting, business support, financial planning and analysis, treasury, investor relations, internal audit and text functions at Zultec. Prior to this, Shazam led the financial teams at Digital Globe Services Inc, in Karachi Pakistan as Executive Director Finance. Before DGS, Shazam spent two years at Dadex Eternit Limited, a leading listed Public Limited Company into the manufacturing of UPVC &amp; CC pipes and sheets. He also served the same organization as Head of Internal Audit/ Chief Information Officer prior to his assignment as CFO. Ernst &amp; Young Pakistan though was the organization he served for the longest period i.e. 12 years where he was the Senior Manager Assurance and Advisory Business Services(AABS) responsible for advising clients on accounting and reporting matters and providing assistance in the preparation of financial statements complying with IFRSs &amp; other regulatory frameworks. He served E&amp;Y on various international assignments as well in New York, San Francisco, London, Abu Dhabi, Afghanistan and Turkmenistan. Shazam has attended various advanced training and has participated in numerous accounting &amp; auditing seminars, and conferences at different global locations. He is a Fellow member of the Institute of Chartered Accountants of Pakistan with M.A. in Economics from the University of Karachi, Pakistan.</t>
  </si>
  <si>
    <t>shazam.butt@fadint.com</t>
  </si>
  <si>
    <t>72985-87P</t>
  </si>
  <si>
    <t>Sherif Riad</t>
  </si>
  <si>
    <t>Riad</t>
  </si>
  <si>
    <t>Sherif</t>
  </si>
  <si>
    <t>Mr. Sherif Riad serves as Chief Financial Officer at Etihad GO Telecom.</t>
  </si>
  <si>
    <t>326715-04P</t>
  </si>
  <si>
    <t>Shoeil AL-Ayed</t>
  </si>
  <si>
    <t>AL-Ayed</t>
  </si>
  <si>
    <t>Shoeil</t>
  </si>
  <si>
    <t>Riyadh Cement</t>
  </si>
  <si>
    <t>Mr. Shoeil Al-Ayed serves as Chief Executive Officer &amp; Director at Riyadh Cement. He received an undergraduate degree from Jacksonville University and a graduate degree from Florida Institute of Technology.</t>
  </si>
  <si>
    <t>Florida Institute of Technology, Jacksonville University</t>
  </si>
  <si>
    <t>+966 (0)11 261 1888</t>
  </si>
  <si>
    <t>sal-ayed@riyadhcement.com.sa</t>
  </si>
  <si>
    <t>AL Imam Saud Ibn Abdul Aziz Ibn Mohammad Road</t>
  </si>
  <si>
    <t>11494</t>
  </si>
  <si>
    <t>+966 (0)11 261 1761</t>
  </si>
  <si>
    <t>286493-59P</t>
  </si>
  <si>
    <t>Sohail Abbas</t>
  </si>
  <si>
    <t>Sohail</t>
  </si>
  <si>
    <t>Fadl</t>
  </si>
  <si>
    <t>Mr. Sohail Abbas serves as Chief Financial Officer at Wataniya Insurance.</t>
  </si>
  <si>
    <t>s.abbas@wataniya.com.sa</t>
  </si>
  <si>
    <t>427063-51P</t>
  </si>
  <si>
    <t>Sohail Bajammal</t>
  </si>
  <si>
    <t>Bajammal</t>
  </si>
  <si>
    <t>Mr. Sohail Bajammal serves as Chief Executive Officer at Fakeeh Care.</t>
  </si>
  <si>
    <t>sbajammal@fakeeh.care</t>
  </si>
  <si>
    <t>317662-12P</t>
  </si>
  <si>
    <t>Son Le</t>
  </si>
  <si>
    <t>Le</t>
  </si>
  <si>
    <t>Son</t>
  </si>
  <si>
    <t>Mr. Son Le serves as Co-Chief Executive Officer at Miahona.</t>
  </si>
  <si>
    <t>son.l@miahona.com</t>
  </si>
  <si>
    <t>323532-01P</t>
  </si>
  <si>
    <t>Stephane Moynet</t>
  </si>
  <si>
    <t>Moynet</t>
  </si>
  <si>
    <t>Stephane</t>
  </si>
  <si>
    <t>Mr. Stephane Moynet serves as Chief Operating Officer at Arabian Drilling. Mr. Moynet is the COO of Arabian Drilling, having joined the company in early 2022. He joined Arabian Drilling in 2021 as Company's Technical Managing Director, before being appointed as Chief Operating Officer In 2022. Prior to joining Arabian Drilling, he held several positions within Schlumberger over a 24-year tenure at the Company. His most recent position was as Business Manager of Rig Management Services. He also served in a number of other international executive, managerial, business development, and technical roles at Schlumberger in the rigs and projects management domains, worldwide, including in the United States, Saudi Arabia, Australia, Ecuador, Venezuela, France, Mexico, Algeria, Oman, Gabon, the UAE, and Pakistan. He holds a master's degree in Engineering from Ecole Nationale Supérieure des Arts et Métiers (ENSAM) in Paris, France. He earned his MBA in 2006 from the Rotterdam School of Management in the Netherlands.</t>
  </si>
  <si>
    <t>Ecole Nationale des Ponts et Chaussées</t>
  </si>
  <si>
    <t>smoynet@arabdrill.com</t>
  </si>
  <si>
    <t>460431-64P</t>
  </si>
  <si>
    <t>Stephen Halbrook</t>
  </si>
  <si>
    <t>Halbrook</t>
  </si>
  <si>
    <t>Stephen</t>
  </si>
  <si>
    <t>Mr. Stephen Halbrook serves as Chief Executive Officer and Vice Chairman at Jamjoom Fashion.</t>
  </si>
  <si>
    <t>shalbrook@jamjoomfashion.com</t>
  </si>
  <si>
    <t>365368-42P</t>
  </si>
  <si>
    <t>Subir Dhawan</t>
  </si>
  <si>
    <t>Dhawan</t>
  </si>
  <si>
    <t>Subir</t>
  </si>
  <si>
    <t>Mr. Subir Dhawan serves as Chief Financial Officer at Saudia Dairy &amp; Foodstuff. Mr. Dhawan has led teams across several multinational companies driving progressive financial management. He has led the transformation of finance functions across multiple industries. He brings a wealth of financial experience supporting in commercial, supply chain, and manufacturing functions, in both FMCG and pharmaceutical industries. A strong advocate for change and transformation, He aims to foster a positive, supportive work environment for his team members to grow and develop. His extensive experience working in multinational corporations across multiple geographies makes him culturally flexible and versatile. With a proven record of adapting to new cultures quickly and collaborating effectively with diverse teams, he is able to effectively contribute to teams from different backgrounds. Before joining SADAFCO, He has held numerous positions within the region and globally. He managed financial operations, oversaw business strategies, and led teams in dynamic and complex environments at Frieslandcampina, GlaxoSmithKline, British American Tobacco, and Mars. As a result of these roles, he has gained a comprehensive understanding of the food industry on both a global and local level. He holds a B.A. of Commerce from Pune University, an MBA, and a Chartered Accountant Certification (CA).</t>
  </si>
  <si>
    <t>University of Pune</t>
  </si>
  <si>
    <t>subir.dhawan@sadafco.com</t>
  </si>
  <si>
    <t>330091-21P</t>
  </si>
  <si>
    <t>Sulaiman Al Jedaie Ph.D</t>
  </si>
  <si>
    <t>Al Jedaie</t>
  </si>
  <si>
    <t>Dr. Sulaiman Jedaie serves as Chief Executive Officer &amp; Board Member at Saudi Industrial Export.</t>
  </si>
  <si>
    <t>s.jedaie@siec.com</t>
  </si>
  <si>
    <t>371498-95P</t>
  </si>
  <si>
    <t>Sulaiman Alkadi</t>
  </si>
  <si>
    <t>Khaled Sulaiman</t>
  </si>
  <si>
    <t>Co-Founder &amp; Chief Operating Officer</t>
  </si>
  <si>
    <t>Mr. Sulaiman Alkadi is a Co-Founder &amp; serves as Chief Operating Officer at Armah Sports.</t>
  </si>
  <si>
    <t>salkadi@armahsports.com</t>
  </si>
  <si>
    <t>397858-96P</t>
  </si>
  <si>
    <t>Suliman Al-Oufi</t>
  </si>
  <si>
    <t>Al-Oufi</t>
  </si>
  <si>
    <t>Suliman</t>
  </si>
  <si>
    <t>Saleh Nasser</t>
  </si>
  <si>
    <t>Mr. Suliman Al-Oufi serves as Group Chief Executive Officer at Al Taiseer Group Talco Industrial. He holds degree in MBA from Open University Malaysia and Bachelor's in Marketing from Arab Academy for Science, Technology and Maritime Transport.</t>
  </si>
  <si>
    <t>404540-02P</t>
  </si>
  <si>
    <t>Sultan Alharbi</t>
  </si>
  <si>
    <t>Mr. Sultan Alharbi serves as Chief Executive Officer at Horizon Food.</t>
  </si>
  <si>
    <t>salharbi@horizonfood.sa</t>
  </si>
  <si>
    <t>379076-41P</t>
  </si>
  <si>
    <t>Sultan bin Badr Al-Otaibi</t>
  </si>
  <si>
    <t>bin Badr Al-Otaibi</t>
  </si>
  <si>
    <t>Taiba Investments</t>
  </si>
  <si>
    <t>Mr. Sultan bin Badr Al-Otaibi serves as Chief Executive Officer at Taiba Investments.</t>
  </si>
  <si>
    <t>+966 (0)14 837 7777</t>
  </si>
  <si>
    <t>s.binbadral-otaibi@taiba.com.sa</t>
  </si>
  <si>
    <t>PO Box 7777</t>
  </si>
  <si>
    <t>41472</t>
  </si>
  <si>
    <t>+966 (0)14 836 7777</t>
  </si>
  <si>
    <t>55722-61P</t>
  </si>
  <si>
    <t>Tamer Abdelraheem</t>
  </si>
  <si>
    <t>Abdelraheem</t>
  </si>
  <si>
    <t>Tamer</t>
  </si>
  <si>
    <t>Mr. Tamer Abdelraheem serves as Chief Financial Officer at Alkhabeer Capital. Mr. Abdelraheem has worked in the trading, banking, manufacturing, and real estate sectors. He has extensive experience in the disciplines of finance and accounting, corporate finance, financial planning, cost analysis, advisory, process restructuring, and project management. Tamer holds a Bachelor's degree in Accounting from Cairo University, Egypt. He is a Certified Management Accountant, and holds the General Securities Qualification from Saudi Arabia's Capital Market Authority.</t>
  </si>
  <si>
    <t>t.abdelraheem@alkhabeer.com</t>
  </si>
  <si>
    <t>339389-11P</t>
  </si>
  <si>
    <t>Tamer Kalou</t>
  </si>
  <si>
    <t>Kalou</t>
  </si>
  <si>
    <t>Mr. Tamer Kalou serves as Chief Operating Officer at Al Babtain Power and Telecommunications.</t>
  </si>
  <si>
    <t>tamer@al-babtain.com.sa</t>
  </si>
  <si>
    <t>346078-54P</t>
  </si>
  <si>
    <t>Tarek Hosni</t>
  </si>
  <si>
    <t>Hosni</t>
  </si>
  <si>
    <t>Mr. Tarek Hosni serves as Chief Executive Officer at Jamjoompharma. Mr. Hosni holds Bachelor's degree in Pharmacy from Alexandria University, Egypt, 1984 and Master's Degree in Business Administration from Bradford University, United Kingdom, 1997. He is, Since 2022G, Member of the Board of Directors at Altra Group Company, The Kingdom, a limited liability company engaging in the field of healthcare. and since 2021G, Member of the Executive Committee at the Company.</t>
  </si>
  <si>
    <t>University of Bradford, Alexandria University</t>
  </si>
  <si>
    <t>312740-92P</t>
  </si>
  <si>
    <t>Tareq Al-Kasabi</t>
  </si>
  <si>
    <t>Al-Kasabi</t>
  </si>
  <si>
    <t>Mr. Tariq bin Othman Alkasabi, Non-Executive Chairman of the Board. Current Positions: Chairman of Ataa Educational Company. Chairman of Al Jazeera Bank. Chairman of RZM Investment Company. Chairman of Dallah Health Services. Member of the Board of Directors of the General Organization for Social Insurance. Chairman of The Care Shield Holding Company, in a non-executive capacity and personal membership (closed joint stock). Previous Positions: Chairman of Al Jazeera Capital. Chairman of the Municipal Council of Riyadh. Vice Chairman of Dallah Al Baraka Group. General Manager of Makkah Construction Company. Vice President, Kara Establishment. Qualifications: Bachelor of Civil Engineering, King Saud University.</t>
  </si>
  <si>
    <t>427538-71P</t>
  </si>
  <si>
    <t>Tariq Al Hamdan</t>
  </si>
  <si>
    <t>Dr. Tariq Al Hamdan serves as Chairman at Twareat. He holds the position of Chairman of the Board of Twareat Medical Care Company, with more than twenty years of experience in medical, business, and investment sectors. He holds a degree in Emergency Medicine from University of Ottawa, an MBA from university of Tennessee, Master of Disaster Medicine from university of piedmont Italy, and a bachelor degree of Medicine and Surgery from King Saud University. He has more than twenty years of clinical and administrative practice both in governmental and private sector.</t>
  </si>
  <si>
    <t>King Saud University, University of Ottawa</t>
  </si>
  <si>
    <t>364283-83P</t>
  </si>
  <si>
    <t>Tariq Al-Qahtani</t>
  </si>
  <si>
    <t>Abdulhadi Abdullah</t>
  </si>
  <si>
    <t>Riyal Motors</t>
  </si>
  <si>
    <t>Chairman of the Board of Director</t>
  </si>
  <si>
    <t>Mr. Tariq Al-Qahtani serves as Chairman of the Board of Director at Riyal Motors. Mr. Al-Qahtani earned his bachelor's degree in Global Economics from Helwan University in 2012.</t>
  </si>
  <si>
    <t>+966 (0)13 837 0581</t>
  </si>
  <si>
    <t>Dammam Jubail Highway</t>
  </si>
  <si>
    <t>PO Box 9494</t>
  </si>
  <si>
    <t>330200-92P</t>
  </si>
  <si>
    <t>Tariq Al-Tahini</t>
  </si>
  <si>
    <t>Al-Tahini</t>
  </si>
  <si>
    <t>Chief Executive Officer, Managing Director&amp; Board Member</t>
  </si>
  <si>
    <t>Mr. Tariq Al-Tahini serves as Chief Executive Officer, Managing Director&amp; Board Member at Electrical Industries. Mr. Al-Tahini holds Bachelor Degree in Mechanical Engineering.</t>
  </si>
  <si>
    <t>taltahini@eic.com.sa</t>
  </si>
  <si>
    <t>406278-37P</t>
  </si>
  <si>
    <t>Turki Al-Buraik</t>
  </si>
  <si>
    <t>Al-Buraik</t>
  </si>
  <si>
    <t>Mr. Turki Al-Buraik serves as Chief Operating Officer at Walaa Cooperative Insurance.</t>
  </si>
  <si>
    <t>turki@walaa.com</t>
  </si>
  <si>
    <t>341840-62P</t>
  </si>
  <si>
    <t>Turki Shahrani</t>
  </si>
  <si>
    <t>Shahrani</t>
  </si>
  <si>
    <t>bin Hashbal Al</t>
  </si>
  <si>
    <t>Balady Poultry Trading</t>
  </si>
  <si>
    <t>Mr. Turki Shahrani serves as Chief Executive Officer at Balady Poultry Trading.</t>
  </si>
  <si>
    <t>+966 (0)92 003 5184</t>
  </si>
  <si>
    <t>tshahrani@balady-sa.com</t>
  </si>
  <si>
    <t>62952 Main Road</t>
  </si>
  <si>
    <t>Wadi Bin Hashbal</t>
  </si>
  <si>
    <t>92003-5184</t>
  </si>
  <si>
    <t>269705-08P</t>
  </si>
  <si>
    <t>Umar Al Mahmoud</t>
  </si>
  <si>
    <t>Al Mahmoud</t>
  </si>
  <si>
    <t>Umar</t>
  </si>
  <si>
    <t>Mr. Umar Al Mahmoud serves as Chief Executive Officer at The Mediterranean &amp; Gulf Insurance &amp; Reinsurance. Mr. Mahmoud serves as Deputy Chief Executive Officer and Chief Operating Officer at The Mediterranean &amp; Gulf Insurance &amp; Reinsurance Company.</t>
  </si>
  <si>
    <t>umar.almahmoud@medgulf.com.sa</t>
  </si>
  <si>
    <t>319185-10P</t>
  </si>
  <si>
    <t>Venugopal T. K.</t>
  </si>
  <si>
    <t>T. K.</t>
  </si>
  <si>
    <t>Venugopal</t>
  </si>
  <si>
    <t>Arabian Plastic</t>
  </si>
  <si>
    <t>Mr. Venugopal T. K. serves as Chief Executive Officer at Arabian Plastic.</t>
  </si>
  <si>
    <t>+966 (0)12 638 0101</t>
  </si>
  <si>
    <t>Street 45, Phase 3</t>
  </si>
  <si>
    <t>Industrial City 1</t>
  </si>
  <si>
    <t>436947-04P</t>
  </si>
  <si>
    <t>Wael Abdul Rahman Mohammed Al-Aoufi</t>
  </si>
  <si>
    <t>Al-Aoufi</t>
  </si>
  <si>
    <t>Wael Abdul Rahman Mohammed</t>
  </si>
  <si>
    <t>Future Vision For Health Training</t>
  </si>
  <si>
    <t>03/07/2025 Dhanashree.Patil:https://www.saudiexchange.sa/Resources/IPO/PDF/IPO_ENG_2025-03-06_15-03-02_1.pdf 
linkedin not found ///</t>
  </si>
  <si>
    <t>+966 (0)92 001 2604</t>
  </si>
  <si>
    <t>P.O. Box 42351</t>
  </si>
  <si>
    <t>Medina - Abu Bakr Al Siddiq Road</t>
  </si>
  <si>
    <t>Al Qiblatain</t>
  </si>
  <si>
    <t>42312</t>
  </si>
  <si>
    <t>135164-08P</t>
  </si>
  <si>
    <t>Wael El Merhabi</t>
  </si>
  <si>
    <t>El Merhabi</t>
  </si>
  <si>
    <t>Wael</t>
  </si>
  <si>
    <t>Bodymasters</t>
  </si>
  <si>
    <t>Mr. Wael El Merhabi serves as Chief Executive Officer at Bodymasters.</t>
  </si>
  <si>
    <t>Lancaster University</t>
  </si>
  <si>
    <t>+966 (0)92 000 0626</t>
  </si>
  <si>
    <t>w.elmerhabi@bodymasters.com.sa</t>
  </si>
  <si>
    <t>Al Sahafa, Imam Saud bin Faisal Road</t>
  </si>
  <si>
    <t>Opposite Al-Sahafa Schools, AlSahafa District</t>
  </si>
  <si>
    <t>451126-00P</t>
  </si>
  <si>
    <t>Sport Clubs</t>
  </si>
  <si>
    <t>Mr. Wael El Merhabi serves as Chief Executive Officer at Sport Clubs. Prior joining Sport Clubs he worked as General Manager at AFIA International (a subsidiary of Savola Group), a closed joint-stock company operating in the field of food, from 2009G to 2013G. Previously, He worked as Development Manager, Savola Foods (a subsidiary of Savola Group), a closed joint-stock company operating in the field of food, from 2008G to 2009G. He was Director of Special Projects, Savola Group, a public joint-stock company operating in the field of food, from 2007G to 2008G, and Director of Development, Al Batool (a subsidiary of Savola Group), a closed joint-stock company operating in the field of commercial agencies, from 2005G to 2007G. He was also Category Manager, Panda Retail Company (a subsidiary of Savola Group), a closed joint-stock company operating in the field of food, from 2002G to 2005G, and Administrative Auditor, Arthur Andersen, a limited liability company operating in the field of chartered accountancy, from 2001G to 2002G. He has done Master's degree in Accounting and Finance from Lancaster University, United Kingdom, 2000G. He has done Bachelor's degree in Business Administration from University of Balamand, Republic of Lebanon, 1999G.
He is Certified Financial Manager (CFM) Institute of Management Accountants (IMA), USA, 2005G.</t>
  </si>
  <si>
    <t>welmerhabi@sportclubscompany.com.sa</t>
  </si>
  <si>
    <t>Imam Saud bin Faisal Road</t>
  </si>
  <si>
    <t>Al-Sahafa District</t>
  </si>
  <si>
    <t>342012-52P</t>
  </si>
  <si>
    <t>Wael Khalil</t>
  </si>
  <si>
    <t>Mohammed Mohammed</t>
  </si>
  <si>
    <t>Mr. Wael Khalil serves as Chief Financial Officer at United Electronics Company. He has over 22 years of experience in accounting, auditing and financial consulting.</t>
  </si>
  <si>
    <t>wael.khalil@extra.com</t>
  </si>
  <si>
    <t>423101-44P</t>
  </si>
  <si>
    <t>Wafi Al Qahtani</t>
  </si>
  <si>
    <t>Wafi</t>
  </si>
  <si>
    <t>Mufeed</t>
  </si>
  <si>
    <t>Founder, Chief Executive Officer &amp; Vice Chairman</t>
  </si>
  <si>
    <t>Mr. Wafi Al Qahtani is the Founder and serves as Chief Executive Officer and Vice Chairman at Mufeed.</t>
  </si>
  <si>
    <t>+966 (0)92 002 6366</t>
  </si>
  <si>
    <t>walqahtani@mufeed.com</t>
  </si>
  <si>
    <t>3455 Anas Ibn Malik Road</t>
  </si>
  <si>
    <t>Al Malqa</t>
  </si>
  <si>
    <t>13522</t>
  </si>
  <si>
    <t>435115-36P</t>
  </si>
  <si>
    <t>Wahab Khattak</t>
  </si>
  <si>
    <t>Khattak</t>
  </si>
  <si>
    <t>Wahab</t>
  </si>
  <si>
    <t>Mr. Wahab Khattak serves as Chief Financial Officer at Cherry Rent-A-Car. He brings experience from previous roles at Ernst &amp; Young, Ernst &amp; Young Global Consulting Services and ERNST &amp; YOUNG U.S. LLP. He holds a 1999 - 2006 CA in Accounting @ Institute of Chartered Accountants of Pakistan (ICAP)</t>
  </si>
  <si>
    <t>wahab.khattak@cherry.com.sa</t>
  </si>
  <si>
    <t>329132-26P</t>
  </si>
  <si>
    <t>Wail Aljaaidi</t>
  </si>
  <si>
    <t>Aljaaidi</t>
  </si>
  <si>
    <t>Wail</t>
  </si>
  <si>
    <t>Maged Awadh</t>
  </si>
  <si>
    <t>Saudi Top for Trading</t>
  </si>
  <si>
    <t>Mr. Wail Aljaaidi serves as Chief Executive Officer at Saudi Top for Trading.</t>
  </si>
  <si>
    <t>+966 (0)11 242 0001</t>
  </si>
  <si>
    <t>waljaaidi@stp.com.sa</t>
  </si>
  <si>
    <t>New Al kharj road 3776 Eastern Ring Road Alnoor District</t>
  </si>
  <si>
    <t>14321</t>
  </si>
  <si>
    <t>+966 (0)11 270 6661</t>
  </si>
  <si>
    <t>254887-66P</t>
  </si>
  <si>
    <t>Wajid Khan</t>
  </si>
  <si>
    <t>Wajid</t>
  </si>
  <si>
    <t>Mr. Wajid Khan serves as Chief Financial Officer at Savola Group.</t>
  </si>
  <si>
    <t>wkhan@savola.com</t>
  </si>
  <si>
    <t>426153-70P</t>
  </si>
  <si>
    <t>Waleed Alsuliman</t>
  </si>
  <si>
    <t>Alsuliman</t>
  </si>
  <si>
    <t>Co-Founder, Chief Executive Officer &amp; Managing Director</t>
  </si>
  <si>
    <t>Mr. Waleed Alsuliman serves as Co-Founder, Chief Executive Officer &amp; Managing Director at Digital Research Company.</t>
  </si>
  <si>
    <t>walsuliman@drc.com</t>
  </si>
  <si>
    <t>416012-32P</t>
  </si>
  <si>
    <t>Waleed Ateeq</t>
  </si>
  <si>
    <t>Ateeq</t>
  </si>
  <si>
    <t>Mr. Waleed Ateeq serves as Chief Financial Officer at Saudi Re.</t>
  </si>
  <si>
    <t>401985-28P</t>
  </si>
  <si>
    <t>Waleed Bin Mayouf</t>
  </si>
  <si>
    <t>Bin Mayouf</t>
  </si>
  <si>
    <t>Bin Mohammad</t>
  </si>
  <si>
    <t>Mr. Waleed Bin Mayouf serves as Chief Financial Officer at Yanbu Cement.</t>
  </si>
  <si>
    <t>waleed@yanbucement.com</t>
  </si>
  <si>
    <t>334341-64P</t>
  </si>
  <si>
    <t>Waleed Elsayed Mohamed Zaki</t>
  </si>
  <si>
    <t>Mohamed Zaki</t>
  </si>
  <si>
    <t>Waleed Elsayed</t>
  </si>
  <si>
    <t>Mr. Waleed Elsayed Mohamed Zaki serves as Chief Financial Officer at Alqemam for Computer. Mr. Zaki received an undergraduate degree from Ain Shams University.</t>
  </si>
  <si>
    <t>wmohamedzaki@alqemam.com</t>
  </si>
  <si>
    <t>399582-64P</t>
  </si>
  <si>
    <t>Waleed Khalid Almajed</t>
  </si>
  <si>
    <t>Almajed</t>
  </si>
  <si>
    <t>Waleed Khalid</t>
  </si>
  <si>
    <t>Mr. Waleed Khalid Almajed serves as Chief Executive Officer at Al Majed Oud.</t>
  </si>
  <si>
    <t>w.almajed@almajed4oud.com</t>
  </si>
  <si>
    <t>386728-84P</t>
  </si>
  <si>
    <t>Waleed Obaidat</t>
  </si>
  <si>
    <t>Obaidat</t>
  </si>
  <si>
    <t>Mr. Waleed Obaidat serves as Chief Operating Officer at Arabian Cement Company.</t>
  </si>
  <si>
    <t>385613-11P</t>
  </si>
  <si>
    <t>Walid Afyouni</t>
  </si>
  <si>
    <t>Afyouni</t>
  </si>
  <si>
    <t>Walid</t>
  </si>
  <si>
    <t>Mr. Walid Afyouni serves as Chief Executive Officer at The National Company For Glass Industries. He held several leadership positions, namely PET &amp; EBM Unit General Manager at Zamil Plastic Industries, Business Development Regional Director in the Middle East, North Africa and Turkey for UAE's Alpla Company and the Managing Director and a board member of Egypt's New Modern Plast Co. He holds a bachelor's degree in management from the University of New South Wales, Australia and several specialized certificates in the field of business development.</t>
  </si>
  <si>
    <t>University of New South Wales</t>
  </si>
  <si>
    <t>wafyouni@zoujajglass.com</t>
  </si>
  <si>
    <t>327145-87P</t>
  </si>
  <si>
    <t>Waseem Marzoki</t>
  </si>
  <si>
    <t>Marzoki</t>
  </si>
  <si>
    <t>Waseem</t>
  </si>
  <si>
    <t>Mr. Waseem Marzoki serves as Chief Executive Officer at Keir International. Effective September 5, 2021, Mr. Marzoki is Chief Executive Officer (CEO) of KEIR International. As CEO, he will lead KEIR International into becoming a significant player in an industry that provides services including better infrastructures and networks to public utility companies such as telecom operators, and electrical power and water providers. He brings to his new position his many professional experiences with Al Nasser Group, Alcatel-Lucent and ABB - three of Saudi Arabia's major companies in lighting solutions, telecoms and power generation. He was formerly CEO of Al Nasser Group, of Alcatel-Lucent where he looked after the overall performance of the company across business, product portfolios, drove company growth, and turn-around, led diversification initiatives, and introduced new technologies to customers to expand company footprint outside of traditional customer segments. He was also formerly Vice President of ABB Automation Co., Ltd. where he was part of the team that grew ABB in Saudi Arabia to be the second largest unit (after ABB in Switzerland) in the world through restructuring of the organization, introducing new technologies, tripling factory production and growing the business. He graduated with honors from the highly regarded King Fahd University of Petroleum and Minerals (KFUPM) in 1994.</t>
  </si>
  <si>
    <t>426518-11P</t>
  </si>
  <si>
    <t>Wazen Al Solami</t>
  </si>
  <si>
    <t>Al Solami</t>
  </si>
  <si>
    <t>Wazen</t>
  </si>
  <si>
    <t>Mr. Wazen Al Solami serves as Chief Executive Officer at Yanbu National Petrochemicals.</t>
  </si>
  <si>
    <t>wsolami@yansab.com.sa</t>
  </si>
  <si>
    <t>244038-34P</t>
  </si>
  <si>
    <t>Yahya bin Saleh bin Mohsen Al-Mansour</t>
  </si>
  <si>
    <t>Yahya bin Saleh bin Mohsen</t>
  </si>
  <si>
    <t>Mr. Yahya bin Saleh bin Mohsen Al-Mansour serves as Chief Executive Officer at Etihad GO Telecom.</t>
  </si>
  <si>
    <t>y.almansour@go.com.sa</t>
  </si>
  <si>
    <t>404518-06P</t>
  </si>
  <si>
    <t>Yahya Mubaraki</t>
  </si>
  <si>
    <t>Mubaraki</t>
  </si>
  <si>
    <t>Yahya</t>
  </si>
  <si>
    <t>Mr. Yahya Mubaraki serves as Chief Executive Officer at Tabuk Agricultural Development.</t>
  </si>
  <si>
    <t>476640-91P</t>
  </si>
  <si>
    <t>Yaser Naghi</t>
  </si>
  <si>
    <t>Naghi</t>
  </si>
  <si>
    <t>Yaser</t>
  </si>
  <si>
    <t>Mr. Yaser Naghi serves as Chairman at The Mediterranean and Gulf Cooperative Insurance and Reinsurance.</t>
  </si>
  <si>
    <t>339359-59P</t>
  </si>
  <si>
    <t>Yasir Iqbal</t>
  </si>
  <si>
    <t>Iqbal</t>
  </si>
  <si>
    <t>LEVA Insurance</t>
  </si>
  <si>
    <t>Mr. Yasir Iqbal served as Chief Financial Officer at Al Alamiya for Cooperative Insurance Company.</t>
  </si>
  <si>
    <t>PO Box 6393</t>
  </si>
  <si>
    <t>258343-48P</t>
  </si>
  <si>
    <t>Yasser Abdelhamid</t>
  </si>
  <si>
    <t>Abdelhamid</t>
  </si>
  <si>
    <t>Yehia</t>
  </si>
  <si>
    <t>Chief Executive Officer &amp; Chief Financial Officer</t>
  </si>
  <si>
    <t>Mr. Yasser Abdelhamid serves as Chief Executive Officer &amp; Chief Financial Officer at Fitaihi Holding. Mr. Abdelhamid serves as a Board Member at IMC and Nozha International Hospital. He is responsible for preparing strategic plans, presenting them to the BOD, and following up its application, organizing the management of financial operations, accounting records, administrative and financial reporting, monitoring the application of the requirements of the CMA and SOCPA, and approving the application of the IT plans of the Group, prepare and manage the investment plans of the Group, and its economic future outlook and negotiation of the investment deals, and prepare take-over plans. He served as a Member of the board of directors of Al-Jouf Co. (Representative of Fitaihi Group). He served as a Member of the Audit Committee - Al-Jouf. He served as a Member of the Executive Committee - Fitaihi Holding Group. He served as the Financial Advisor to the Chairman of AHF Company. He served as Financial Manager at AHF Company. He served as Accounting Manager at AHF Company. He served as an Accountant at AHF. He served as an Accountant at Abu-Shady Company for the Importation of Agricultural Equipment in Egypt. He holds a Bachelor of Commerce from the University of Al-Azhar.</t>
  </si>
  <si>
    <t>yasser.yehia@fitaihi.com.sa</t>
  </si>
  <si>
    <t>365491-18P</t>
  </si>
  <si>
    <t>Yasser Alharbi</t>
  </si>
  <si>
    <t>Dr. Yasser Alharbi serves as Acting Chief Executive Officer at Al Sagr Cooperative Insurance.</t>
  </si>
  <si>
    <t>yalharbi@alsagr.com</t>
  </si>
  <si>
    <t>376446-07P</t>
  </si>
  <si>
    <t>Yasser Ateeq</t>
  </si>
  <si>
    <t>Umm Al-Qura Development and Construction</t>
  </si>
  <si>
    <t>Mr. Yasser Ateeq serves as Chief Executive Officer at Umm Al-Qura Development and Construction.</t>
  </si>
  <si>
    <t>+966 (0)12 696 2400</t>
  </si>
  <si>
    <t>yateeq@ummalqura.com.sa</t>
  </si>
  <si>
    <t>PO Box 16786</t>
  </si>
  <si>
    <t>326068-03P</t>
  </si>
  <si>
    <t>Yasser EL-Safadi</t>
  </si>
  <si>
    <t>EL-Safadi</t>
  </si>
  <si>
    <t>Scientific and Medical Equipment House</t>
  </si>
  <si>
    <t>Mr. Yasser EL-Safadi serves as Chief Financial Officer at Scientific and Medical Equipment House. Mr. EL-Safadi completed Msc of Accounting from University of Southern California &amp; Bachelor of Accounting from King Saud University - Kingdom of Saudi Arabia in 1991 .</t>
  </si>
  <si>
    <t>University of Southern California (USC), King Saud University</t>
  </si>
  <si>
    <t>+966 (0)11 464 6699</t>
  </si>
  <si>
    <t>yelsafadi@smeh.com.sa</t>
  </si>
  <si>
    <t>King Fahad service Road, Al-Mutammarat District Post Office Box 1584</t>
  </si>
  <si>
    <t>12711</t>
  </si>
  <si>
    <t>+966 (0)11 463 1507</t>
  </si>
  <si>
    <t>297570-34P</t>
  </si>
  <si>
    <t>Yasser Joharji</t>
  </si>
  <si>
    <t>Joharji</t>
  </si>
  <si>
    <t>Mr. Yasser Joharji serves as Chief Executive Officer at Nahdi Medical.</t>
  </si>
  <si>
    <t>joharji.y@nahdi.sa</t>
  </si>
  <si>
    <t>442940-59P</t>
  </si>
  <si>
    <t>Yazeed Alhayyaf</t>
  </si>
  <si>
    <t>Alhayyaf</t>
  </si>
  <si>
    <t>Yazeed</t>
  </si>
  <si>
    <t>Mr. Yazeed Alhayyaf serves as Chief Financial Officer at Rasan Information Technology Company.</t>
  </si>
  <si>
    <t>yalhayyaf@rasan.co</t>
  </si>
  <si>
    <t>425040-22P</t>
  </si>
  <si>
    <t>Yazid Hammad</t>
  </si>
  <si>
    <t>Hammad</t>
  </si>
  <si>
    <t>Yazid</t>
  </si>
  <si>
    <t>Shmoh Almadi</t>
  </si>
  <si>
    <t>Mr. Yazid Hammad serves as Chief Executive Officer at Shmoh Almadi.</t>
  </si>
  <si>
    <t>Aziziyah, Saudi Arabia</t>
  </si>
  <si>
    <t>Aziziyah</t>
  </si>
  <si>
    <t>14512</t>
  </si>
  <si>
    <t>329500-81P</t>
  </si>
  <si>
    <t>Yousef Shelash</t>
  </si>
  <si>
    <t>Bin Abdullah Al</t>
  </si>
  <si>
    <t>Mr. Yousef Bin Abdullah Al Shelash is the Founder and serves as the Chairman at Dar Alarkan Real Estate Development.</t>
  </si>
  <si>
    <t>yousef@alarkan.com</t>
  </si>
  <si>
    <t>326397-97P</t>
  </si>
  <si>
    <t>Youssef Al-Tarif</t>
  </si>
  <si>
    <t>Al-Tarif</t>
  </si>
  <si>
    <t>Youssef</t>
  </si>
  <si>
    <t>Mohammed Abdul Rahman</t>
  </si>
  <si>
    <t>Mr. Youssef Al-Tarif serves as Chief Executive Officer, Managing Director &amp; Board Member at Watani Iron Steel.</t>
  </si>
  <si>
    <t>ytarif@wataniasteel.com</t>
  </si>
  <si>
    <t>341661-07P</t>
  </si>
  <si>
    <t>Yousseri Bin Abdul Hamid El Bishry</t>
  </si>
  <si>
    <t>El Bishry</t>
  </si>
  <si>
    <t>Yousseri Bin Abdul Hamid</t>
  </si>
  <si>
    <t>Saudi Paper Group</t>
  </si>
  <si>
    <t>Mr. Yousseri Bin Abdul Hamid El Bishry serves as Chief Executive Officer at Saudi Paper Group.</t>
  </si>
  <si>
    <t>+966 (0)13 812 1016</t>
  </si>
  <si>
    <t>yousseri.bishry@saudipaper.com</t>
  </si>
  <si>
    <t>2598 Industrial City 2, Unit No. 2</t>
  </si>
  <si>
    <t>34326-7169</t>
  </si>
  <si>
    <t>+966 (0)13 812 3209</t>
  </si>
  <si>
    <t>297518-14P</t>
  </si>
  <si>
    <t>Yousuf Al- Khail</t>
  </si>
  <si>
    <t>Al- Khail</t>
  </si>
  <si>
    <t>Yousuf</t>
  </si>
  <si>
    <t>Aba</t>
  </si>
  <si>
    <t>Mr. Yousuf Al- Khail serves as Chairman at Saudi Ceramic.</t>
  </si>
  <si>
    <t>476221-96P</t>
  </si>
  <si>
    <t>Zaid AlNasser</t>
  </si>
  <si>
    <t>AlNasser</t>
  </si>
  <si>
    <t>Zaid</t>
  </si>
  <si>
    <t>Mohammed Zaid</t>
  </si>
  <si>
    <t>Mr. Zaid AlNasser serves as Chief Operating Officer at Cherry Trading (Automotive).</t>
  </si>
  <si>
    <t>zaid.alnasser@cherry.com.sa</t>
  </si>
  <si>
    <t>376874-47P</t>
  </si>
  <si>
    <t>Ziad Aljaafirah</t>
  </si>
  <si>
    <t>Aljaafirah</t>
  </si>
  <si>
    <t>Muflih Mohammed</t>
  </si>
  <si>
    <t>Mr. Ziad Aljaafirah serves as Chief Financial Officer at Al-Jouf Agriculture Development.</t>
  </si>
  <si>
    <t>476907-49P</t>
  </si>
  <si>
    <t>Ziyad Alsulais</t>
  </si>
  <si>
    <t>Alsulais</t>
  </si>
  <si>
    <t>Ziyad</t>
  </si>
  <si>
    <t>bin Saleh</t>
  </si>
  <si>
    <t>Mr. Ziyad Alsulais serves as Chief Executive Officer at Jana Medical Company.</t>
  </si>
  <si>
    <t>ziyad.alsulais@ipo.janamd.com.sa</t>
  </si>
  <si>
    <t>339804-82P</t>
  </si>
  <si>
    <t>Ziyad Rubaish</t>
  </si>
  <si>
    <t>Rubaish</t>
  </si>
  <si>
    <t>Mohammad Al</t>
  </si>
  <si>
    <t>Mr. Ziyad Rubaish serves as Chief Executive Officer at Arabia Insurance Cooperative.</t>
  </si>
  <si>
    <t>© PitchBook Data, Inc.  2026</t>
  </si>
  <si>
    <t>All data copyright PitchBook Data, Inc.</t>
  </si>
  <si>
    <t>For customized data reports and analyses, contact us at:</t>
  </si>
  <si>
    <t>support@pitchbook.com</t>
  </si>
  <si>
    <t xml:space="preserve">This document and its contents may only be used or shared as permitted in </t>
  </si>
  <si>
    <t>the PitchBook subscription agreement.</t>
  </si>
  <si>
    <t>Subject to limited exceptions, this document may not be used or stored following the termination of your agreement with PitchBook.</t>
  </si>
  <si>
    <t>If you have any further questions or concerns, please contact client services at:</t>
  </si>
  <si>
    <t>US</t>
  </si>
  <si>
    <t>+1 (206) 257-7775</t>
  </si>
  <si>
    <t>UK</t>
  </si>
  <si>
    <t>+44 (0)203 875 3504</t>
  </si>
  <si>
    <t>SG</t>
  </si>
  <si>
    <t>+65 6016 4771</t>
  </si>
  <si>
    <t>Or by email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</si>
</sst>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m\-yyyy"/>
    <numFmt numFmtId="165" formatCode="#,###"/>
  </numFmts>
  <fonts count="13" x14ac:knownFonts="1">
    <font>
      <sz val="11"/>
      <color theme="1"/>
      <name val="Calibri"/>
      <family val="2"/>
      <scheme val="minor"/>
    </font>
    <font>
      <sz val="8"/>
      <color rgb="FF000000"/>
      <name val="Open Sans"/>
      <family val="2"/>
    </font>
    <font>
      <b/>
      <sz val="8"/>
      <color rgb="FF000000"/>
      <name val="Open Sans"/>
      <family val="2"/>
    </font>
    <font>
      <b/>
      <sz val="8"/>
      <color rgb="FF26649E"/>
      <name val="Open Sans"/>
      <family val="2"/>
    </font>
    <font>
      <b/>
      <sz val="16"/>
      <color rgb="FF000000"/>
      <name val="Open Sans"/>
      <family val="2"/>
    </font>
    <font>
      <b/>
      <sz val="8"/>
      <color rgb="FFFFFFFF"/>
      <name val="Open Sans"/>
      <family val="2"/>
    </font>
    <font>
      <sz val="8"/>
      <color rgb="FF000000"/>
      <name val="Open Sans"/>
      <family val="2"/>
    </font>
    <font>
      <sz val="8"/>
      <color rgb="FF26649E"/>
      <name val="Open Sans"/>
      <family val="2"/>
    </font>
    <font>
      <b/>
      <sz val="8"/>
      <color rgb="FF000000"/>
      <name val="Open Sans"/>
      <family val="2"/>
    </font>
    <font>
      <b/>
      <sz val="8"/>
      <color rgb="FF26649E"/>
      <name val="Open Sans"/>
      <family val="2"/>
    </font>
    <font>
      <b/>
      <sz val="14"/>
      <color rgb="FF000000"/>
      <name val="Open Sans"/>
      <family val="2"/>
    </font>
    <font>
      <i/>
      <sz val="10"/>
      <color rgb="FF000000"/>
      <name val="Open Sans"/>
      <family val="2"/>
    </font>
    <font>
      <i/>
      <sz val="10"/>
      <color rgb="FF26649E"/>
      <name val="Open Sans"/>
      <family val="2"/>
    </font>
  </fonts>
  <fills count="6">
    <fill>
      <patternFill patternType="none"/>
    </fill>
    <fill>
      <patternFill patternType="gray125"/>
    </fill>
    <fill>
      <patternFill patternType="solid">
        <fgColor rgb="FF051C38"/>
        <bgColor rgb="FF051C38"/>
      </patternFill>
    </fill>
    <fill>
      <patternFill patternType="solid">
        <fgColor rgb="FFF8F5EF"/>
      </patternFill>
    </fill>
    <fill>
      <patternFill patternType="solid">
        <fgColor rgb="FFF0EBDE"/>
      </patternFill>
    </fill>
    <fill>
      <patternFill patternType="solid">
        <fgColor rgb="FFFFFFFF"/>
      </patternFill>
    </fill>
  </fills>
  <borders count="4">
    <border>
      <left/>
      <right/>
      <top/>
      <bottom/>
      <diagonal/>
    </border>
    <border>
      <left/>
      <right style="thin">
        <color rgb="FFD3D3D3"/>
      </right>
      <top/>
      <bottom/>
      <diagonal/>
    </border>
    <border>
      <left/>
      <right style="thin">
        <color rgb="FFD3D3D3"/>
      </right>
      <top/>
      <bottom/>
      <diagonal/>
    </border>
    <border>
      <left/>
      <right style="thin">
        <color rgb="FFD3D3D3"/>
      </right>
      <top style="thin">
        <color rgb="FF78766F"/>
      </top>
      <bottom/>
      <diagonal/>
    </border>
  </borders>
  <cellStyleXfs count="25">
    <xf numFmtId="0" fontId="0" fillId="0" borderId="0"/>
    <xf numFmtId="0" fontId="1" fillId="0" borderId="0">
      <alignment horizontal="right" vertical="center"/>
    </xf>
    <xf numFmtId="0" fontId="2" fillId="0" borderId="0">
      <alignment horizontal="left" vertical="center"/>
    </xf>
    <xf numFmtId="0" fontId="1" fillId="0" borderId="0">
      <alignment horizontal="right" vertical="top"/>
    </xf>
    <xf numFmtId="0" fontId="3" fillId="0" borderId="0">
      <alignment horizontal="left" vertical="top"/>
    </xf>
    <xf numFmtId="0" fontId="2" fillId="0" borderId="0">
      <alignment horizontal="left" vertical="top" wrapText="1"/>
    </xf>
    <xf numFmtId="0" fontId="4" fillId="0" borderId="0">
      <alignment horizontal="left" vertical="center"/>
    </xf>
    <xf numFmtId="0" fontId="5" fillId="0" borderId="0">
      <alignment horizontal="center" vertical="center" wrapText="1"/>
    </xf>
    <xf numFmtId="0" fontId="1" fillId="0" borderId="1">
      <alignment horizontal="left" vertical="center" indent="1"/>
    </xf>
    <xf numFmtId="0" fontId="1" fillId="3" borderId="1">
      <alignment horizontal="left" vertical="center" indent="1"/>
    </xf>
    <xf numFmtId="0" fontId="1" fillId="0" borderId="1">
      <alignment horizontal="right" vertical="center" indent="1"/>
    </xf>
    <xf numFmtId="0" fontId="6" fillId="3" borderId="1">
      <alignment horizontal="right" vertical="center" indent="1"/>
    </xf>
    <xf numFmtId="0" fontId="6" fillId="0" borderId="1">
      <alignment horizontal="center" vertical="center"/>
    </xf>
    <xf numFmtId="0" fontId="6" fillId="3" borderId="1">
      <alignment horizontal="center" vertical="center"/>
    </xf>
    <xf numFmtId="0" fontId="7" fillId="0" borderId="1">
      <alignment horizontal="left" vertical="center" indent="1"/>
    </xf>
    <xf numFmtId="0" fontId="7" fillId="3" borderId="1">
      <alignment horizontal="left" vertical="center" indent="1"/>
    </xf>
    <xf numFmtId="0" fontId="7" fillId="0" borderId="1">
      <alignment horizontal="right" vertical="center" indent="1"/>
    </xf>
    <xf numFmtId="0" fontId="7" fillId="3" borderId="2">
      <alignment horizontal="right" vertical="center" indent="1"/>
    </xf>
    <xf numFmtId="0" fontId="8" fillId="4" borderId="3">
      <alignment horizontal="left" vertical="center" indent="1"/>
    </xf>
    <xf numFmtId="0" fontId="9" fillId="4" borderId="3">
      <alignment horizontal="left" vertical="center" indent="1"/>
    </xf>
    <xf numFmtId="0" fontId="6" fillId="0" borderId="0">
      <alignment horizontal="left" vertical="center"/>
    </xf>
    <xf numFmtId="0" fontId="10" fillId="0" borderId="0">
      <alignment horizontal="left" vertical="center"/>
    </xf>
    <xf numFmtId="0" fontId="11" fillId="5" borderId="0">
      <alignment horizontal="left" vertical="center"/>
    </xf>
    <xf numFmtId="0" fontId="12" fillId="5" borderId="0">
      <alignment horizontal="left" vertical="center"/>
    </xf>
    <xf numFmtId="0" fontId="11" fillId="5" borderId="0">
      <alignment horizontal="right" vertical="center"/>
    </xf>
  </cellStyleXfs>
  <cellXfs count="43">
    <xf numFmtId="0" fontId="0" fillId="0" borderId="0" xfId="0"/>
    <xf numFmtId="0" fontId="5" fillId="2" borderId="0" xfId="7" applyFill="1">
      <alignment horizontal="center" vertical="center" wrapText="1"/>
    </xf>
    <xf numFmtId="0" fontId="1" fillId="0" borderId="1" xfId="8">
      <alignment horizontal="left" vertical="center" indent="1"/>
    </xf>
    <xf numFmtId="0" fontId="1" fillId="3" borderId="1" xfId="9">
      <alignment horizontal="left" vertical="center" indent="1"/>
    </xf>
    <xf numFmtId="0" fontId="1" fillId="0" borderId="1" xfId="10">
      <alignment horizontal="right" vertical="center" indent="1"/>
    </xf>
    <xf numFmtId="0" fontId="6" fillId="3" borderId="1" xfId="11">
      <alignment horizontal="right" vertical="center" indent="1"/>
    </xf>
    <xf numFmtId="0" fontId="6" fillId="0" borderId="1" xfId="12">
      <alignment horizontal="center" vertical="center"/>
    </xf>
    <xf numFmtId="0" fontId="6" fillId="3" borderId="1" xfId="13">
      <alignment horizontal="center" vertical="center"/>
    </xf>
    <xf numFmtId="0" fontId="7" fillId="0" borderId="1" xfId="14">
      <alignment horizontal="left" vertical="center" indent="1"/>
    </xf>
    <xf numFmtId="0" fontId="7" fillId="3" borderId="1" xfId="15">
      <alignment horizontal="left" vertical="center" indent="1"/>
    </xf>
    <xf numFmtId="0" fontId="7" fillId="0" borderId="1" xfId="16">
      <alignment horizontal="right" vertical="center" indent="1"/>
    </xf>
    <xf numFmtId="0" fontId="7" fillId="3" borderId="2" xfId="17">
      <alignment horizontal="right" vertical="center" indent="1"/>
    </xf>
    <xf numFmtId="0" fontId="8" fillId="4" borderId="3" xfId="18">
      <alignment horizontal="left" vertical="center" indent="1"/>
    </xf>
    <xf numFmtId="0" fontId="9" fillId="4" borderId="3" xfId="19">
      <alignment horizontal="left" vertical="center" indent="1"/>
    </xf>
    <xf numFmtId="165" fontId="1" fillId="0" borderId="1" xfId="8" applyNumberFormat="1">
      <alignment horizontal="left" vertical="center" indent="1"/>
    </xf>
    <xf numFmtId="165" fontId="1" fillId="3" borderId="1" xfId="9" applyNumberFormat="1">
      <alignment horizontal="left" vertical="center" indent="1"/>
    </xf>
    <xf numFmtId="165" fontId="1" fillId="0" borderId="1" xfId="10" applyNumberFormat="1">
      <alignment horizontal="right" vertical="center" indent="1"/>
    </xf>
    <xf numFmtId="165" fontId="6" fillId="3" borderId="1" xfId="11" applyNumberFormat="1">
      <alignment horizontal="right" vertical="center" indent="1"/>
    </xf>
    <xf numFmtId="165" fontId="6" fillId="0" borderId="1" xfId="12" applyNumberFormat="1">
      <alignment horizontal="center" vertical="center"/>
    </xf>
    <xf numFmtId="165" fontId="6" fillId="3" borderId="1" xfId="13" applyNumberFormat="1">
      <alignment horizontal="center" vertical="center"/>
    </xf>
    <xf numFmtId="165" fontId="7" fillId="0" borderId="1" xfId="14" applyNumberFormat="1">
      <alignment horizontal="left" vertical="center" indent="1"/>
    </xf>
    <xf numFmtId="165" fontId="7" fillId="3" borderId="1" xfId="15" applyNumberFormat="1">
      <alignment horizontal="left" vertical="center" indent="1"/>
    </xf>
    <xf numFmtId="165" fontId="7" fillId="0" borderId="1" xfId="16" applyNumberFormat="1">
      <alignment horizontal="right" vertical="center" indent="1"/>
    </xf>
    <xf numFmtId="165" fontId="7" fillId="3" borderId="2" xfId="17" applyNumberFormat="1">
      <alignment horizontal="right" vertical="center" indent="1"/>
    </xf>
    <xf numFmtId="165" fontId="8" fillId="4" borderId="3" xfId="18" applyNumberFormat="1">
      <alignment horizontal="left" vertical="center" indent="1"/>
    </xf>
    <xf numFmtId="165" fontId="9" fillId="4" borderId="3" xfId="19" applyNumberFormat="1">
      <alignment horizontal="left" vertical="center" indent="1"/>
    </xf>
    <xf numFmtId="164" fontId="1" fillId="0" borderId="1" xfId="8" applyNumberFormat="1">
      <alignment horizontal="left" vertical="center" indent="1"/>
    </xf>
    <xf numFmtId="164" fontId="1" fillId="3" borderId="1" xfId="9" applyNumberFormat="1">
      <alignment horizontal="left" vertical="center" indent="1"/>
    </xf>
    <xf numFmtId="164" fontId="1" fillId="0" borderId="1" xfId="10" applyNumberFormat="1">
      <alignment horizontal="right" vertical="center" indent="1"/>
    </xf>
    <xf numFmtId="164" fontId="6" fillId="3" borderId="1" xfId="11" applyNumberFormat="1">
      <alignment horizontal="right" vertical="center" indent="1"/>
    </xf>
    <xf numFmtId="164" fontId="6" fillId="0" borderId="1" xfId="12" applyNumberFormat="1">
      <alignment horizontal="center" vertical="center"/>
    </xf>
    <xf numFmtId="164" fontId="6" fillId="3" borderId="1" xfId="13" applyNumberFormat="1">
      <alignment horizontal="center" vertical="center"/>
    </xf>
    <xf numFmtId="164" fontId="7" fillId="0" borderId="1" xfId="14" applyNumberFormat="1">
      <alignment horizontal="left" vertical="center" indent="1"/>
    </xf>
    <xf numFmtId="164" fontId="7" fillId="3" borderId="1" xfId="15" applyNumberFormat="1">
      <alignment horizontal="left" vertical="center" indent="1"/>
    </xf>
    <xf numFmtId="164" fontId="7" fillId="0" borderId="1" xfId="16" applyNumberFormat="1">
      <alignment horizontal="right" vertical="center" indent="1"/>
    </xf>
    <xf numFmtId="164" fontId="7" fillId="3" borderId="2" xfId="17" applyNumberFormat="1">
      <alignment horizontal="right" vertical="center" indent="1"/>
    </xf>
    <xf numFmtId="164" fontId="8" fillId="4" borderId="3" xfId="18" applyNumberFormat="1">
      <alignment horizontal="left" vertical="center" indent="1"/>
    </xf>
    <xf numFmtId="164" fontId="9" fillId="4" borderId="3" xfId="19" applyNumberFormat="1">
      <alignment horizontal="left" vertical="center" indent="1"/>
    </xf>
    <xf numFmtId="0" fontId="6" fillId="0" borderId="0" xfId="20">
      <alignment horizontal="left" vertical="center"/>
    </xf>
    <xf numFmtId="0" fontId="10" fillId="0" borderId="0" xfId="21">
      <alignment horizontal="left" vertical="center"/>
    </xf>
    <xf numFmtId="0" fontId="11" fillId="5" borderId="0" xfId="22">
      <alignment horizontal="left" vertical="center"/>
    </xf>
    <xf numFmtId="0" fontId="12" fillId="5" borderId="0" xfId="23">
      <alignment horizontal="left" vertical="center"/>
    </xf>
    <xf numFmtId="0" fontId="11" fillId="5" borderId="0" xfId="24">
      <alignment horizontal="right" vertical="center"/>
    </xf>
  </cellXfs>
  <cellStyles count="25">
    <cellStyle name="bold" xfId="2" xr:uid="{00000000-0005-0000-0000-000002000000}"/>
    <cellStyle name="defaultStyle" xfId="20" xr:uid="{00000000-0005-0000-0000-000015000000}"/>
    <cellStyle name="fontSize10Italic" xfId="22" xr:uid="{00000000-0005-0000-0000-000017000000}"/>
    <cellStyle name="fontSize10ItalicHyperlink" xfId="23" xr:uid="{00000000-0005-0000-0000-000018000000}"/>
    <cellStyle name="fontSize10ItalicRight" xfId="24" xr:uid="{00000000-0005-0000-0000-000019000000}"/>
    <cellStyle name="fontSize14Bold" xfId="21" xr:uid="{00000000-0005-0000-0000-000016000000}"/>
    <cellStyle name="fontSize16Bold" xfId="6" xr:uid="{00000000-0005-0000-0000-000007000000}"/>
    <cellStyle name="horizontalCenterWrapWhiteBold" xfId="7" xr:uid="{00000000-0005-0000-0000-000008000000}"/>
    <cellStyle name="horizontalRight" xfId="1" xr:uid="{00000000-0005-0000-0000-000001000000}"/>
    <cellStyle name="hyperlinkTableCellStyleLeftGroupingColored" xfId="19" xr:uid="{00000000-0005-0000-0000-000014000000}"/>
    <cellStyle name="Normal" xfId="0" builtinId="0"/>
    <cellStyle name="tableCellStyleCenter" xfId="12" xr:uid="{00000000-0005-0000-0000-00000D000000}"/>
    <cellStyle name="tableCellStyleCenterColored" xfId="13" xr:uid="{00000000-0005-0000-0000-00000E000000}"/>
    <cellStyle name="tableCellStyleLeft" xfId="8" xr:uid="{00000000-0005-0000-0000-000009000000}"/>
    <cellStyle name="tableCellStyleLeftColored" xfId="9" xr:uid="{00000000-0005-0000-0000-00000A000000}"/>
    <cellStyle name="tableCellStyleLeftGroupingColored" xfId="18" xr:uid="{00000000-0005-0000-0000-000013000000}"/>
    <cellStyle name="tableCellStyleLeftHyperlink" xfId="14" xr:uid="{00000000-0005-0000-0000-00000F000000}"/>
    <cellStyle name="tableCellStyleLeftHyperlinkColored" xfId="15" xr:uid="{00000000-0005-0000-0000-000010000000}"/>
    <cellStyle name="tableCellStyleRight" xfId="10" xr:uid="{00000000-0005-0000-0000-00000B000000}"/>
    <cellStyle name="tableCellStyleRightColored" xfId="11" xr:uid="{00000000-0005-0000-0000-00000C000000}"/>
    <cellStyle name="tableCellStyleRightHyperlink" xfId="16" xr:uid="{00000000-0005-0000-0000-000011000000}"/>
    <cellStyle name="tableCellStyleRightHyperlinkColored" xfId="17" xr:uid="{00000000-0005-0000-0000-000012000000}"/>
    <cellStyle name="verticalTopBoldWrapBold" xfId="5" xr:uid="{00000000-0005-0000-0000-000006000000}"/>
    <cellStyle name="verticalTopHorizontalRight" xfId="3" xr:uid="{00000000-0005-0000-0000-000003000000}"/>
    <cellStyle name="verticalTopHyperlinkBold" xfId="4"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0</xdr:col>
      <xdr:colOff>85725</xdr:colOff>
      <xdr:row>0</xdr:row>
      <xdr:rowOff>85725</xdr:rowOff>
    </xdr:from>
    <xdr:to>
      <xdr:col>0</xdr:col>
      <xdr:colOff>1400175</xdr:colOff>
      <xdr:row>0</xdr:row>
      <xdr:rowOff>304800</xdr:rowOff>
    </xdr:to>
    <xdr:pic>
      <xdr:nvPicPr>
        <xdr:cNvPr id="2" name="Graphic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rcRect/>
        <a:stretch>
          <a:fillRect/>
        </a:stretch>
      </xdr:blipFill>
      <xdr:spPr>
        <a:xfrm>
          <a:off x="85725" y="85725"/>
          <a:ext cx="1314450" cy="219075"/>
        </a:xfrm>
        <a:prstGeom prst="rect">
          <a:avLst/>
        </a:prstGeom>
        <a:effec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3" Type="http://schemas.openxmlformats.org/officeDocument/2006/relationships/hyperlink" Target="support@pitchbook.com" TargetMode="External"/><Relationship Id="rId2" Type="http://schemas.openxmlformats.org/officeDocument/2006/relationships/hyperlink" Target="https://pitchbook.com/subscription-agreement" TargetMode="External"/><Relationship Id="rId1" Type="http://schemas.openxmlformats.org/officeDocument/2006/relationships/hyperlink" Target="support@pitchbook.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744"/>
  <sheetViews>
    <sheetView showGridLines="0" tabSelected="1" topLeftCell="E1" workbookViewId="0">
      <selection activeCell="C7" sqref="C7"/>
    </sheetView>
  </sheetViews>
  <sheetFormatPr baseColWidth="10" defaultColWidth="8.83203125" defaultRowHeight="15" x14ac:dyDescent="0.2"/>
  <cols>
    <col min="1" max="1" width="21.6640625" customWidth="1"/>
    <col min="2" max="2" width="44.1640625" customWidth="1"/>
    <col min="3" max="4" width="29.5" customWidth="1"/>
    <col min="5" max="5" width="15.1640625" customWidth="1"/>
    <col min="6" max="7" width="19.5" customWidth="1"/>
    <col min="8" max="8" width="20.1640625" customWidth="1"/>
    <col min="9" max="9" width="15.1640625" customWidth="1"/>
    <col min="10" max="10" width="19.5" customWidth="1"/>
    <col min="11" max="11" width="29.5" customWidth="1"/>
    <col min="12" max="12" width="31" customWidth="1"/>
    <col min="13" max="13" width="31.83203125" customWidth="1"/>
    <col min="14" max="16" width="36.83203125" customWidth="1"/>
    <col min="17" max="17" width="27.5" customWidth="1"/>
    <col min="18" max="18" width="18.6640625" customWidth="1"/>
    <col min="19" max="19" width="15.1640625" customWidth="1"/>
    <col min="20" max="20" width="16.83203125" customWidth="1"/>
    <col min="21" max="21" width="17.5" customWidth="1"/>
    <col min="22" max="22" width="17.83203125" customWidth="1"/>
    <col min="23" max="23" width="15.83203125" customWidth="1"/>
    <col min="24" max="24" width="27.5" customWidth="1"/>
    <col min="25" max="25" width="29.5" customWidth="1"/>
    <col min="26" max="26" width="35.5" customWidth="1"/>
    <col min="27" max="28" width="26.6640625" customWidth="1"/>
    <col min="29" max="29" width="18" customWidth="1"/>
    <col min="30" max="30" width="24.5" customWidth="1"/>
    <col min="31" max="31" width="17" customWidth="1"/>
    <col min="32" max="32" width="24.33203125" customWidth="1"/>
    <col min="33" max="33" width="15.83203125" customWidth="1"/>
    <col min="34" max="34" width="23.83203125" customWidth="1"/>
    <col min="35" max="37" width="27.5" customWidth="1"/>
    <col min="38" max="38" width="25.83203125" customWidth="1"/>
    <col min="39" max="39" width="21" customWidth="1"/>
    <col min="40" max="40" width="18.6640625" customWidth="1"/>
  </cols>
  <sheetData>
    <row r="1" spans="1:40" ht="35"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row>
    <row r="2" spans="1:40" x14ac:dyDescent="0.2">
      <c r="A2" s="3" t="s">
        <v>40</v>
      </c>
      <c r="B2" s="3" t="s">
        <v>41</v>
      </c>
      <c r="C2" s="3" t="s">
        <v>42</v>
      </c>
      <c r="D2" s="3" t="s">
        <v>42</v>
      </c>
      <c r="E2" s="3" t="s">
        <v>40</v>
      </c>
      <c r="F2" s="3" t="s">
        <v>43</v>
      </c>
      <c r="G2" s="3" t="s">
        <v>44</v>
      </c>
      <c r="H2" s="3" t="s">
        <v>45</v>
      </c>
      <c r="I2" s="3" t="s">
        <v>46</v>
      </c>
      <c r="J2" s="3" t="s">
        <v>47</v>
      </c>
      <c r="K2" s="3" t="s">
        <v>48</v>
      </c>
      <c r="L2" s="3" t="s">
        <v>49</v>
      </c>
      <c r="M2" s="9" t="str">
        <f>HYPERLINK("http://www.pif.gov.sa", "www.pif.gov.sa")</f>
        <v>www.pif.gov.sa</v>
      </c>
      <c r="N2" s="3" t="s">
        <v>50</v>
      </c>
      <c r="O2" s="3" t="s">
        <v>42</v>
      </c>
      <c r="P2" s="3" t="s">
        <v>51</v>
      </c>
      <c r="Q2" s="3" t="s">
        <v>52</v>
      </c>
      <c r="R2" s="17">
        <v>7</v>
      </c>
      <c r="S2" s="17">
        <v>43</v>
      </c>
      <c r="T2" s="17">
        <v>2</v>
      </c>
      <c r="U2" s="17">
        <v>34</v>
      </c>
      <c r="V2" s="17">
        <v>1</v>
      </c>
      <c r="W2" s="5" t="s">
        <v>53</v>
      </c>
      <c r="X2" s="3" t="s">
        <v>54</v>
      </c>
      <c r="Y2" s="9" t="str">
        <f>HYPERLINK("http://linkedin.com/in/yasir-al-rumayyan-a23b823/", "http://linkedin.com/in/yasir-al-rumayyan-a23b823/")</f>
        <v>http://linkedin.com/in/yasir-al-rumayyan-a23b823/</v>
      </c>
      <c r="Z2" s="3" t="s">
        <v>55</v>
      </c>
      <c r="AA2" s="3" t="s">
        <v>56</v>
      </c>
      <c r="AB2" s="3" t="s">
        <v>57</v>
      </c>
      <c r="AC2" s="3" t="s">
        <v>58</v>
      </c>
      <c r="AD2" s="3" t="s">
        <v>42</v>
      </c>
      <c r="AE2" s="5" t="s">
        <v>59</v>
      </c>
      <c r="AF2" s="3" t="s">
        <v>60</v>
      </c>
      <c r="AG2" s="5" t="s">
        <v>42</v>
      </c>
      <c r="AH2" s="3" t="s">
        <v>61</v>
      </c>
      <c r="AI2" s="3" t="s">
        <v>61</v>
      </c>
      <c r="AJ2" s="3" t="s">
        <v>42</v>
      </c>
      <c r="AK2" s="3" t="s">
        <v>42</v>
      </c>
      <c r="AL2" s="29">
        <v>46050</v>
      </c>
      <c r="AM2" s="5">
        <v>1970</v>
      </c>
      <c r="AN2" s="9" t="str">
        <f>HYPERLINK("https://my.pitchbook.com?p=136818-10P", "View People Online")</f>
        <v>View People Online</v>
      </c>
    </row>
    <row r="3" spans="1:40" x14ac:dyDescent="0.2">
      <c r="A3" s="2" t="s">
        <v>62</v>
      </c>
      <c r="B3" s="2" t="s">
        <v>63</v>
      </c>
      <c r="C3" s="2" t="s">
        <v>42</v>
      </c>
      <c r="D3" s="2" t="s">
        <v>42</v>
      </c>
      <c r="E3" s="2" t="s">
        <v>62</v>
      </c>
      <c r="F3" s="2" t="s">
        <v>64</v>
      </c>
      <c r="G3" s="2" t="s">
        <v>65</v>
      </c>
      <c r="H3" s="2" t="s">
        <v>66</v>
      </c>
      <c r="I3" s="2" t="s">
        <v>46</v>
      </c>
      <c r="J3" s="2" t="s">
        <v>47</v>
      </c>
      <c r="K3" s="2" t="s">
        <v>67</v>
      </c>
      <c r="L3" s="2" t="s">
        <v>68</v>
      </c>
      <c r="M3" s="8" t="str">
        <f>HYPERLINK("http://www.kafaa-invest.com", "www.kafaa-invest.com")</f>
        <v>www.kafaa-invest.com</v>
      </c>
      <c r="N3" s="2" t="s">
        <v>69</v>
      </c>
      <c r="O3" s="2" t="s">
        <v>42</v>
      </c>
      <c r="P3" s="2" t="s">
        <v>70</v>
      </c>
      <c r="Q3" s="2" t="s">
        <v>71</v>
      </c>
      <c r="R3" s="16">
        <v>10</v>
      </c>
      <c r="S3" s="16">
        <v>26</v>
      </c>
      <c r="T3" s="16">
        <v>5</v>
      </c>
      <c r="U3" s="16">
        <v>14</v>
      </c>
      <c r="V3" s="16" t="s">
        <v>42</v>
      </c>
      <c r="W3" s="4" t="s">
        <v>72</v>
      </c>
      <c r="X3" s="2" t="s">
        <v>73</v>
      </c>
      <c r="Y3" s="8" t="str">
        <f>HYPERLINK("http://linkedin.com/in/abdullahalothaim/?originalsubdomain=sa", "http://linkedin.com/in/abdullahalothaim/?originalsubdomain=sa")</f>
        <v>http://linkedin.com/in/abdullahalothaim/?originalsubdomain=sa</v>
      </c>
      <c r="Z3" s="2" t="s">
        <v>55</v>
      </c>
      <c r="AA3" s="2" t="s">
        <v>74</v>
      </c>
      <c r="AB3" s="2" t="s">
        <v>42</v>
      </c>
      <c r="AC3" s="2" t="s">
        <v>58</v>
      </c>
      <c r="AD3" s="2" t="s">
        <v>42</v>
      </c>
      <c r="AE3" s="4" t="s">
        <v>75</v>
      </c>
      <c r="AF3" s="2" t="s">
        <v>60</v>
      </c>
      <c r="AG3" s="4" t="s">
        <v>42</v>
      </c>
      <c r="AH3" s="2" t="s">
        <v>61</v>
      </c>
      <c r="AI3" s="2" t="s">
        <v>61</v>
      </c>
      <c r="AJ3" s="2" t="s">
        <v>42</v>
      </c>
      <c r="AK3" s="2" t="s">
        <v>42</v>
      </c>
      <c r="AL3" s="28">
        <v>46034</v>
      </c>
      <c r="AM3" s="4">
        <v>1984</v>
      </c>
      <c r="AN3" s="8" t="str">
        <f>HYPERLINK("https://my.pitchbook.com?p=347346-01P", "View People Online")</f>
        <v>View People Online</v>
      </c>
    </row>
    <row r="4" spans="1:40" x14ac:dyDescent="0.2">
      <c r="A4" s="3" t="s">
        <v>76</v>
      </c>
      <c r="B4" s="3" t="s">
        <v>77</v>
      </c>
      <c r="C4" s="3" t="s">
        <v>42</v>
      </c>
      <c r="D4" s="3" t="s">
        <v>42</v>
      </c>
      <c r="E4" s="3" t="s">
        <v>76</v>
      </c>
      <c r="F4" s="3" t="s">
        <v>78</v>
      </c>
      <c r="G4" s="3" t="s">
        <v>79</v>
      </c>
      <c r="H4" s="3" t="s">
        <v>42</v>
      </c>
      <c r="I4" s="3" t="s">
        <v>46</v>
      </c>
      <c r="J4" s="3" t="s">
        <v>47</v>
      </c>
      <c r="K4" s="3" t="s">
        <v>80</v>
      </c>
      <c r="L4" s="3" t="s">
        <v>81</v>
      </c>
      <c r="M4" s="9" t="str">
        <f>HYPERLINK("http://jadwa.com", "jadwa.com")</f>
        <v>jadwa.com</v>
      </c>
      <c r="N4" s="3" t="s">
        <v>82</v>
      </c>
      <c r="O4" s="3" t="s">
        <v>42</v>
      </c>
      <c r="P4" s="3" t="s">
        <v>83</v>
      </c>
      <c r="Q4" s="3" t="s">
        <v>84</v>
      </c>
      <c r="R4" s="17">
        <v>1</v>
      </c>
      <c r="S4" s="17">
        <v>19</v>
      </c>
      <c r="T4" s="17">
        <v>1</v>
      </c>
      <c r="U4" s="17">
        <v>10</v>
      </c>
      <c r="V4" s="17">
        <v>7</v>
      </c>
      <c r="W4" s="5" t="s">
        <v>85</v>
      </c>
      <c r="X4" s="3" t="s">
        <v>86</v>
      </c>
      <c r="Y4" s="9" t="str">
        <f>HYPERLINK("http://sa.linkedin.com/in/tariq-al-sudairy-335233", "http://sa.linkedin.com/in/tariq-al-sudairy-335233")</f>
        <v>http://sa.linkedin.com/in/tariq-al-sudairy-335233</v>
      </c>
      <c r="Z4" s="3" t="s">
        <v>55</v>
      </c>
      <c r="AA4" s="3" t="s">
        <v>87</v>
      </c>
      <c r="AB4" s="3" t="s">
        <v>88</v>
      </c>
      <c r="AC4" s="3" t="s">
        <v>58</v>
      </c>
      <c r="AD4" s="3" t="s">
        <v>42</v>
      </c>
      <c r="AE4" s="5" t="s">
        <v>89</v>
      </c>
      <c r="AF4" s="3" t="s">
        <v>60</v>
      </c>
      <c r="AG4" s="5" t="s">
        <v>90</v>
      </c>
      <c r="AH4" s="3" t="s">
        <v>61</v>
      </c>
      <c r="AI4" s="3" t="s">
        <v>61</v>
      </c>
      <c r="AJ4" s="3" t="s">
        <v>42</v>
      </c>
      <c r="AK4" s="3" t="s">
        <v>42</v>
      </c>
      <c r="AL4" s="29">
        <v>45860</v>
      </c>
      <c r="AM4" s="5">
        <v>1977</v>
      </c>
      <c r="AN4" s="9" t="str">
        <f>HYPERLINK("https://my.pitchbook.com?p=71107-21P", "View People Online")</f>
        <v>View People Online</v>
      </c>
    </row>
    <row r="5" spans="1:40" x14ac:dyDescent="0.2">
      <c r="A5" s="2" t="s">
        <v>91</v>
      </c>
      <c r="B5" s="2" t="s">
        <v>92</v>
      </c>
      <c r="C5" s="2" t="s">
        <v>42</v>
      </c>
      <c r="D5" s="2" t="s">
        <v>42</v>
      </c>
      <c r="E5" s="2" t="s">
        <v>91</v>
      </c>
      <c r="F5" s="2" t="s">
        <v>93</v>
      </c>
      <c r="G5" s="2" t="s">
        <v>94</v>
      </c>
      <c r="H5" s="2" t="s">
        <v>95</v>
      </c>
      <c r="I5" s="2" t="s">
        <v>46</v>
      </c>
      <c r="J5" s="2" t="s">
        <v>47</v>
      </c>
      <c r="K5" s="2" t="s">
        <v>96</v>
      </c>
      <c r="L5" s="2" t="s">
        <v>97</v>
      </c>
      <c r="M5" s="8" t="str">
        <f>HYPERLINK("http://kingdom.com.sa", "kingdom.com.sa")</f>
        <v>kingdom.com.sa</v>
      </c>
      <c r="N5" s="2" t="s">
        <v>98</v>
      </c>
      <c r="O5" s="2" t="s">
        <v>42</v>
      </c>
      <c r="P5" s="2" t="s">
        <v>99</v>
      </c>
      <c r="Q5" s="2" t="s">
        <v>100</v>
      </c>
      <c r="R5" s="16">
        <v>2</v>
      </c>
      <c r="S5" s="16">
        <v>16</v>
      </c>
      <c r="T5" s="16">
        <v>1</v>
      </c>
      <c r="U5" s="16">
        <v>13</v>
      </c>
      <c r="V5" s="16" t="s">
        <v>42</v>
      </c>
      <c r="W5" s="4" t="s">
        <v>101</v>
      </c>
      <c r="X5" s="2" t="s">
        <v>102</v>
      </c>
      <c r="Y5" s="8" t="str">
        <f>HYPERLINK("http://linkedin.com/in/prince-al-waleed-al-saud-393523107/", "http://linkedin.com/in/prince-al-waleed-al-saud-393523107/")</f>
        <v>http://linkedin.com/in/prince-al-waleed-al-saud-393523107/</v>
      </c>
      <c r="Z5" s="2" t="s">
        <v>55</v>
      </c>
      <c r="AA5" s="2" t="s">
        <v>42</v>
      </c>
      <c r="AB5" s="2" t="s">
        <v>42</v>
      </c>
      <c r="AC5" s="2" t="s">
        <v>58</v>
      </c>
      <c r="AD5" s="2" t="s">
        <v>42</v>
      </c>
      <c r="AE5" s="4" t="s">
        <v>103</v>
      </c>
      <c r="AF5" s="2" t="s">
        <v>60</v>
      </c>
      <c r="AG5" s="4" t="s">
        <v>104</v>
      </c>
      <c r="AH5" s="2" t="s">
        <v>61</v>
      </c>
      <c r="AI5" s="2" t="s">
        <v>61</v>
      </c>
      <c r="AJ5" s="2" t="s">
        <v>42</v>
      </c>
      <c r="AK5" s="2" t="s">
        <v>42</v>
      </c>
      <c r="AL5" s="28">
        <v>46001</v>
      </c>
      <c r="AM5" s="4" t="s">
        <v>42</v>
      </c>
      <c r="AN5" s="8" t="str">
        <f>HYPERLINK("https://my.pitchbook.com?p=53449-84P", "View People Online")</f>
        <v>View People Online</v>
      </c>
    </row>
    <row r="6" spans="1:40" x14ac:dyDescent="0.2">
      <c r="A6" s="3" t="s">
        <v>105</v>
      </c>
      <c r="B6" s="3" t="s">
        <v>106</v>
      </c>
      <c r="C6" s="3" t="s">
        <v>42</v>
      </c>
      <c r="D6" s="3" t="s">
        <v>42</v>
      </c>
      <c r="E6" s="3" t="s">
        <v>105</v>
      </c>
      <c r="F6" s="3" t="s">
        <v>107</v>
      </c>
      <c r="G6" s="3" t="s">
        <v>108</v>
      </c>
      <c r="H6" s="3" t="s">
        <v>109</v>
      </c>
      <c r="I6" s="3" t="s">
        <v>46</v>
      </c>
      <c r="J6" s="3" t="s">
        <v>47</v>
      </c>
      <c r="K6" s="3" t="s">
        <v>110</v>
      </c>
      <c r="L6" s="3" t="s">
        <v>111</v>
      </c>
      <c r="M6" s="9" t="str">
        <f>HYPERLINK("http://www.aramco.com", "www.aramco.com")</f>
        <v>www.aramco.com</v>
      </c>
      <c r="N6" s="3" t="s">
        <v>112</v>
      </c>
      <c r="O6" s="3" t="s">
        <v>42</v>
      </c>
      <c r="P6" s="3" t="s">
        <v>113</v>
      </c>
      <c r="Q6" s="3" t="s">
        <v>42</v>
      </c>
      <c r="R6" s="17">
        <v>4</v>
      </c>
      <c r="S6" s="17">
        <v>14</v>
      </c>
      <c r="T6" s="17">
        <v>2</v>
      </c>
      <c r="U6" s="17">
        <v>8</v>
      </c>
      <c r="V6" s="17">
        <v>1</v>
      </c>
      <c r="W6" s="5" t="s">
        <v>114</v>
      </c>
      <c r="X6" s="3" t="s">
        <v>115</v>
      </c>
      <c r="Y6" s="3" t="s">
        <v>42</v>
      </c>
      <c r="Z6" s="3" t="s">
        <v>116</v>
      </c>
      <c r="AA6" s="3" t="s">
        <v>117</v>
      </c>
      <c r="AB6" s="3" t="s">
        <v>42</v>
      </c>
      <c r="AC6" s="3" t="s">
        <v>118</v>
      </c>
      <c r="AD6" s="3" t="s">
        <v>42</v>
      </c>
      <c r="AE6" s="5" t="s">
        <v>119</v>
      </c>
      <c r="AF6" s="3" t="s">
        <v>60</v>
      </c>
      <c r="AG6" s="5" t="s">
        <v>42</v>
      </c>
      <c r="AH6" s="3" t="s">
        <v>61</v>
      </c>
      <c r="AI6" s="3" t="s">
        <v>61</v>
      </c>
      <c r="AJ6" s="3" t="s">
        <v>42</v>
      </c>
      <c r="AK6" s="3" t="s">
        <v>42</v>
      </c>
      <c r="AL6" s="29">
        <v>46044</v>
      </c>
      <c r="AM6" s="5">
        <v>1959</v>
      </c>
      <c r="AN6" s="9" t="str">
        <f>HYPERLINK("https://my.pitchbook.com?p=132730-84P", "View People Online")</f>
        <v>View People Online</v>
      </c>
    </row>
    <row r="7" spans="1:40" x14ac:dyDescent="0.2">
      <c r="A7" s="2" t="s">
        <v>120</v>
      </c>
      <c r="B7" s="2" t="s">
        <v>121</v>
      </c>
      <c r="C7" s="2" t="s">
        <v>42</v>
      </c>
      <c r="D7" s="2" t="s">
        <v>42</v>
      </c>
      <c r="E7" s="2" t="s">
        <v>120</v>
      </c>
      <c r="F7" s="2" t="s">
        <v>122</v>
      </c>
      <c r="G7" s="2" t="s">
        <v>123</v>
      </c>
      <c r="H7" s="2" t="s">
        <v>42</v>
      </c>
      <c r="I7" s="2" t="s">
        <v>46</v>
      </c>
      <c r="J7" s="2" t="s">
        <v>47</v>
      </c>
      <c r="K7" s="2" t="s">
        <v>124</v>
      </c>
      <c r="L7" s="2" t="s">
        <v>125</v>
      </c>
      <c r="M7" s="8" t="str">
        <f>HYPERLINK("http://www.zettatech.sa.com", "www.zettatech.sa.com")</f>
        <v>www.zettatech.sa.com</v>
      </c>
      <c r="N7" s="2" t="s">
        <v>126</v>
      </c>
      <c r="O7" s="2" t="s">
        <v>42</v>
      </c>
      <c r="P7" s="2" t="s">
        <v>127</v>
      </c>
      <c r="Q7" s="2" t="s">
        <v>128</v>
      </c>
      <c r="R7" s="16">
        <v>2</v>
      </c>
      <c r="S7" s="16">
        <v>14</v>
      </c>
      <c r="T7" s="16">
        <v>5</v>
      </c>
      <c r="U7" s="16">
        <v>8</v>
      </c>
      <c r="V7" s="16" t="s">
        <v>42</v>
      </c>
      <c r="W7" s="4" t="s">
        <v>129</v>
      </c>
      <c r="X7" s="2" t="s">
        <v>130</v>
      </c>
      <c r="Y7" s="8" t="str">
        <f>HYPERLINK("http://linkedin.com/in/faisal-al-abdulsalam", "http://linkedin.com/in/faisal-al-abdulsalam")</f>
        <v>http://linkedin.com/in/faisal-al-abdulsalam</v>
      </c>
      <c r="Z7" s="2" t="s">
        <v>55</v>
      </c>
      <c r="AA7" s="2" t="s">
        <v>131</v>
      </c>
      <c r="AB7" s="2" t="s">
        <v>132</v>
      </c>
      <c r="AC7" s="2" t="s">
        <v>58</v>
      </c>
      <c r="AD7" s="2" t="s">
        <v>58</v>
      </c>
      <c r="AE7" s="4" t="s">
        <v>133</v>
      </c>
      <c r="AF7" s="2" t="s">
        <v>60</v>
      </c>
      <c r="AG7" s="4" t="s">
        <v>42</v>
      </c>
      <c r="AH7" s="2" t="s">
        <v>61</v>
      </c>
      <c r="AI7" s="2" t="s">
        <v>61</v>
      </c>
      <c r="AJ7" s="2" t="s">
        <v>42</v>
      </c>
      <c r="AK7" s="2" t="s">
        <v>42</v>
      </c>
      <c r="AL7" s="28">
        <v>45937</v>
      </c>
      <c r="AM7" s="4" t="s">
        <v>42</v>
      </c>
      <c r="AN7" s="8" t="str">
        <f>HYPERLINK("https://my.pitchbook.com?p=276039-01P", "View People Online")</f>
        <v>View People Online</v>
      </c>
    </row>
    <row r="8" spans="1:40" x14ac:dyDescent="0.2">
      <c r="A8" s="3" t="s">
        <v>134</v>
      </c>
      <c r="B8" s="3" t="s">
        <v>135</v>
      </c>
      <c r="C8" s="3" t="s">
        <v>42</v>
      </c>
      <c r="D8" s="3" t="s">
        <v>42</v>
      </c>
      <c r="E8" s="3" t="s">
        <v>134</v>
      </c>
      <c r="F8" s="3" t="s">
        <v>136</v>
      </c>
      <c r="G8" s="3" t="s">
        <v>137</v>
      </c>
      <c r="H8" s="3" t="s">
        <v>42</v>
      </c>
      <c r="I8" s="3" t="s">
        <v>46</v>
      </c>
      <c r="J8" s="3" t="s">
        <v>47</v>
      </c>
      <c r="K8" s="3" t="s">
        <v>138</v>
      </c>
      <c r="L8" s="3" t="s">
        <v>97</v>
      </c>
      <c r="M8" s="9" t="str">
        <f>HYPERLINK("http://www.amanat.com", "www.amanat.com")</f>
        <v>www.amanat.com</v>
      </c>
      <c r="N8" s="3" t="s">
        <v>139</v>
      </c>
      <c r="O8" s="3" t="s">
        <v>42</v>
      </c>
      <c r="P8" s="3" t="s">
        <v>140</v>
      </c>
      <c r="Q8" s="3" t="s">
        <v>42</v>
      </c>
      <c r="R8" s="17">
        <v>3</v>
      </c>
      <c r="S8" s="17">
        <v>14</v>
      </c>
      <c r="T8" s="17">
        <v>2</v>
      </c>
      <c r="U8" s="17">
        <v>9</v>
      </c>
      <c r="V8" s="17" t="s">
        <v>42</v>
      </c>
      <c r="W8" s="5" t="s">
        <v>141</v>
      </c>
      <c r="X8" s="3" t="s">
        <v>42</v>
      </c>
      <c r="Y8" s="9" t="str">
        <f>HYPERLINK("http://linkedin.com/in/dr-shamsheer-vayalil-77850b1a/", "http://linkedin.com/in/dr-shamsheer-vayalil-77850b1a/")</f>
        <v>http://linkedin.com/in/dr-shamsheer-vayalil-77850b1a/</v>
      </c>
      <c r="Z8" s="3" t="s">
        <v>142</v>
      </c>
      <c r="AA8" s="3" t="s">
        <v>143</v>
      </c>
      <c r="AB8" s="3" t="s">
        <v>144</v>
      </c>
      <c r="AC8" s="3" t="s">
        <v>145</v>
      </c>
      <c r="AD8" s="3" t="s">
        <v>42</v>
      </c>
      <c r="AE8" s="5" t="s">
        <v>146</v>
      </c>
      <c r="AF8" s="3" t="s">
        <v>147</v>
      </c>
      <c r="AG8" s="5" t="s">
        <v>148</v>
      </c>
      <c r="AH8" s="3" t="s">
        <v>61</v>
      </c>
      <c r="AI8" s="3" t="s">
        <v>61</v>
      </c>
      <c r="AJ8" s="3" t="s">
        <v>42</v>
      </c>
      <c r="AK8" s="3" t="s">
        <v>42</v>
      </c>
      <c r="AL8" s="29">
        <v>46017</v>
      </c>
      <c r="AM8" s="5">
        <v>1985</v>
      </c>
      <c r="AN8" s="9" t="str">
        <f>HYPERLINK("https://my.pitchbook.com?p=201502-18P", "View People Online")</f>
        <v>View People Online</v>
      </c>
    </row>
    <row r="9" spans="1:40" x14ac:dyDescent="0.2">
      <c r="A9" s="2" t="s">
        <v>149</v>
      </c>
      <c r="B9" s="2" t="s">
        <v>150</v>
      </c>
      <c r="C9" s="2" t="s">
        <v>42</v>
      </c>
      <c r="D9" s="2" t="s">
        <v>42</v>
      </c>
      <c r="E9" s="2" t="s">
        <v>149</v>
      </c>
      <c r="F9" s="2" t="s">
        <v>108</v>
      </c>
      <c r="G9" s="2" t="s">
        <v>151</v>
      </c>
      <c r="H9" s="2" t="s">
        <v>42</v>
      </c>
      <c r="I9" s="2" t="s">
        <v>46</v>
      </c>
      <c r="J9" s="2" t="s">
        <v>47</v>
      </c>
      <c r="K9" s="2" t="s">
        <v>152</v>
      </c>
      <c r="L9" s="2" t="s">
        <v>111</v>
      </c>
      <c r="M9" s="8" t="str">
        <f>HYPERLINK("http://global.rakuten.com", "global.rakuten.com")</f>
        <v>global.rakuten.com</v>
      </c>
      <c r="N9" s="2" t="s">
        <v>153</v>
      </c>
      <c r="O9" s="2" t="s">
        <v>42</v>
      </c>
      <c r="P9" s="2" t="s">
        <v>154</v>
      </c>
      <c r="Q9" s="2" t="s">
        <v>155</v>
      </c>
      <c r="R9" s="16" t="s">
        <v>42</v>
      </c>
      <c r="S9" s="16">
        <v>9</v>
      </c>
      <c r="T9" s="16">
        <v>2</v>
      </c>
      <c r="U9" s="16">
        <v>6</v>
      </c>
      <c r="V9" s="16" t="s">
        <v>42</v>
      </c>
      <c r="W9" s="4" t="s">
        <v>114</v>
      </c>
      <c r="X9" s="2" t="s">
        <v>156</v>
      </c>
      <c r="Y9" s="8" t="str">
        <f>HYPERLINK("http://linkedin.com/in/tareq-amin-b58302/", "http://linkedin.com/in/tareq-amin-b58302/")</f>
        <v>http://linkedin.com/in/tareq-amin-b58302/</v>
      </c>
      <c r="Z9" s="2" t="s">
        <v>116</v>
      </c>
      <c r="AA9" s="2" t="s">
        <v>117</v>
      </c>
      <c r="AB9" s="2" t="s">
        <v>42</v>
      </c>
      <c r="AC9" s="2" t="s">
        <v>118</v>
      </c>
      <c r="AD9" s="2" t="s">
        <v>42</v>
      </c>
      <c r="AE9" s="4" t="s">
        <v>119</v>
      </c>
      <c r="AF9" s="2" t="s">
        <v>60</v>
      </c>
      <c r="AG9" s="4" t="s">
        <v>42</v>
      </c>
      <c r="AH9" s="2" t="s">
        <v>61</v>
      </c>
      <c r="AI9" s="2" t="s">
        <v>61</v>
      </c>
      <c r="AJ9" s="2" t="s">
        <v>42</v>
      </c>
      <c r="AK9" s="2" t="s">
        <v>42</v>
      </c>
      <c r="AL9" s="28">
        <v>46043</v>
      </c>
      <c r="AM9" s="4">
        <v>1972</v>
      </c>
      <c r="AN9" s="8" t="str">
        <f>HYPERLINK("https://my.pitchbook.com?p=201409-75P", "View People Online")</f>
        <v>View People Online</v>
      </c>
    </row>
    <row r="10" spans="1:40" x14ac:dyDescent="0.2">
      <c r="A10" s="3" t="s">
        <v>157</v>
      </c>
      <c r="B10" s="3" t="s">
        <v>158</v>
      </c>
      <c r="C10" s="3" t="s">
        <v>42</v>
      </c>
      <c r="D10" s="3" t="s">
        <v>42</v>
      </c>
      <c r="E10" s="3" t="s">
        <v>157</v>
      </c>
      <c r="F10" s="3" t="s">
        <v>159</v>
      </c>
      <c r="G10" s="3" t="s">
        <v>160</v>
      </c>
      <c r="H10" s="3" t="s">
        <v>161</v>
      </c>
      <c r="I10" s="3" t="s">
        <v>46</v>
      </c>
      <c r="J10" s="3" t="s">
        <v>47</v>
      </c>
      <c r="K10" s="3" t="s">
        <v>96</v>
      </c>
      <c r="L10" s="3" t="s">
        <v>97</v>
      </c>
      <c r="M10" s="9" t="str">
        <f>HYPERLINK("http://kingdom.com.sa", "kingdom.com.sa")</f>
        <v>kingdom.com.sa</v>
      </c>
      <c r="N10" s="3" t="s">
        <v>112</v>
      </c>
      <c r="O10" s="3" t="s">
        <v>42</v>
      </c>
      <c r="P10" s="3" t="s">
        <v>162</v>
      </c>
      <c r="Q10" s="3" t="s">
        <v>163</v>
      </c>
      <c r="R10" s="17">
        <v>3</v>
      </c>
      <c r="S10" s="17">
        <v>8</v>
      </c>
      <c r="T10" s="17">
        <v>1</v>
      </c>
      <c r="U10" s="17">
        <v>4</v>
      </c>
      <c r="V10" s="17">
        <v>1</v>
      </c>
      <c r="W10" s="5" t="s">
        <v>101</v>
      </c>
      <c r="X10" s="3" t="s">
        <v>42</v>
      </c>
      <c r="Y10" s="9" t="str">
        <f>HYPERLINK("http://linkedin.com/in/talal-al-maiman-1b138113a", "http://linkedin.com/in/talal-al-maiman-1b138113a")</f>
        <v>http://linkedin.com/in/talal-al-maiman-1b138113a</v>
      </c>
      <c r="Z10" s="3" t="s">
        <v>55</v>
      </c>
      <c r="AA10" s="3" t="s">
        <v>42</v>
      </c>
      <c r="AB10" s="3" t="s">
        <v>42</v>
      </c>
      <c r="AC10" s="3" t="s">
        <v>58</v>
      </c>
      <c r="AD10" s="3" t="s">
        <v>42</v>
      </c>
      <c r="AE10" s="5" t="s">
        <v>103</v>
      </c>
      <c r="AF10" s="3" t="s">
        <v>60</v>
      </c>
      <c r="AG10" s="5" t="s">
        <v>104</v>
      </c>
      <c r="AH10" s="3" t="s">
        <v>61</v>
      </c>
      <c r="AI10" s="3" t="s">
        <v>61</v>
      </c>
      <c r="AJ10" s="3" t="s">
        <v>42</v>
      </c>
      <c r="AK10" s="3" t="s">
        <v>42</v>
      </c>
      <c r="AL10" s="29">
        <v>46045</v>
      </c>
      <c r="AM10" s="5" t="s">
        <v>42</v>
      </c>
      <c r="AN10" s="9" t="str">
        <f>HYPERLINK("https://my.pitchbook.com?p=80417-62P", "View People Online")</f>
        <v>View People Online</v>
      </c>
    </row>
    <row r="11" spans="1:40" x14ac:dyDescent="0.2">
      <c r="A11" s="2" t="s">
        <v>164</v>
      </c>
      <c r="B11" s="2" t="s">
        <v>165</v>
      </c>
      <c r="C11" s="2" t="s">
        <v>42</v>
      </c>
      <c r="D11" s="2" t="s">
        <v>42</v>
      </c>
      <c r="E11" s="2" t="s">
        <v>164</v>
      </c>
      <c r="F11" s="2" t="s">
        <v>166</v>
      </c>
      <c r="G11" s="2" t="s">
        <v>167</v>
      </c>
      <c r="H11" s="2" t="s">
        <v>168</v>
      </c>
      <c r="I11" s="2" t="s">
        <v>46</v>
      </c>
      <c r="J11" s="2" t="s">
        <v>47</v>
      </c>
      <c r="K11" s="2" t="s">
        <v>169</v>
      </c>
      <c r="L11" s="2" t="s">
        <v>81</v>
      </c>
      <c r="M11" s="8" t="str">
        <f>HYPERLINK("http://www.alkhabeer.com", "www.alkhabeer.com")</f>
        <v>www.alkhabeer.com</v>
      </c>
      <c r="N11" s="2" t="s">
        <v>170</v>
      </c>
      <c r="O11" s="2" t="s">
        <v>42</v>
      </c>
      <c r="P11" s="2" t="s">
        <v>171</v>
      </c>
      <c r="Q11" s="2" t="s">
        <v>42</v>
      </c>
      <c r="R11" s="16">
        <v>1</v>
      </c>
      <c r="S11" s="16">
        <v>7</v>
      </c>
      <c r="T11" s="16">
        <v>1</v>
      </c>
      <c r="U11" s="16">
        <v>3</v>
      </c>
      <c r="V11" s="16">
        <v>3</v>
      </c>
      <c r="W11" s="4" t="s">
        <v>172</v>
      </c>
      <c r="X11" s="2" t="s">
        <v>173</v>
      </c>
      <c r="Y11" s="8" t="str">
        <f>HYPERLINK("http://linkedin.com/in/ahmed-ghouth-7031258/", "http://linkedin.com/in/ahmed-ghouth-7031258/")</f>
        <v>http://linkedin.com/in/ahmed-ghouth-7031258/</v>
      </c>
      <c r="Z11" s="2" t="s">
        <v>174</v>
      </c>
      <c r="AA11" s="2" t="s">
        <v>175</v>
      </c>
      <c r="AB11" s="2" t="s">
        <v>42</v>
      </c>
      <c r="AC11" s="2" t="s">
        <v>176</v>
      </c>
      <c r="AD11" s="2" t="s">
        <v>42</v>
      </c>
      <c r="AE11" s="4" t="s">
        <v>177</v>
      </c>
      <c r="AF11" s="2" t="s">
        <v>60</v>
      </c>
      <c r="AG11" s="4" t="s">
        <v>178</v>
      </c>
      <c r="AH11" s="2" t="s">
        <v>61</v>
      </c>
      <c r="AI11" s="2" t="s">
        <v>61</v>
      </c>
      <c r="AJ11" s="2" t="s">
        <v>42</v>
      </c>
      <c r="AK11" s="2" t="s">
        <v>42</v>
      </c>
      <c r="AL11" s="28">
        <v>46001</v>
      </c>
      <c r="AM11" s="4" t="s">
        <v>42</v>
      </c>
      <c r="AN11" s="8" t="str">
        <f>HYPERLINK("https://my.pitchbook.com?p=55722-25P", "View People Online")</f>
        <v>View People Online</v>
      </c>
    </row>
    <row r="12" spans="1:40" x14ac:dyDescent="0.2">
      <c r="A12" s="3" t="s">
        <v>179</v>
      </c>
      <c r="B12" s="3" t="s">
        <v>180</v>
      </c>
      <c r="C12" s="3" t="s">
        <v>42</v>
      </c>
      <c r="D12" s="3" t="s">
        <v>42</v>
      </c>
      <c r="E12" s="3" t="s">
        <v>179</v>
      </c>
      <c r="F12" s="3" t="s">
        <v>181</v>
      </c>
      <c r="G12" s="3" t="s">
        <v>182</v>
      </c>
      <c r="H12" s="3" t="s">
        <v>183</v>
      </c>
      <c r="I12" s="3" t="s">
        <v>46</v>
      </c>
      <c r="J12" s="3" t="s">
        <v>47</v>
      </c>
      <c r="K12" s="3" t="s">
        <v>184</v>
      </c>
      <c r="L12" s="3" t="s">
        <v>111</v>
      </c>
      <c r="M12" s="9" t="str">
        <f>HYPERLINK("http://www.clariant.com", "www.clariant.com")</f>
        <v>www.clariant.com</v>
      </c>
      <c r="N12" s="3" t="s">
        <v>185</v>
      </c>
      <c r="O12" s="3" t="s">
        <v>42</v>
      </c>
      <c r="P12" s="3" t="s">
        <v>186</v>
      </c>
      <c r="Q12" s="3" t="s">
        <v>187</v>
      </c>
      <c r="R12" s="17">
        <v>1</v>
      </c>
      <c r="S12" s="17">
        <v>7</v>
      </c>
      <c r="T12" s="17" t="s">
        <v>42</v>
      </c>
      <c r="U12" s="17">
        <v>6</v>
      </c>
      <c r="V12" s="17" t="s">
        <v>42</v>
      </c>
      <c r="W12" s="5" t="s">
        <v>188</v>
      </c>
      <c r="X12" s="3" t="s">
        <v>42</v>
      </c>
      <c r="Y12" s="9" t="str">
        <f>HYPERLINK("http://linkedin.com/in/calum-maclean-653401214/?originalsubdomain=uk", "http://linkedin.com/in/calum-maclean-653401214/?originalsubdomain=uk")</f>
        <v>http://linkedin.com/in/calum-maclean-653401214/?originalsubdomain=uk</v>
      </c>
      <c r="Z12" s="3" t="s">
        <v>55</v>
      </c>
      <c r="AA12" s="3" t="s">
        <v>189</v>
      </c>
      <c r="AB12" s="3" t="s">
        <v>42</v>
      </c>
      <c r="AC12" s="3" t="s">
        <v>58</v>
      </c>
      <c r="AD12" s="3" t="s">
        <v>42</v>
      </c>
      <c r="AE12" s="5" t="s">
        <v>190</v>
      </c>
      <c r="AF12" s="3" t="s">
        <v>60</v>
      </c>
      <c r="AG12" s="5" t="s">
        <v>191</v>
      </c>
      <c r="AH12" s="3" t="s">
        <v>61</v>
      </c>
      <c r="AI12" s="3" t="s">
        <v>61</v>
      </c>
      <c r="AJ12" s="3" t="s">
        <v>42</v>
      </c>
      <c r="AK12" s="3" t="s">
        <v>42</v>
      </c>
      <c r="AL12" s="29">
        <v>45993</v>
      </c>
      <c r="AM12" s="5">
        <v>1964</v>
      </c>
      <c r="AN12" s="9" t="str">
        <f>HYPERLINK("https://my.pitchbook.com?p=91119-07P", "View People Online")</f>
        <v>View People Online</v>
      </c>
    </row>
    <row r="13" spans="1:40" x14ac:dyDescent="0.2">
      <c r="A13" s="2" t="s">
        <v>192</v>
      </c>
      <c r="B13" s="2" t="s">
        <v>193</v>
      </c>
      <c r="C13" s="2" t="s">
        <v>42</v>
      </c>
      <c r="D13" s="2" t="s">
        <v>42</v>
      </c>
      <c r="E13" s="2" t="s">
        <v>192</v>
      </c>
      <c r="F13" s="2" t="s">
        <v>194</v>
      </c>
      <c r="G13" s="2" t="s">
        <v>195</v>
      </c>
      <c r="H13" s="2" t="s">
        <v>42</v>
      </c>
      <c r="I13" s="2" t="s">
        <v>196</v>
      </c>
      <c r="J13" s="2" t="s">
        <v>47</v>
      </c>
      <c r="K13" s="2" t="s">
        <v>197</v>
      </c>
      <c r="L13" s="2" t="s">
        <v>111</v>
      </c>
      <c r="M13" s="8" t="str">
        <f>HYPERLINK("http://www.adesgroup.com", "www.adesgroup.com")</f>
        <v>www.adesgroup.com</v>
      </c>
      <c r="N13" s="2" t="s">
        <v>198</v>
      </c>
      <c r="O13" s="2" t="s">
        <v>42</v>
      </c>
      <c r="P13" s="2" t="s">
        <v>199</v>
      </c>
      <c r="Q13" s="2" t="s">
        <v>200</v>
      </c>
      <c r="R13" s="16">
        <v>1</v>
      </c>
      <c r="S13" s="16">
        <v>7</v>
      </c>
      <c r="T13" s="16">
        <v>2</v>
      </c>
      <c r="U13" s="16">
        <v>4</v>
      </c>
      <c r="V13" s="16" t="s">
        <v>42</v>
      </c>
      <c r="W13" s="4" t="s">
        <v>201</v>
      </c>
      <c r="X13" s="2" t="s">
        <v>42</v>
      </c>
      <c r="Y13" s="2" t="s">
        <v>42</v>
      </c>
      <c r="Z13" s="2" t="s">
        <v>142</v>
      </c>
      <c r="AA13" s="2" t="s">
        <v>202</v>
      </c>
      <c r="AB13" s="2" t="s">
        <v>203</v>
      </c>
      <c r="AC13" s="2" t="s">
        <v>145</v>
      </c>
      <c r="AD13" s="2" t="s">
        <v>42</v>
      </c>
      <c r="AE13" s="4" t="s">
        <v>204</v>
      </c>
      <c r="AF13" s="2" t="s">
        <v>147</v>
      </c>
      <c r="AG13" s="4" t="s">
        <v>42</v>
      </c>
      <c r="AH13" s="2" t="s">
        <v>61</v>
      </c>
      <c r="AI13" s="2" t="s">
        <v>61</v>
      </c>
      <c r="AJ13" s="2" t="s">
        <v>42</v>
      </c>
      <c r="AK13" s="2" t="s">
        <v>42</v>
      </c>
      <c r="AL13" s="28">
        <v>45918</v>
      </c>
      <c r="AM13" s="4" t="s">
        <v>42</v>
      </c>
      <c r="AN13" s="8" t="str">
        <f>HYPERLINK("https://my.pitchbook.com?p=163048-87P", "View People Online")</f>
        <v>View People Online</v>
      </c>
    </row>
    <row r="14" spans="1:40" x14ac:dyDescent="0.2">
      <c r="A14" s="3" t="s">
        <v>205</v>
      </c>
      <c r="B14" s="3" t="s">
        <v>206</v>
      </c>
      <c r="C14" s="3" t="s">
        <v>42</v>
      </c>
      <c r="D14" s="3" t="s">
        <v>42</v>
      </c>
      <c r="E14" s="3" t="s">
        <v>205</v>
      </c>
      <c r="F14" s="3" t="s">
        <v>207</v>
      </c>
      <c r="G14" s="3" t="s">
        <v>208</v>
      </c>
      <c r="H14" s="3" t="s">
        <v>42</v>
      </c>
      <c r="I14" s="3" t="s">
        <v>46</v>
      </c>
      <c r="J14" s="3" t="s">
        <v>47</v>
      </c>
      <c r="K14" s="3" t="s">
        <v>209</v>
      </c>
      <c r="L14" s="3" t="s">
        <v>111</v>
      </c>
      <c r="M14" s="9" t="str">
        <f>HYPERLINK("http://www.obic.com.sa", "www.obic.com.sa")</f>
        <v>www.obic.com.sa</v>
      </c>
      <c r="N14" s="3" t="s">
        <v>210</v>
      </c>
      <c r="O14" s="3" t="s">
        <v>42</v>
      </c>
      <c r="P14" s="3" t="s">
        <v>211</v>
      </c>
      <c r="Q14" s="3" t="s">
        <v>212</v>
      </c>
      <c r="R14" s="17">
        <v>2</v>
      </c>
      <c r="S14" s="17">
        <v>6</v>
      </c>
      <c r="T14" s="17">
        <v>1</v>
      </c>
      <c r="U14" s="17" t="s">
        <v>42</v>
      </c>
      <c r="V14" s="17">
        <v>3</v>
      </c>
      <c r="W14" s="5" t="s">
        <v>213</v>
      </c>
      <c r="X14" s="3" t="s">
        <v>214</v>
      </c>
      <c r="Y14" s="9" t="str">
        <f>HYPERLINK("http://linkedin.com/in/mazin-aldawood-a173916a/", "http://linkedin.com/in/mazin-aldawood-a173916a/")</f>
        <v>http://linkedin.com/in/mazin-aldawood-a173916a/</v>
      </c>
      <c r="Z14" s="3" t="s">
        <v>55</v>
      </c>
      <c r="AA14" s="3" t="s">
        <v>215</v>
      </c>
      <c r="AB14" s="3" t="s">
        <v>216</v>
      </c>
      <c r="AC14" s="3" t="s">
        <v>58</v>
      </c>
      <c r="AD14" s="3" t="s">
        <v>42</v>
      </c>
      <c r="AE14" s="5" t="s">
        <v>217</v>
      </c>
      <c r="AF14" s="3" t="s">
        <v>60</v>
      </c>
      <c r="AG14" s="5" t="s">
        <v>218</v>
      </c>
      <c r="AH14" s="3" t="s">
        <v>61</v>
      </c>
      <c r="AI14" s="3" t="s">
        <v>61</v>
      </c>
      <c r="AJ14" s="3" t="s">
        <v>42</v>
      </c>
      <c r="AK14" s="3" t="s">
        <v>42</v>
      </c>
      <c r="AL14" s="29">
        <v>45944</v>
      </c>
      <c r="AM14" s="5">
        <v>1982</v>
      </c>
      <c r="AN14" s="9" t="str">
        <f>HYPERLINK("https://my.pitchbook.com?p=92025-01P", "View People Online")</f>
        <v>View People Online</v>
      </c>
    </row>
    <row r="15" spans="1:40" x14ac:dyDescent="0.2">
      <c r="A15" s="2" t="s">
        <v>219</v>
      </c>
      <c r="B15" s="2" t="s">
        <v>220</v>
      </c>
      <c r="C15" s="2" t="s">
        <v>42</v>
      </c>
      <c r="D15" s="2" t="s">
        <v>42</v>
      </c>
      <c r="E15" s="2" t="s">
        <v>219</v>
      </c>
      <c r="F15" s="2" t="s">
        <v>221</v>
      </c>
      <c r="G15" s="2" t="s">
        <v>222</v>
      </c>
      <c r="H15" s="2" t="s">
        <v>223</v>
      </c>
      <c r="I15" s="2" t="s">
        <v>46</v>
      </c>
      <c r="J15" s="2" t="s">
        <v>47</v>
      </c>
      <c r="K15" s="2" t="s">
        <v>224</v>
      </c>
      <c r="L15" s="2" t="s">
        <v>111</v>
      </c>
      <c r="M15" s="8" t="str">
        <f>HYPERLINK("http://www.stc.com.sa", "www.stc.com.sa")</f>
        <v>www.stc.com.sa</v>
      </c>
      <c r="N15" s="2" t="s">
        <v>225</v>
      </c>
      <c r="O15" s="2" t="s">
        <v>42</v>
      </c>
      <c r="P15" s="2" t="s">
        <v>226</v>
      </c>
      <c r="Q15" s="2" t="s">
        <v>42</v>
      </c>
      <c r="R15" s="16" t="s">
        <v>42</v>
      </c>
      <c r="S15" s="16">
        <v>6</v>
      </c>
      <c r="T15" s="16">
        <v>1</v>
      </c>
      <c r="U15" s="16">
        <v>5</v>
      </c>
      <c r="V15" s="16" t="s">
        <v>42</v>
      </c>
      <c r="W15" s="4" t="s">
        <v>227</v>
      </c>
      <c r="X15" s="2" t="s">
        <v>228</v>
      </c>
      <c r="Y15" s="8" t="str">
        <f>HYPERLINK("http://linkedin.com/in/olayan-alwetaid-2a4a163/", "http://linkedin.com/in/olayan-alwetaid-2a4a163/")</f>
        <v>http://linkedin.com/in/olayan-alwetaid-2a4a163/</v>
      </c>
      <c r="Z15" s="2" t="s">
        <v>55</v>
      </c>
      <c r="AA15" s="2" t="s">
        <v>229</v>
      </c>
      <c r="AB15" s="2" t="s">
        <v>230</v>
      </c>
      <c r="AC15" s="2" t="s">
        <v>58</v>
      </c>
      <c r="AD15" s="2" t="s">
        <v>42</v>
      </c>
      <c r="AE15" s="4" t="s">
        <v>231</v>
      </c>
      <c r="AF15" s="2" t="s">
        <v>60</v>
      </c>
      <c r="AG15" s="4" t="s">
        <v>232</v>
      </c>
      <c r="AH15" s="2" t="s">
        <v>61</v>
      </c>
      <c r="AI15" s="2" t="s">
        <v>61</v>
      </c>
      <c r="AJ15" s="2" t="s">
        <v>42</v>
      </c>
      <c r="AK15" s="2" t="s">
        <v>42</v>
      </c>
      <c r="AL15" s="28">
        <v>45903</v>
      </c>
      <c r="AM15" s="4">
        <v>1988</v>
      </c>
      <c r="AN15" s="8" t="str">
        <f>HYPERLINK("https://my.pitchbook.com?p=293722-30P", "View People Online")</f>
        <v>View People Online</v>
      </c>
    </row>
    <row r="16" spans="1:40" x14ac:dyDescent="0.2">
      <c r="A16" s="3" t="s">
        <v>233</v>
      </c>
      <c r="B16" s="3" t="s">
        <v>234</v>
      </c>
      <c r="C16" s="3" t="s">
        <v>42</v>
      </c>
      <c r="D16" s="3" t="s">
        <v>42</v>
      </c>
      <c r="E16" s="3" t="s">
        <v>233</v>
      </c>
      <c r="F16" s="3" t="s">
        <v>235</v>
      </c>
      <c r="G16" s="3" t="s">
        <v>236</v>
      </c>
      <c r="H16" s="3" t="s">
        <v>237</v>
      </c>
      <c r="I16" s="3" t="s">
        <v>46</v>
      </c>
      <c r="J16" s="3" t="s">
        <v>47</v>
      </c>
      <c r="K16" s="3" t="s">
        <v>169</v>
      </c>
      <c r="L16" s="3" t="s">
        <v>81</v>
      </c>
      <c r="M16" s="9" t="str">
        <f>HYPERLINK("http://www.alkhabeer.com", "www.alkhabeer.com")</f>
        <v>www.alkhabeer.com</v>
      </c>
      <c r="N16" s="3" t="s">
        <v>238</v>
      </c>
      <c r="O16" s="3" t="s">
        <v>42</v>
      </c>
      <c r="P16" s="3" t="s">
        <v>239</v>
      </c>
      <c r="Q16" s="3" t="s">
        <v>240</v>
      </c>
      <c r="R16" s="17">
        <v>1</v>
      </c>
      <c r="S16" s="17">
        <v>5</v>
      </c>
      <c r="T16" s="17">
        <v>2</v>
      </c>
      <c r="U16" s="17">
        <v>3</v>
      </c>
      <c r="V16" s="17" t="s">
        <v>42</v>
      </c>
      <c r="W16" s="5" t="s">
        <v>172</v>
      </c>
      <c r="X16" s="3" t="s">
        <v>241</v>
      </c>
      <c r="Y16" s="9" t="str">
        <f>HYPERLINK("http://linkedin.com/in/ammar-shata-02bb0742/", "http://linkedin.com/in/ammar-shata-02bb0742/")</f>
        <v>http://linkedin.com/in/ammar-shata-02bb0742/</v>
      </c>
      <c r="Z16" s="3" t="s">
        <v>174</v>
      </c>
      <c r="AA16" s="3" t="s">
        <v>175</v>
      </c>
      <c r="AB16" s="3" t="s">
        <v>42</v>
      </c>
      <c r="AC16" s="3" t="s">
        <v>176</v>
      </c>
      <c r="AD16" s="3" t="s">
        <v>42</v>
      </c>
      <c r="AE16" s="5" t="s">
        <v>177</v>
      </c>
      <c r="AF16" s="3" t="s">
        <v>60</v>
      </c>
      <c r="AG16" s="5" t="s">
        <v>178</v>
      </c>
      <c r="AH16" s="3" t="s">
        <v>61</v>
      </c>
      <c r="AI16" s="3" t="s">
        <v>61</v>
      </c>
      <c r="AJ16" s="3" t="s">
        <v>42</v>
      </c>
      <c r="AK16" s="3" t="s">
        <v>42</v>
      </c>
      <c r="AL16" s="29">
        <v>45992</v>
      </c>
      <c r="AM16" s="5" t="s">
        <v>42</v>
      </c>
      <c r="AN16" s="9" t="str">
        <f>HYPERLINK("https://my.pitchbook.com?p=53889-76P", "View People Online")</f>
        <v>View People Online</v>
      </c>
    </row>
    <row r="17" spans="1:40" x14ac:dyDescent="0.2">
      <c r="A17" s="2" t="s">
        <v>242</v>
      </c>
      <c r="B17" s="2" t="s">
        <v>243</v>
      </c>
      <c r="C17" s="2" t="s">
        <v>42</v>
      </c>
      <c r="D17" s="2" t="s">
        <v>42</v>
      </c>
      <c r="E17" s="2" t="s">
        <v>242</v>
      </c>
      <c r="F17" s="2" t="s">
        <v>244</v>
      </c>
      <c r="G17" s="2" t="s">
        <v>161</v>
      </c>
      <c r="H17" s="2" t="s">
        <v>42</v>
      </c>
      <c r="I17" s="2" t="s">
        <v>46</v>
      </c>
      <c r="J17" s="2" t="s">
        <v>47</v>
      </c>
      <c r="K17" s="2" t="s">
        <v>245</v>
      </c>
      <c r="L17" s="2" t="s">
        <v>111</v>
      </c>
      <c r="M17" s="8" t="str">
        <f>HYPERLINK("http://www.luberef.com", "www.luberef.com")</f>
        <v>www.luberef.com</v>
      </c>
      <c r="N17" s="2" t="s">
        <v>246</v>
      </c>
      <c r="O17" s="2" t="s">
        <v>42</v>
      </c>
      <c r="P17" s="2" t="s">
        <v>247</v>
      </c>
      <c r="Q17" s="2" t="s">
        <v>248</v>
      </c>
      <c r="R17" s="16">
        <v>1</v>
      </c>
      <c r="S17" s="16">
        <v>5</v>
      </c>
      <c r="T17" s="16" t="s">
        <v>42</v>
      </c>
      <c r="U17" s="16">
        <v>3</v>
      </c>
      <c r="V17" s="16">
        <v>1</v>
      </c>
      <c r="W17" s="4" t="s">
        <v>249</v>
      </c>
      <c r="X17" s="2" t="s">
        <v>42</v>
      </c>
      <c r="Y17" s="8" t="str">
        <f>HYPERLINK("http://linkedin.com/in/ibrahim-al-buainain-38206885/", "http://linkedin.com/in/ibrahim-al-buainain-38206885/")</f>
        <v>http://linkedin.com/in/ibrahim-al-buainain-38206885/</v>
      </c>
      <c r="Z17" s="2" t="s">
        <v>174</v>
      </c>
      <c r="AA17" s="2" t="s">
        <v>250</v>
      </c>
      <c r="AB17" s="2" t="s">
        <v>251</v>
      </c>
      <c r="AC17" s="2" t="s">
        <v>176</v>
      </c>
      <c r="AD17" s="2" t="s">
        <v>42</v>
      </c>
      <c r="AE17" s="4" t="s">
        <v>252</v>
      </c>
      <c r="AF17" s="2" t="s">
        <v>60</v>
      </c>
      <c r="AG17" s="4" t="s">
        <v>253</v>
      </c>
      <c r="AH17" s="2" t="s">
        <v>61</v>
      </c>
      <c r="AI17" s="2" t="s">
        <v>61</v>
      </c>
      <c r="AJ17" s="2" t="s">
        <v>42</v>
      </c>
      <c r="AK17" s="2" t="s">
        <v>42</v>
      </c>
      <c r="AL17" s="28">
        <v>46041</v>
      </c>
      <c r="AM17" s="4" t="s">
        <v>42</v>
      </c>
      <c r="AN17" s="8" t="str">
        <f>HYPERLINK("https://my.pitchbook.com?p=50055-49P", "View People Online")</f>
        <v>View People Online</v>
      </c>
    </row>
    <row r="18" spans="1:40" x14ac:dyDescent="0.2">
      <c r="A18" s="3" t="s">
        <v>254</v>
      </c>
      <c r="B18" s="3" t="s">
        <v>255</v>
      </c>
      <c r="C18" s="3" t="s">
        <v>42</v>
      </c>
      <c r="D18" s="3" t="s">
        <v>42</v>
      </c>
      <c r="E18" s="3" t="s">
        <v>254</v>
      </c>
      <c r="F18" s="3" t="s">
        <v>256</v>
      </c>
      <c r="G18" s="3" t="s">
        <v>257</v>
      </c>
      <c r="H18" s="3" t="s">
        <v>42</v>
      </c>
      <c r="I18" s="3" t="s">
        <v>46</v>
      </c>
      <c r="J18" s="3" t="s">
        <v>47</v>
      </c>
      <c r="K18" s="3" t="s">
        <v>258</v>
      </c>
      <c r="L18" s="3" t="s">
        <v>111</v>
      </c>
      <c r="M18" s="9" t="str">
        <f>HYPERLINK("http://www.metroag.de", "www.metroag.de")</f>
        <v>www.metroag.de</v>
      </c>
      <c r="N18" s="3" t="s">
        <v>185</v>
      </c>
      <c r="O18" s="3" t="s">
        <v>42</v>
      </c>
      <c r="P18" s="3" t="s">
        <v>259</v>
      </c>
      <c r="Q18" s="3" t="s">
        <v>42</v>
      </c>
      <c r="R18" s="17">
        <v>1</v>
      </c>
      <c r="S18" s="17">
        <v>5</v>
      </c>
      <c r="T18" s="17">
        <v>1</v>
      </c>
      <c r="U18" s="17">
        <v>3</v>
      </c>
      <c r="V18" s="17" t="s">
        <v>42</v>
      </c>
      <c r="W18" s="5" t="s">
        <v>260</v>
      </c>
      <c r="X18" s="3" t="s">
        <v>42</v>
      </c>
      <c r="Y18" s="9" t="str">
        <f>HYPERLINK("http://linkedin.com/in/marco-arcelli-bb4626", "http://linkedin.com/in/marco-arcelli-bb4626")</f>
        <v>http://linkedin.com/in/marco-arcelli-bb4626</v>
      </c>
      <c r="Z18" s="3" t="s">
        <v>261</v>
      </c>
      <c r="AA18" s="3" t="s">
        <v>262</v>
      </c>
      <c r="AB18" s="3" t="s">
        <v>42</v>
      </c>
      <c r="AC18" s="3" t="s">
        <v>263</v>
      </c>
      <c r="AD18" s="3" t="s">
        <v>42</v>
      </c>
      <c r="AE18" s="5" t="s">
        <v>264</v>
      </c>
      <c r="AF18" s="3" t="s">
        <v>265</v>
      </c>
      <c r="AG18" s="5" t="s">
        <v>42</v>
      </c>
      <c r="AH18" s="3" t="s">
        <v>266</v>
      </c>
      <c r="AI18" s="3" t="s">
        <v>267</v>
      </c>
      <c r="AJ18" s="3" t="s">
        <v>42</v>
      </c>
      <c r="AK18" s="3" t="s">
        <v>42</v>
      </c>
      <c r="AL18" s="29">
        <v>46015</v>
      </c>
      <c r="AM18" s="5">
        <v>1971</v>
      </c>
      <c r="AN18" s="9" t="str">
        <f>HYPERLINK("https://my.pitchbook.com?p=136554-31P", "View People Online")</f>
        <v>View People Online</v>
      </c>
    </row>
    <row r="19" spans="1:40" x14ac:dyDescent="0.2">
      <c r="A19" s="2" t="s">
        <v>268</v>
      </c>
      <c r="B19" s="2" t="s">
        <v>269</v>
      </c>
      <c r="C19" s="2" t="s">
        <v>42</v>
      </c>
      <c r="D19" s="2" t="s">
        <v>42</v>
      </c>
      <c r="E19" s="2" t="s">
        <v>268</v>
      </c>
      <c r="F19" s="2" t="s">
        <v>270</v>
      </c>
      <c r="G19" s="2" t="s">
        <v>271</v>
      </c>
      <c r="H19" s="2" t="s">
        <v>42</v>
      </c>
      <c r="I19" s="2" t="s">
        <v>46</v>
      </c>
      <c r="J19" s="2" t="s">
        <v>47</v>
      </c>
      <c r="K19" s="2" t="s">
        <v>272</v>
      </c>
      <c r="L19" s="2" t="s">
        <v>111</v>
      </c>
      <c r="M19" s="8" t="str">
        <f>HYPERLINK("http://www.acwapower.com", "www.acwapower.com")</f>
        <v>www.acwapower.com</v>
      </c>
      <c r="N19" s="2" t="s">
        <v>69</v>
      </c>
      <c r="O19" s="2" t="s">
        <v>42</v>
      </c>
      <c r="P19" s="2" t="s">
        <v>273</v>
      </c>
      <c r="Q19" s="2" t="s">
        <v>42</v>
      </c>
      <c r="R19" s="16">
        <v>2</v>
      </c>
      <c r="S19" s="16">
        <v>5</v>
      </c>
      <c r="T19" s="16">
        <v>1</v>
      </c>
      <c r="U19" s="16">
        <v>3</v>
      </c>
      <c r="V19" s="16" t="s">
        <v>42</v>
      </c>
      <c r="W19" s="4" t="s">
        <v>274</v>
      </c>
      <c r="X19" s="2" t="s">
        <v>275</v>
      </c>
      <c r="Y19" s="2" t="s">
        <v>42</v>
      </c>
      <c r="Z19" s="2" t="s">
        <v>55</v>
      </c>
      <c r="AA19" s="2" t="s">
        <v>276</v>
      </c>
      <c r="AB19" s="2" t="s">
        <v>277</v>
      </c>
      <c r="AC19" s="2" t="s">
        <v>58</v>
      </c>
      <c r="AD19" s="2" t="s">
        <v>278</v>
      </c>
      <c r="AE19" s="4" t="s">
        <v>279</v>
      </c>
      <c r="AF19" s="2" t="s">
        <v>60</v>
      </c>
      <c r="AG19" s="4" t="s">
        <v>280</v>
      </c>
      <c r="AH19" s="2" t="s">
        <v>61</v>
      </c>
      <c r="AI19" s="2" t="s">
        <v>61</v>
      </c>
      <c r="AJ19" s="2" t="s">
        <v>42</v>
      </c>
      <c r="AK19" s="2" t="s">
        <v>42</v>
      </c>
      <c r="AL19" s="28">
        <v>45992</v>
      </c>
      <c r="AM19" s="4" t="s">
        <v>42</v>
      </c>
      <c r="AN19" s="8" t="str">
        <f>HYPERLINK("https://my.pitchbook.com?p=127938-25P", "View People Online")</f>
        <v>View People Online</v>
      </c>
    </row>
    <row r="20" spans="1:40" x14ac:dyDescent="0.2">
      <c r="A20" s="3" t="s">
        <v>281</v>
      </c>
      <c r="B20" s="3" t="s">
        <v>282</v>
      </c>
      <c r="C20" s="3" t="s">
        <v>42</v>
      </c>
      <c r="D20" s="3" t="s">
        <v>42</v>
      </c>
      <c r="E20" s="3" t="s">
        <v>281</v>
      </c>
      <c r="F20" s="3" t="s">
        <v>283</v>
      </c>
      <c r="G20" s="3" t="s">
        <v>284</v>
      </c>
      <c r="H20" s="3" t="s">
        <v>285</v>
      </c>
      <c r="I20" s="3" t="s">
        <v>46</v>
      </c>
      <c r="J20" s="3" t="s">
        <v>47</v>
      </c>
      <c r="K20" s="3" t="s">
        <v>286</v>
      </c>
      <c r="L20" s="3" t="s">
        <v>111</v>
      </c>
      <c r="M20" s="9" t="str">
        <f>HYPERLINK("http://www.batic.sa", "www.batic.sa")</f>
        <v>www.batic.sa</v>
      </c>
      <c r="N20" s="3" t="s">
        <v>287</v>
      </c>
      <c r="O20" s="3" t="s">
        <v>42</v>
      </c>
      <c r="P20" s="3" t="s">
        <v>288</v>
      </c>
      <c r="Q20" s="3" t="s">
        <v>289</v>
      </c>
      <c r="R20" s="17">
        <v>4</v>
      </c>
      <c r="S20" s="17">
        <v>5</v>
      </c>
      <c r="T20" s="17">
        <v>2</v>
      </c>
      <c r="U20" s="17" t="s">
        <v>42</v>
      </c>
      <c r="V20" s="17" t="s">
        <v>42</v>
      </c>
      <c r="W20" s="5" t="s">
        <v>290</v>
      </c>
      <c r="X20" s="3" t="s">
        <v>291</v>
      </c>
      <c r="Y20" s="9" t="str">
        <f>HYPERLINK("http://linkedin.com/in/mohammedsalzamil/", "http://linkedin.com/in/mohammedsalzamil/")</f>
        <v>http://linkedin.com/in/mohammedsalzamil/</v>
      </c>
      <c r="Z20" s="3" t="s">
        <v>55</v>
      </c>
      <c r="AA20" s="3" t="s">
        <v>292</v>
      </c>
      <c r="AB20" s="3" t="s">
        <v>293</v>
      </c>
      <c r="AC20" s="3" t="s">
        <v>58</v>
      </c>
      <c r="AD20" s="3" t="s">
        <v>42</v>
      </c>
      <c r="AE20" s="5" t="s">
        <v>42</v>
      </c>
      <c r="AF20" s="3" t="s">
        <v>60</v>
      </c>
      <c r="AG20" s="5" t="s">
        <v>294</v>
      </c>
      <c r="AH20" s="3" t="s">
        <v>61</v>
      </c>
      <c r="AI20" s="3" t="s">
        <v>61</v>
      </c>
      <c r="AJ20" s="3" t="s">
        <v>42</v>
      </c>
      <c r="AK20" s="3" t="s">
        <v>42</v>
      </c>
      <c r="AL20" s="29">
        <v>45905</v>
      </c>
      <c r="AM20" s="5" t="s">
        <v>42</v>
      </c>
      <c r="AN20" s="9" t="str">
        <f>HYPERLINK("https://my.pitchbook.com?p=354678-76P", "View People Online")</f>
        <v>View People Online</v>
      </c>
    </row>
    <row r="21" spans="1:40" x14ac:dyDescent="0.2">
      <c r="A21" s="2" t="s">
        <v>295</v>
      </c>
      <c r="B21" s="2" t="s">
        <v>296</v>
      </c>
      <c r="C21" s="2" t="s">
        <v>42</v>
      </c>
      <c r="D21" s="2" t="s">
        <v>42</v>
      </c>
      <c r="E21" s="2" t="s">
        <v>295</v>
      </c>
      <c r="F21" s="2" t="s">
        <v>297</v>
      </c>
      <c r="G21" s="2" t="s">
        <v>284</v>
      </c>
      <c r="H21" s="2" t="s">
        <v>298</v>
      </c>
      <c r="I21" s="2" t="s">
        <v>46</v>
      </c>
      <c r="J21" s="2" t="s">
        <v>47</v>
      </c>
      <c r="K21" s="2" t="s">
        <v>299</v>
      </c>
      <c r="L21" s="2" t="s">
        <v>111</v>
      </c>
      <c r="M21" s="8" t="str">
        <f>HYPERLINK("http://www.elm.sa", "www.elm.sa")</f>
        <v>www.elm.sa</v>
      </c>
      <c r="N21" s="2" t="s">
        <v>210</v>
      </c>
      <c r="O21" s="2" t="s">
        <v>42</v>
      </c>
      <c r="P21" s="2" t="s">
        <v>300</v>
      </c>
      <c r="Q21" s="2" t="s">
        <v>42</v>
      </c>
      <c r="R21" s="16">
        <v>1</v>
      </c>
      <c r="S21" s="16">
        <v>5</v>
      </c>
      <c r="T21" s="16">
        <v>1</v>
      </c>
      <c r="U21" s="16">
        <v>3</v>
      </c>
      <c r="V21" s="16" t="s">
        <v>42</v>
      </c>
      <c r="W21" s="4" t="s">
        <v>301</v>
      </c>
      <c r="X21" s="2" t="s">
        <v>302</v>
      </c>
      <c r="Y21" s="8" t="str">
        <f>HYPERLINK("http://linkedin.com/in/alomairsarah/", "http://linkedin.com/in/alomairsarah/")</f>
        <v>http://linkedin.com/in/alomairsarah/</v>
      </c>
      <c r="Z21" s="2" t="s">
        <v>55</v>
      </c>
      <c r="AA21" s="2" t="s">
        <v>303</v>
      </c>
      <c r="AB21" s="2" t="s">
        <v>304</v>
      </c>
      <c r="AC21" s="2" t="s">
        <v>58</v>
      </c>
      <c r="AD21" s="2" t="s">
        <v>42</v>
      </c>
      <c r="AE21" s="4" t="s">
        <v>305</v>
      </c>
      <c r="AF21" s="2" t="s">
        <v>60</v>
      </c>
      <c r="AG21" s="4" t="s">
        <v>306</v>
      </c>
      <c r="AH21" s="2" t="s">
        <v>61</v>
      </c>
      <c r="AI21" s="2" t="s">
        <v>61</v>
      </c>
      <c r="AJ21" s="2" t="s">
        <v>42</v>
      </c>
      <c r="AK21" s="2" t="s">
        <v>42</v>
      </c>
      <c r="AL21" s="28">
        <v>46036</v>
      </c>
      <c r="AM21" s="4" t="s">
        <v>42</v>
      </c>
      <c r="AN21" s="8" t="str">
        <f>HYPERLINK("https://my.pitchbook.com?p=327004-66P", "View People Online")</f>
        <v>View People Online</v>
      </c>
    </row>
    <row r="22" spans="1:40" x14ac:dyDescent="0.2">
      <c r="A22" s="3" t="s">
        <v>307</v>
      </c>
      <c r="B22" s="3" t="s">
        <v>308</v>
      </c>
      <c r="C22" s="3" t="s">
        <v>42</v>
      </c>
      <c r="D22" s="3" t="s">
        <v>42</v>
      </c>
      <c r="E22" s="3" t="s">
        <v>307</v>
      </c>
      <c r="F22" s="3" t="s">
        <v>309</v>
      </c>
      <c r="G22" s="3" t="s">
        <v>310</v>
      </c>
      <c r="H22" s="3" t="s">
        <v>311</v>
      </c>
      <c r="I22" s="3" t="s">
        <v>46</v>
      </c>
      <c r="J22" s="3" t="s">
        <v>47</v>
      </c>
      <c r="K22" s="3" t="s">
        <v>312</v>
      </c>
      <c r="L22" s="3" t="s">
        <v>111</v>
      </c>
      <c r="M22" s="9" t="str">
        <f>HYPERLINK("http://www.bupa.com.sa", "www.bupa.com.sa")</f>
        <v>www.bupa.com.sa</v>
      </c>
      <c r="N22" s="3" t="s">
        <v>313</v>
      </c>
      <c r="O22" s="3" t="s">
        <v>42</v>
      </c>
      <c r="P22" s="3" t="s">
        <v>314</v>
      </c>
      <c r="Q22" s="3" t="s">
        <v>42</v>
      </c>
      <c r="R22" s="17">
        <v>2</v>
      </c>
      <c r="S22" s="17">
        <v>5</v>
      </c>
      <c r="T22" s="17">
        <v>2</v>
      </c>
      <c r="U22" s="17">
        <v>2</v>
      </c>
      <c r="V22" s="17" t="s">
        <v>42</v>
      </c>
      <c r="W22" s="5" t="s">
        <v>42</v>
      </c>
      <c r="X22" s="3" t="s">
        <v>315</v>
      </c>
      <c r="Y22" s="9" t="str">
        <f>HYPERLINK("http://sa.linkedin.com/in/nader-ashoor-4637942b", "http://sa.linkedin.com/in/nader-ashoor-4637942b")</f>
        <v>http://sa.linkedin.com/in/nader-ashoor-4637942b</v>
      </c>
      <c r="Z22" s="3" t="s">
        <v>174</v>
      </c>
      <c r="AA22" s="3" t="s">
        <v>316</v>
      </c>
      <c r="AB22" s="3" t="s">
        <v>317</v>
      </c>
      <c r="AC22" s="3" t="s">
        <v>176</v>
      </c>
      <c r="AD22" s="3" t="s">
        <v>42</v>
      </c>
      <c r="AE22" s="5" t="s">
        <v>318</v>
      </c>
      <c r="AF22" s="3" t="s">
        <v>60</v>
      </c>
      <c r="AG22" s="5" t="s">
        <v>42</v>
      </c>
      <c r="AH22" s="3" t="s">
        <v>61</v>
      </c>
      <c r="AI22" s="3" t="s">
        <v>61</v>
      </c>
      <c r="AJ22" s="3" t="s">
        <v>42</v>
      </c>
      <c r="AK22" s="3" t="s">
        <v>42</v>
      </c>
      <c r="AL22" s="29">
        <v>46052</v>
      </c>
      <c r="AM22" s="5">
        <v>1980</v>
      </c>
      <c r="AN22" s="9" t="str">
        <f>HYPERLINK("https://my.pitchbook.com?p=189900-91P", "View People Online")</f>
        <v>View People Online</v>
      </c>
    </row>
    <row r="23" spans="1:40" x14ac:dyDescent="0.2">
      <c r="A23" s="2" t="s">
        <v>319</v>
      </c>
      <c r="B23" s="2" t="s">
        <v>320</v>
      </c>
      <c r="C23" s="2" t="s">
        <v>42</v>
      </c>
      <c r="D23" s="2" t="s">
        <v>42</v>
      </c>
      <c r="E23" s="2" t="s">
        <v>319</v>
      </c>
      <c r="F23" s="2" t="s">
        <v>321</v>
      </c>
      <c r="G23" s="2" t="s">
        <v>284</v>
      </c>
      <c r="H23" s="2" t="s">
        <v>42</v>
      </c>
      <c r="I23" s="2" t="s">
        <v>46</v>
      </c>
      <c r="J23" s="2" t="s">
        <v>47</v>
      </c>
      <c r="K23" s="2" t="s">
        <v>322</v>
      </c>
      <c r="L23" s="2" t="s">
        <v>323</v>
      </c>
      <c r="M23" s="8" t="str">
        <f>HYPERLINK("http://www.web.derayah.com", "www.web.derayah.com")</f>
        <v>www.web.derayah.com</v>
      </c>
      <c r="N23" s="2" t="s">
        <v>210</v>
      </c>
      <c r="O23" s="2" t="s">
        <v>42</v>
      </c>
      <c r="P23" s="2" t="s">
        <v>324</v>
      </c>
      <c r="Q23" s="2" t="s">
        <v>42</v>
      </c>
      <c r="R23" s="16">
        <v>2</v>
      </c>
      <c r="S23" s="16">
        <v>4</v>
      </c>
      <c r="T23" s="16">
        <v>1</v>
      </c>
      <c r="U23" s="16">
        <v>1</v>
      </c>
      <c r="V23" s="16" t="s">
        <v>42</v>
      </c>
      <c r="W23" s="4" t="s">
        <v>325</v>
      </c>
      <c r="X23" s="2" t="s">
        <v>326</v>
      </c>
      <c r="Y23" s="8" t="str">
        <f>HYPERLINK("http://linkedin.com/in/mohammed-alshammasi-bb93a83/", "http://linkedin.com/in/mohammed-alshammasi-bb93a83/")</f>
        <v>http://linkedin.com/in/mohammed-alshammasi-bb93a83/</v>
      </c>
      <c r="Z23" s="2" t="s">
        <v>55</v>
      </c>
      <c r="AA23" s="2" t="s">
        <v>327</v>
      </c>
      <c r="AB23" s="2" t="s">
        <v>328</v>
      </c>
      <c r="AC23" s="2" t="s">
        <v>58</v>
      </c>
      <c r="AD23" s="2" t="s">
        <v>42</v>
      </c>
      <c r="AE23" s="4" t="s">
        <v>329</v>
      </c>
      <c r="AF23" s="2" t="s">
        <v>60</v>
      </c>
      <c r="AG23" s="4" t="s">
        <v>330</v>
      </c>
      <c r="AH23" s="2" t="s">
        <v>61</v>
      </c>
      <c r="AI23" s="2" t="s">
        <v>61</v>
      </c>
      <c r="AJ23" s="2" t="s">
        <v>42</v>
      </c>
      <c r="AK23" s="2" t="s">
        <v>42</v>
      </c>
      <c r="AL23" s="28">
        <v>45866</v>
      </c>
      <c r="AM23" s="4" t="s">
        <v>42</v>
      </c>
      <c r="AN23" s="8" t="str">
        <f>HYPERLINK("https://my.pitchbook.com?p=169114-33P", "View People Online")</f>
        <v>View People Online</v>
      </c>
    </row>
    <row r="24" spans="1:40" x14ac:dyDescent="0.2">
      <c r="A24" s="3" t="s">
        <v>331</v>
      </c>
      <c r="B24" s="3" t="s">
        <v>332</v>
      </c>
      <c r="C24" s="3" t="s">
        <v>42</v>
      </c>
      <c r="D24" s="3" t="s">
        <v>42</v>
      </c>
      <c r="E24" s="3" t="s">
        <v>331</v>
      </c>
      <c r="F24" s="3" t="s">
        <v>333</v>
      </c>
      <c r="G24" s="3" t="s">
        <v>334</v>
      </c>
      <c r="H24" s="3" t="s">
        <v>42</v>
      </c>
      <c r="I24" s="3" t="s">
        <v>46</v>
      </c>
      <c r="J24" s="3" t="s">
        <v>47</v>
      </c>
      <c r="K24" s="3" t="s">
        <v>335</v>
      </c>
      <c r="L24" s="3" t="s">
        <v>111</v>
      </c>
      <c r="M24" s="9" t="str">
        <f>HYPERLINK("http://www.maaden.com", "www.maaden.com")</f>
        <v>www.maaden.com</v>
      </c>
      <c r="N24" s="3" t="s">
        <v>112</v>
      </c>
      <c r="O24" s="3" t="s">
        <v>42</v>
      </c>
      <c r="P24" s="3" t="s">
        <v>336</v>
      </c>
      <c r="Q24" s="3" t="s">
        <v>52</v>
      </c>
      <c r="R24" s="17">
        <v>1</v>
      </c>
      <c r="S24" s="17">
        <v>4</v>
      </c>
      <c r="T24" s="17">
        <v>1</v>
      </c>
      <c r="U24" s="17">
        <v>3</v>
      </c>
      <c r="V24" s="17" t="s">
        <v>42</v>
      </c>
      <c r="W24" s="5" t="s">
        <v>337</v>
      </c>
      <c r="X24" s="3" t="s">
        <v>338</v>
      </c>
      <c r="Y24" s="9" t="str">
        <f>HYPERLINK("http://linkedin.com/in/bob-wilt", "http://linkedin.com/in/bob-wilt")</f>
        <v>http://linkedin.com/in/bob-wilt</v>
      </c>
      <c r="Z24" s="3" t="s">
        <v>55</v>
      </c>
      <c r="AA24" s="3" t="s">
        <v>339</v>
      </c>
      <c r="AB24" s="3" t="s">
        <v>42</v>
      </c>
      <c r="AC24" s="3" t="s">
        <v>58</v>
      </c>
      <c r="AD24" s="3" t="s">
        <v>42</v>
      </c>
      <c r="AE24" s="5" t="s">
        <v>340</v>
      </c>
      <c r="AF24" s="3" t="s">
        <v>60</v>
      </c>
      <c r="AG24" s="5" t="s">
        <v>42</v>
      </c>
      <c r="AH24" s="3" t="s">
        <v>61</v>
      </c>
      <c r="AI24" s="3" t="s">
        <v>61</v>
      </c>
      <c r="AJ24" s="3" t="s">
        <v>42</v>
      </c>
      <c r="AK24" s="3" t="s">
        <v>42</v>
      </c>
      <c r="AL24" s="29">
        <v>45810</v>
      </c>
      <c r="AM24" s="5" t="s">
        <v>42</v>
      </c>
      <c r="AN24" s="9" t="str">
        <f>HYPERLINK("https://my.pitchbook.com?p=258066-10P", "View People Online")</f>
        <v>View People Online</v>
      </c>
    </row>
    <row r="25" spans="1:40" x14ac:dyDescent="0.2">
      <c r="A25" s="2" t="s">
        <v>341</v>
      </c>
      <c r="B25" s="2" t="s">
        <v>342</v>
      </c>
      <c r="C25" s="2" t="s">
        <v>42</v>
      </c>
      <c r="D25" s="2" t="s">
        <v>42</v>
      </c>
      <c r="E25" s="2" t="s">
        <v>341</v>
      </c>
      <c r="F25" s="2" t="s">
        <v>343</v>
      </c>
      <c r="G25" s="2" t="s">
        <v>344</v>
      </c>
      <c r="H25" s="2" t="s">
        <v>42</v>
      </c>
      <c r="I25" s="2" t="s">
        <v>46</v>
      </c>
      <c r="J25" s="2" t="s">
        <v>47</v>
      </c>
      <c r="K25" s="2" t="s">
        <v>345</v>
      </c>
      <c r="L25" s="2" t="s">
        <v>111</v>
      </c>
      <c r="M25" s="8" t="str">
        <f>HYPERLINK("http://www.maharah.com", "www.maharah.com")</f>
        <v>www.maharah.com</v>
      </c>
      <c r="N25" s="2" t="s">
        <v>346</v>
      </c>
      <c r="O25" s="2" t="s">
        <v>42</v>
      </c>
      <c r="P25" s="2" t="s">
        <v>347</v>
      </c>
      <c r="Q25" s="2" t="s">
        <v>42</v>
      </c>
      <c r="R25" s="16" t="s">
        <v>42</v>
      </c>
      <c r="S25" s="16">
        <v>3</v>
      </c>
      <c r="T25" s="16">
        <v>1</v>
      </c>
      <c r="U25" s="16">
        <v>2</v>
      </c>
      <c r="V25" s="16" t="s">
        <v>42</v>
      </c>
      <c r="W25" s="4" t="s">
        <v>348</v>
      </c>
      <c r="X25" s="2" t="s">
        <v>349</v>
      </c>
      <c r="Y25" s="8" t="str">
        <f>HYPERLINK("http://linkedin.com/in/abdulaziz-alkathiry-1b0aba4b/", "http://linkedin.com/in/abdulaziz-alkathiry-1b0aba4b/")</f>
        <v>http://linkedin.com/in/abdulaziz-alkathiry-1b0aba4b/</v>
      </c>
      <c r="Z25" s="2" t="s">
        <v>55</v>
      </c>
      <c r="AA25" s="2" t="s">
        <v>350</v>
      </c>
      <c r="AB25" s="2" t="s">
        <v>42</v>
      </c>
      <c r="AC25" s="2" t="s">
        <v>58</v>
      </c>
      <c r="AD25" s="2" t="s">
        <v>42</v>
      </c>
      <c r="AE25" s="4" t="s">
        <v>351</v>
      </c>
      <c r="AF25" s="2" t="s">
        <v>60</v>
      </c>
      <c r="AG25" s="4" t="s">
        <v>42</v>
      </c>
      <c r="AH25" s="2" t="s">
        <v>61</v>
      </c>
      <c r="AI25" s="2" t="s">
        <v>61</v>
      </c>
      <c r="AJ25" s="2" t="s">
        <v>42</v>
      </c>
      <c r="AK25" s="2" t="s">
        <v>42</v>
      </c>
      <c r="AL25" s="28">
        <v>45769</v>
      </c>
      <c r="AM25" s="4" t="s">
        <v>42</v>
      </c>
      <c r="AN25" s="8" t="str">
        <f>HYPERLINK("https://my.pitchbook.com?p=265821-58P", "View People Online")</f>
        <v>View People Online</v>
      </c>
    </row>
    <row r="26" spans="1:40" x14ac:dyDescent="0.2">
      <c r="A26" s="3" t="s">
        <v>352</v>
      </c>
      <c r="B26" s="3" t="s">
        <v>353</v>
      </c>
      <c r="C26" s="3" t="s">
        <v>42</v>
      </c>
      <c r="D26" s="3" t="s">
        <v>42</v>
      </c>
      <c r="E26" s="3" t="s">
        <v>352</v>
      </c>
      <c r="F26" s="3" t="s">
        <v>354</v>
      </c>
      <c r="G26" s="3" t="s">
        <v>355</v>
      </c>
      <c r="H26" s="3" t="s">
        <v>356</v>
      </c>
      <c r="I26" s="3" t="s">
        <v>46</v>
      </c>
      <c r="J26" s="3" t="s">
        <v>47</v>
      </c>
      <c r="K26" s="3" t="s">
        <v>357</v>
      </c>
      <c r="L26" s="3" t="s">
        <v>81</v>
      </c>
      <c r="M26" s="9" t="str">
        <f>HYPERLINK("http://www.sabeen.sa", "www.sabeen.sa")</f>
        <v>www.sabeen.sa</v>
      </c>
      <c r="N26" s="3" t="s">
        <v>358</v>
      </c>
      <c r="O26" s="3" t="s">
        <v>42</v>
      </c>
      <c r="P26" s="3" t="s">
        <v>359</v>
      </c>
      <c r="Q26" s="3" t="s">
        <v>360</v>
      </c>
      <c r="R26" s="17">
        <v>2</v>
      </c>
      <c r="S26" s="17">
        <v>3</v>
      </c>
      <c r="T26" s="17">
        <v>2</v>
      </c>
      <c r="U26" s="17" t="s">
        <v>42</v>
      </c>
      <c r="V26" s="17" t="s">
        <v>42</v>
      </c>
      <c r="W26" s="5" t="s">
        <v>361</v>
      </c>
      <c r="X26" s="3" t="s">
        <v>362</v>
      </c>
      <c r="Y26" s="3" t="s">
        <v>42</v>
      </c>
      <c r="Z26" s="3" t="s">
        <v>55</v>
      </c>
      <c r="AA26" s="3" t="s">
        <v>363</v>
      </c>
      <c r="AB26" s="3" t="s">
        <v>364</v>
      </c>
      <c r="AC26" s="3" t="s">
        <v>58</v>
      </c>
      <c r="AD26" s="3" t="s">
        <v>42</v>
      </c>
      <c r="AE26" s="5" t="s">
        <v>365</v>
      </c>
      <c r="AF26" s="3" t="s">
        <v>60</v>
      </c>
      <c r="AG26" s="5" t="s">
        <v>42</v>
      </c>
      <c r="AH26" s="3" t="s">
        <v>61</v>
      </c>
      <c r="AI26" s="3" t="s">
        <v>61</v>
      </c>
      <c r="AJ26" s="3" t="s">
        <v>42</v>
      </c>
      <c r="AK26" s="3" t="s">
        <v>42</v>
      </c>
      <c r="AL26" s="29">
        <v>45790</v>
      </c>
      <c r="AM26" s="5" t="s">
        <v>42</v>
      </c>
      <c r="AN26" s="9" t="str">
        <f>HYPERLINK("https://my.pitchbook.com?p=316553-14P", "View People Online")</f>
        <v>View People Online</v>
      </c>
    </row>
    <row r="27" spans="1:40" x14ac:dyDescent="0.2">
      <c r="A27" s="2" t="s">
        <v>366</v>
      </c>
      <c r="B27" s="2" t="s">
        <v>367</v>
      </c>
      <c r="C27" s="2" t="s">
        <v>42</v>
      </c>
      <c r="D27" s="2" t="s">
        <v>42</v>
      </c>
      <c r="E27" s="2" t="s">
        <v>366</v>
      </c>
      <c r="F27" s="2" t="s">
        <v>368</v>
      </c>
      <c r="G27" s="2" t="s">
        <v>65</v>
      </c>
      <c r="H27" s="2" t="s">
        <v>42</v>
      </c>
      <c r="I27" s="2" t="s">
        <v>46</v>
      </c>
      <c r="J27" s="2" t="s">
        <v>47</v>
      </c>
      <c r="K27" s="2" t="s">
        <v>369</v>
      </c>
      <c r="L27" s="2" t="s">
        <v>111</v>
      </c>
      <c r="M27" s="8" t="str">
        <f>HYPERLINK("http://www.dallahhealth.com", "www.dallahhealth.com")</f>
        <v>www.dallahhealth.com</v>
      </c>
      <c r="N27" s="2" t="s">
        <v>370</v>
      </c>
      <c r="O27" s="2" t="s">
        <v>42</v>
      </c>
      <c r="P27" s="2" t="s">
        <v>371</v>
      </c>
      <c r="Q27" s="2" t="s">
        <v>128</v>
      </c>
      <c r="R27" s="16">
        <v>1</v>
      </c>
      <c r="S27" s="16">
        <v>3</v>
      </c>
      <c r="T27" s="16">
        <v>1</v>
      </c>
      <c r="U27" s="16">
        <v>1</v>
      </c>
      <c r="V27" s="16" t="s">
        <v>42</v>
      </c>
      <c r="W27" s="4" t="s">
        <v>372</v>
      </c>
      <c r="X27" s="2" t="s">
        <v>42</v>
      </c>
      <c r="Y27" s="2" t="s">
        <v>42</v>
      </c>
      <c r="Z27" s="2" t="s">
        <v>55</v>
      </c>
      <c r="AA27" s="2" t="s">
        <v>373</v>
      </c>
      <c r="AB27" s="2" t="s">
        <v>42</v>
      </c>
      <c r="AC27" s="2" t="s">
        <v>58</v>
      </c>
      <c r="AD27" s="2" t="s">
        <v>42</v>
      </c>
      <c r="AE27" s="4" t="s">
        <v>374</v>
      </c>
      <c r="AF27" s="2" t="s">
        <v>60</v>
      </c>
      <c r="AG27" s="4" t="s">
        <v>375</v>
      </c>
      <c r="AH27" s="2" t="s">
        <v>61</v>
      </c>
      <c r="AI27" s="2" t="s">
        <v>61</v>
      </c>
      <c r="AJ27" s="2" t="s">
        <v>42</v>
      </c>
      <c r="AK27" s="2" t="s">
        <v>42</v>
      </c>
      <c r="AL27" s="28">
        <v>45887</v>
      </c>
      <c r="AM27" s="4" t="s">
        <v>42</v>
      </c>
      <c r="AN27" s="8" t="str">
        <f>HYPERLINK("https://my.pitchbook.com?p=379997-38P", "View People Online")</f>
        <v>View People Online</v>
      </c>
    </row>
    <row r="28" spans="1:40" x14ac:dyDescent="0.2">
      <c r="A28" s="3" t="s">
        <v>376</v>
      </c>
      <c r="B28" s="3" t="s">
        <v>377</v>
      </c>
      <c r="C28" s="3" t="s">
        <v>42</v>
      </c>
      <c r="D28" s="3" t="s">
        <v>42</v>
      </c>
      <c r="E28" s="3" t="s">
        <v>376</v>
      </c>
      <c r="F28" s="3" t="s">
        <v>378</v>
      </c>
      <c r="G28" s="3" t="s">
        <v>379</v>
      </c>
      <c r="H28" s="3" t="s">
        <v>284</v>
      </c>
      <c r="I28" s="3" t="s">
        <v>46</v>
      </c>
      <c r="J28" s="3" t="s">
        <v>47</v>
      </c>
      <c r="K28" s="3" t="s">
        <v>380</v>
      </c>
      <c r="L28" s="3" t="s">
        <v>111</v>
      </c>
      <c r="M28" s="9" t="str">
        <f>HYPERLINK("http://www.senaat.com", "www.senaat.com")</f>
        <v>www.senaat.com</v>
      </c>
      <c r="N28" s="3" t="s">
        <v>139</v>
      </c>
      <c r="O28" s="3" t="s">
        <v>42</v>
      </c>
      <c r="P28" s="3" t="s">
        <v>381</v>
      </c>
      <c r="Q28" s="3" t="s">
        <v>42</v>
      </c>
      <c r="R28" s="17">
        <v>1</v>
      </c>
      <c r="S28" s="17">
        <v>3</v>
      </c>
      <c r="T28" s="17" t="s">
        <v>42</v>
      </c>
      <c r="U28" s="17">
        <v>2</v>
      </c>
      <c r="V28" s="17" t="s">
        <v>42</v>
      </c>
      <c r="W28" s="5" t="s">
        <v>382</v>
      </c>
      <c r="X28" s="3" t="s">
        <v>42</v>
      </c>
      <c r="Y28" s="3" t="s">
        <v>42</v>
      </c>
      <c r="Z28" s="3" t="s">
        <v>383</v>
      </c>
      <c r="AA28" s="3" t="s">
        <v>384</v>
      </c>
      <c r="AB28" s="3" t="s">
        <v>42</v>
      </c>
      <c r="AC28" s="3" t="s">
        <v>385</v>
      </c>
      <c r="AD28" s="3" t="s">
        <v>42</v>
      </c>
      <c r="AE28" s="5" t="s">
        <v>386</v>
      </c>
      <c r="AF28" s="3" t="s">
        <v>60</v>
      </c>
      <c r="AG28" s="5" t="s">
        <v>387</v>
      </c>
      <c r="AH28" s="3" t="s">
        <v>61</v>
      </c>
      <c r="AI28" s="3" t="s">
        <v>61</v>
      </c>
      <c r="AJ28" s="3" t="s">
        <v>42</v>
      </c>
      <c r="AK28" s="3" t="s">
        <v>42</v>
      </c>
      <c r="AL28" s="29">
        <v>45945</v>
      </c>
      <c r="AM28" s="5" t="s">
        <v>42</v>
      </c>
      <c r="AN28" s="9" t="str">
        <f>HYPERLINK("https://my.pitchbook.com?p=349805-26P", "View People Online")</f>
        <v>View People Online</v>
      </c>
    </row>
    <row r="29" spans="1:40" x14ac:dyDescent="0.2">
      <c r="A29" s="2" t="s">
        <v>388</v>
      </c>
      <c r="B29" s="2" t="s">
        <v>389</v>
      </c>
      <c r="C29" s="2" t="s">
        <v>42</v>
      </c>
      <c r="D29" s="2" t="s">
        <v>42</v>
      </c>
      <c r="E29" s="2" t="s">
        <v>388</v>
      </c>
      <c r="F29" s="2" t="s">
        <v>390</v>
      </c>
      <c r="G29" s="2" t="s">
        <v>391</v>
      </c>
      <c r="H29" s="2" t="s">
        <v>42</v>
      </c>
      <c r="I29" s="2" t="s">
        <v>46</v>
      </c>
      <c r="J29" s="2" t="s">
        <v>47</v>
      </c>
      <c r="K29" s="2" t="s">
        <v>392</v>
      </c>
      <c r="L29" s="2" t="s">
        <v>111</v>
      </c>
      <c r="M29" s="8" t="str">
        <f>HYPERLINK("http://www.sabic.com", "www.sabic.com")</f>
        <v>www.sabic.com</v>
      </c>
      <c r="N29" s="2" t="s">
        <v>393</v>
      </c>
      <c r="O29" s="2" t="s">
        <v>42</v>
      </c>
      <c r="P29" s="2" t="s">
        <v>394</v>
      </c>
      <c r="Q29" s="2" t="s">
        <v>42</v>
      </c>
      <c r="R29" s="16">
        <v>1</v>
      </c>
      <c r="S29" s="16">
        <v>3</v>
      </c>
      <c r="T29" s="16" t="s">
        <v>42</v>
      </c>
      <c r="U29" s="16">
        <v>2</v>
      </c>
      <c r="V29" s="16" t="s">
        <v>42</v>
      </c>
      <c r="W29" s="4" t="s">
        <v>395</v>
      </c>
      <c r="X29" s="2" t="s">
        <v>42</v>
      </c>
      <c r="Y29" s="8" t="str">
        <f>HYPERLINK("http://linkedin.com/in/abdulrahman-al-fageeh-05656b10/", "http://linkedin.com/in/abdulrahman-al-fageeh-05656b10/")</f>
        <v>http://linkedin.com/in/abdulrahman-al-fageeh-05656b10/</v>
      </c>
      <c r="Z29" s="2" t="s">
        <v>396</v>
      </c>
      <c r="AA29" s="2" t="s">
        <v>397</v>
      </c>
      <c r="AB29" s="2" t="s">
        <v>42</v>
      </c>
      <c r="AC29" s="2" t="s">
        <v>398</v>
      </c>
      <c r="AD29" s="2" t="s">
        <v>42</v>
      </c>
      <c r="AE29" s="4" t="s">
        <v>399</v>
      </c>
      <c r="AF29" s="2" t="s">
        <v>60</v>
      </c>
      <c r="AG29" s="4" t="s">
        <v>400</v>
      </c>
      <c r="AH29" s="2" t="s">
        <v>61</v>
      </c>
      <c r="AI29" s="2" t="s">
        <v>61</v>
      </c>
      <c r="AJ29" s="2" t="s">
        <v>42</v>
      </c>
      <c r="AK29" s="2" t="s">
        <v>42</v>
      </c>
      <c r="AL29" s="28">
        <v>45869</v>
      </c>
      <c r="AM29" s="4" t="s">
        <v>42</v>
      </c>
      <c r="AN29" s="8" t="str">
        <f>HYPERLINK("https://my.pitchbook.com?p=318107-44P", "View People Online")</f>
        <v>View People Online</v>
      </c>
    </row>
    <row r="30" spans="1:40" x14ac:dyDescent="0.2">
      <c r="A30" s="3" t="s">
        <v>401</v>
      </c>
      <c r="B30" s="3" t="s">
        <v>402</v>
      </c>
      <c r="C30" s="3" t="s">
        <v>42</v>
      </c>
      <c r="D30" s="3" t="s">
        <v>42</v>
      </c>
      <c r="E30" s="3" t="s">
        <v>401</v>
      </c>
      <c r="F30" s="3" t="s">
        <v>403</v>
      </c>
      <c r="G30" s="3" t="s">
        <v>391</v>
      </c>
      <c r="H30" s="3" t="s">
        <v>42</v>
      </c>
      <c r="I30" s="3" t="s">
        <v>46</v>
      </c>
      <c r="J30" s="3" t="s">
        <v>47</v>
      </c>
      <c r="K30" s="3" t="s">
        <v>404</v>
      </c>
      <c r="L30" s="3" t="s">
        <v>111</v>
      </c>
      <c r="M30" s="9" t="str">
        <f>HYPERLINK("http://www.siig.com.sa", "www.siig.com.sa")</f>
        <v>www.siig.com.sa</v>
      </c>
      <c r="N30" s="3" t="s">
        <v>210</v>
      </c>
      <c r="O30" s="3" t="s">
        <v>42</v>
      </c>
      <c r="P30" s="3" t="s">
        <v>405</v>
      </c>
      <c r="Q30" s="3" t="s">
        <v>42</v>
      </c>
      <c r="R30" s="17">
        <v>1</v>
      </c>
      <c r="S30" s="17">
        <v>3</v>
      </c>
      <c r="T30" s="17">
        <v>1</v>
      </c>
      <c r="U30" s="17">
        <v>1</v>
      </c>
      <c r="V30" s="17" t="s">
        <v>42</v>
      </c>
      <c r="W30" s="5" t="s">
        <v>406</v>
      </c>
      <c r="X30" s="3" t="s">
        <v>42</v>
      </c>
      <c r="Y30" s="3" t="s">
        <v>42</v>
      </c>
      <c r="Z30" s="3" t="s">
        <v>55</v>
      </c>
      <c r="AA30" s="3" t="s">
        <v>407</v>
      </c>
      <c r="AB30" s="3" t="s">
        <v>42</v>
      </c>
      <c r="AC30" s="3" t="s">
        <v>58</v>
      </c>
      <c r="AD30" s="3" t="s">
        <v>42</v>
      </c>
      <c r="AE30" s="5" t="s">
        <v>408</v>
      </c>
      <c r="AF30" s="3" t="s">
        <v>60</v>
      </c>
      <c r="AG30" s="5" t="s">
        <v>409</v>
      </c>
      <c r="AH30" s="3" t="s">
        <v>61</v>
      </c>
      <c r="AI30" s="3" t="s">
        <v>61</v>
      </c>
      <c r="AJ30" s="3" t="s">
        <v>42</v>
      </c>
      <c r="AK30" s="3" t="s">
        <v>42</v>
      </c>
      <c r="AL30" s="29">
        <v>45985</v>
      </c>
      <c r="AM30" s="5" t="s">
        <v>42</v>
      </c>
      <c r="AN30" s="9" t="str">
        <f>HYPERLINK("https://my.pitchbook.com?p=276635-17P", "View People Online")</f>
        <v>View People Online</v>
      </c>
    </row>
    <row r="31" spans="1:40" x14ac:dyDescent="0.2">
      <c r="A31" s="2" t="s">
        <v>410</v>
      </c>
      <c r="B31" s="2" t="s">
        <v>411</v>
      </c>
      <c r="C31" s="2" t="s">
        <v>42</v>
      </c>
      <c r="D31" s="2" t="s">
        <v>42</v>
      </c>
      <c r="E31" s="2" t="s">
        <v>410</v>
      </c>
      <c r="F31" s="2" t="s">
        <v>412</v>
      </c>
      <c r="G31" s="2" t="s">
        <v>413</v>
      </c>
      <c r="H31" s="2" t="s">
        <v>42</v>
      </c>
      <c r="I31" s="2" t="s">
        <v>46</v>
      </c>
      <c r="J31" s="2" t="s">
        <v>47</v>
      </c>
      <c r="K31" s="2" t="s">
        <v>414</v>
      </c>
      <c r="L31" s="2" t="s">
        <v>125</v>
      </c>
      <c r="M31" s="8" t="str">
        <f>HYPERLINK("http://www.madak.app", "www.madak.app")</f>
        <v>www.madak.app</v>
      </c>
      <c r="N31" s="2" t="s">
        <v>415</v>
      </c>
      <c r="O31" s="2" t="s">
        <v>416</v>
      </c>
      <c r="P31" s="2" t="s">
        <v>417</v>
      </c>
      <c r="Q31" s="2" t="s">
        <v>418</v>
      </c>
      <c r="R31" s="16">
        <v>2</v>
      </c>
      <c r="S31" s="16">
        <v>3</v>
      </c>
      <c r="T31" s="16">
        <v>3</v>
      </c>
      <c r="U31" s="16" t="s">
        <v>42</v>
      </c>
      <c r="V31" s="16" t="s">
        <v>42</v>
      </c>
      <c r="W31" s="4" t="s">
        <v>419</v>
      </c>
      <c r="X31" s="2" t="s">
        <v>42</v>
      </c>
      <c r="Y31" s="8" t="str">
        <f>HYPERLINK("http://linkedin.com/in/abdulwahhab-abed", "http://linkedin.com/in/abdulwahhab-abed")</f>
        <v>http://linkedin.com/in/abdulwahhab-abed</v>
      </c>
      <c r="Z31" s="2" t="s">
        <v>55</v>
      </c>
      <c r="AA31" s="2" t="s">
        <v>42</v>
      </c>
      <c r="AB31" s="2" t="s">
        <v>42</v>
      </c>
      <c r="AC31" s="2" t="s">
        <v>58</v>
      </c>
      <c r="AD31" s="2" t="s">
        <v>42</v>
      </c>
      <c r="AE31" s="4" t="s">
        <v>42</v>
      </c>
      <c r="AF31" s="2" t="s">
        <v>60</v>
      </c>
      <c r="AG31" s="4" t="s">
        <v>42</v>
      </c>
      <c r="AH31" s="2" t="s">
        <v>61</v>
      </c>
      <c r="AI31" s="2" t="s">
        <v>61</v>
      </c>
      <c r="AJ31" s="2" t="s">
        <v>42</v>
      </c>
      <c r="AK31" s="2" t="s">
        <v>42</v>
      </c>
      <c r="AL31" s="28">
        <v>45919</v>
      </c>
      <c r="AM31" s="4" t="s">
        <v>42</v>
      </c>
      <c r="AN31" s="8" t="str">
        <f>HYPERLINK("https://my.pitchbook.com?p=56411-74P", "View People Online")</f>
        <v>View People Online</v>
      </c>
    </row>
    <row r="32" spans="1:40" x14ac:dyDescent="0.2">
      <c r="A32" s="3" t="s">
        <v>420</v>
      </c>
      <c r="B32" s="3" t="s">
        <v>421</v>
      </c>
      <c r="C32" s="3" t="s">
        <v>42</v>
      </c>
      <c r="D32" s="3" t="s">
        <v>42</v>
      </c>
      <c r="E32" s="3" t="s">
        <v>420</v>
      </c>
      <c r="F32" s="3" t="s">
        <v>422</v>
      </c>
      <c r="G32" s="3" t="s">
        <v>423</v>
      </c>
      <c r="H32" s="3" t="s">
        <v>424</v>
      </c>
      <c r="I32" s="3" t="s">
        <v>46</v>
      </c>
      <c r="J32" s="3" t="s">
        <v>47</v>
      </c>
      <c r="K32" s="3" t="s">
        <v>425</v>
      </c>
      <c r="L32" s="3" t="s">
        <v>111</v>
      </c>
      <c r="M32" s="9" t="str">
        <f>HYPERLINK("http://www.budgetsaudi.com", "www.budgetsaudi.com")</f>
        <v>www.budgetsaudi.com</v>
      </c>
      <c r="N32" s="3" t="s">
        <v>426</v>
      </c>
      <c r="O32" s="3" t="s">
        <v>42</v>
      </c>
      <c r="P32" s="3" t="s">
        <v>427</v>
      </c>
      <c r="Q32" s="3" t="s">
        <v>428</v>
      </c>
      <c r="R32" s="17">
        <v>1</v>
      </c>
      <c r="S32" s="17">
        <v>3</v>
      </c>
      <c r="T32" s="17">
        <v>1</v>
      </c>
      <c r="U32" s="17">
        <v>1</v>
      </c>
      <c r="V32" s="17" t="s">
        <v>42</v>
      </c>
      <c r="W32" s="5" t="s">
        <v>429</v>
      </c>
      <c r="X32" s="3" t="s">
        <v>430</v>
      </c>
      <c r="Y32" s="9" t="str">
        <f>HYPERLINK("http://linkedin.com/in/fawaz-danish-8335a94/?originalsubdomain=sa", "http://linkedin.com/in/fawaz-danish-8335a94/?originalsubdomain=sa")</f>
        <v>http://linkedin.com/in/fawaz-danish-8335a94/?originalsubdomain=sa</v>
      </c>
      <c r="Z32" s="3" t="s">
        <v>174</v>
      </c>
      <c r="AA32" s="3" t="s">
        <v>431</v>
      </c>
      <c r="AB32" s="3" t="s">
        <v>432</v>
      </c>
      <c r="AC32" s="3" t="s">
        <v>176</v>
      </c>
      <c r="AD32" s="3" t="s">
        <v>42</v>
      </c>
      <c r="AE32" s="5" t="s">
        <v>433</v>
      </c>
      <c r="AF32" s="3" t="s">
        <v>60</v>
      </c>
      <c r="AG32" s="5" t="s">
        <v>434</v>
      </c>
      <c r="AH32" s="3" t="s">
        <v>61</v>
      </c>
      <c r="AI32" s="3" t="s">
        <v>61</v>
      </c>
      <c r="AJ32" s="3" t="s">
        <v>42</v>
      </c>
      <c r="AK32" s="3" t="s">
        <v>42</v>
      </c>
      <c r="AL32" s="29">
        <v>46036</v>
      </c>
      <c r="AM32" s="5" t="s">
        <v>42</v>
      </c>
      <c r="AN32" s="9" t="str">
        <f>HYPERLINK("https://my.pitchbook.com?p=327004-03P", "View People Online")</f>
        <v>View People Online</v>
      </c>
    </row>
    <row r="33" spans="1:40" x14ac:dyDescent="0.2">
      <c r="A33" s="2" t="s">
        <v>435</v>
      </c>
      <c r="B33" s="2" t="s">
        <v>436</v>
      </c>
      <c r="C33" s="2" t="s">
        <v>42</v>
      </c>
      <c r="D33" s="2" t="s">
        <v>42</v>
      </c>
      <c r="E33" s="2" t="s">
        <v>435</v>
      </c>
      <c r="F33" s="2" t="s">
        <v>161</v>
      </c>
      <c r="G33" s="2" t="s">
        <v>437</v>
      </c>
      <c r="H33" s="2" t="s">
        <v>42</v>
      </c>
      <c r="I33" s="2" t="s">
        <v>46</v>
      </c>
      <c r="J33" s="2" t="s">
        <v>47</v>
      </c>
      <c r="K33" s="2" t="s">
        <v>438</v>
      </c>
      <c r="L33" s="2" t="s">
        <v>111</v>
      </c>
      <c r="M33" s="8" t="str">
        <f>HYPERLINK("http://www.shaker.com.sa", "www.shaker.com.sa")</f>
        <v>www.shaker.com.sa</v>
      </c>
      <c r="N33" s="2" t="s">
        <v>210</v>
      </c>
      <c r="O33" s="2" t="s">
        <v>42</v>
      </c>
      <c r="P33" s="2" t="s">
        <v>439</v>
      </c>
      <c r="Q33" s="2" t="s">
        <v>42</v>
      </c>
      <c r="R33" s="16">
        <v>1</v>
      </c>
      <c r="S33" s="16">
        <v>3</v>
      </c>
      <c r="T33" s="16">
        <v>1</v>
      </c>
      <c r="U33" s="16">
        <v>1</v>
      </c>
      <c r="V33" s="16" t="s">
        <v>42</v>
      </c>
      <c r="W33" s="4" t="s">
        <v>42</v>
      </c>
      <c r="X33" s="2" t="s">
        <v>440</v>
      </c>
      <c r="Y33" s="8" t="str">
        <f>HYPERLINK("http://linkedin.com/in/mohammed-ibrahim-abunayyan/", "http://linkedin.com/in/mohammed-ibrahim-abunayyan/")</f>
        <v>http://linkedin.com/in/mohammed-ibrahim-abunayyan/</v>
      </c>
      <c r="Z33" s="2" t="s">
        <v>55</v>
      </c>
      <c r="AA33" s="2" t="s">
        <v>441</v>
      </c>
      <c r="AB33" s="2" t="s">
        <v>42</v>
      </c>
      <c r="AC33" s="2" t="s">
        <v>58</v>
      </c>
      <c r="AD33" s="2" t="s">
        <v>442</v>
      </c>
      <c r="AE33" s="4" t="s">
        <v>190</v>
      </c>
      <c r="AF33" s="2" t="s">
        <v>60</v>
      </c>
      <c r="AG33" s="4" t="s">
        <v>42</v>
      </c>
      <c r="AH33" s="2" t="s">
        <v>61</v>
      </c>
      <c r="AI33" s="2" t="s">
        <v>61</v>
      </c>
      <c r="AJ33" s="2" t="s">
        <v>42</v>
      </c>
      <c r="AK33" s="2" t="s">
        <v>42</v>
      </c>
      <c r="AL33" s="28">
        <v>45859</v>
      </c>
      <c r="AM33" s="4" t="s">
        <v>42</v>
      </c>
      <c r="AN33" s="8" t="str">
        <f>HYPERLINK("https://my.pitchbook.com?p=261636-94P", "View People Online")</f>
        <v>View People Online</v>
      </c>
    </row>
    <row r="34" spans="1:40" x14ac:dyDescent="0.2">
      <c r="A34" s="3" t="s">
        <v>443</v>
      </c>
      <c r="B34" s="3" t="s">
        <v>444</v>
      </c>
      <c r="C34" s="3" t="s">
        <v>42</v>
      </c>
      <c r="D34" s="3" t="s">
        <v>42</v>
      </c>
      <c r="E34" s="3" t="s">
        <v>443</v>
      </c>
      <c r="F34" s="3" t="s">
        <v>445</v>
      </c>
      <c r="G34" s="3" t="s">
        <v>284</v>
      </c>
      <c r="H34" s="3" t="s">
        <v>42</v>
      </c>
      <c r="I34" s="3" t="s">
        <v>46</v>
      </c>
      <c r="J34" s="3" t="s">
        <v>47</v>
      </c>
      <c r="K34" s="3" t="s">
        <v>446</v>
      </c>
      <c r="L34" s="3" t="s">
        <v>111</v>
      </c>
      <c r="M34" s="9" t="str">
        <f>HYPERLINK("http://www.alhammadi.com", "www.alhammadi.com")</f>
        <v>www.alhammadi.com</v>
      </c>
      <c r="N34" s="3" t="s">
        <v>447</v>
      </c>
      <c r="O34" s="3" t="s">
        <v>42</v>
      </c>
      <c r="P34" s="3" t="s">
        <v>448</v>
      </c>
      <c r="Q34" s="3" t="s">
        <v>42</v>
      </c>
      <c r="R34" s="17">
        <v>1</v>
      </c>
      <c r="S34" s="17">
        <v>3</v>
      </c>
      <c r="T34" s="17">
        <v>1</v>
      </c>
      <c r="U34" s="17">
        <v>1</v>
      </c>
      <c r="V34" s="17" t="s">
        <v>42</v>
      </c>
      <c r="W34" s="5" t="s">
        <v>449</v>
      </c>
      <c r="X34" s="3" t="s">
        <v>450</v>
      </c>
      <c r="Y34" s="3" t="s">
        <v>42</v>
      </c>
      <c r="Z34" s="3" t="s">
        <v>55</v>
      </c>
      <c r="AA34" s="3" t="s">
        <v>451</v>
      </c>
      <c r="AB34" s="3" t="s">
        <v>452</v>
      </c>
      <c r="AC34" s="3" t="s">
        <v>58</v>
      </c>
      <c r="AD34" s="3" t="s">
        <v>453</v>
      </c>
      <c r="AE34" s="5" t="s">
        <v>454</v>
      </c>
      <c r="AF34" s="3" t="s">
        <v>60</v>
      </c>
      <c r="AG34" s="5" t="s">
        <v>455</v>
      </c>
      <c r="AH34" s="3" t="s">
        <v>61</v>
      </c>
      <c r="AI34" s="3" t="s">
        <v>61</v>
      </c>
      <c r="AJ34" s="3" t="s">
        <v>42</v>
      </c>
      <c r="AK34" s="3" t="s">
        <v>42</v>
      </c>
      <c r="AL34" s="29">
        <v>45940</v>
      </c>
      <c r="AM34" s="5" t="s">
        <v>42</v>
      </c>
      <c r="AN34" s="9" t="str">
        <f>HYPERLINK("https://my.pitchbook.com?p=384889-69P", "View People Online")</f>
        <v>View People Online</v>
      </c>
    </row>
    <row r="35" spans="1:40" x14ac:dyDescent="0.2">
      <c r="A35" s="2" t="s">
        <v>456</v>
      </c>
      <c r="B35" s="2" t="s">
        <v>457</v>
      </c>
      <c r="C35" s="2" t="s">
        <v>42</v>
      </c>
      <c r="D35" s="2" t="s">
        <v>42</v>
      </c>
      <c r="E35" s="2" t="s">
        <v>456</v>
      </c>
      <c r="F35" s="2" t="s">
        <v>270</v>
      </c>
      <c r="G35" s="2" t="s">
        <v>458</v>
      </c>
      <c r="H35" s="2" t="s">
        <v>66</v>
      </c>
      <c r="I35" s="2" t="s">
        <v>46</v>
      </c>
      <c r="J35" s="2" t="s">
        <v>47</v>
      </c>
      <c r="K35" s="2" t="s">
        <v>459</v>
      </c>
      <c r="L35" s="2" t="s">
        <v>460</v>
      </c>
      <c r="M35" s="8" t="str">
        <f>HYPERLINK("http://www.noriacapital.co/index.html", "www.noriacapital.co/index.html")</f>
        <v>www.noriacapital.co/index.html</v>
      </c>
      <c r="N35" s="2" t="s">
        <v>461</v>
      </c>
      <c r="O35" s="2" t="s">
        <v>42</v>
      </c>
      <c r="P35" s="2" t="s">
        <v>462</v>
      </c>
      <c r="Q35" s="2" t="s">
        <v>42</v>
      </c>
      <c r="R35" s="16">
        <v>2</v>
      </c>
      <c r="S35" s="16">
        <v>3</v>
      </c>
      <c r="T35" s="16">
        <v>1</v>
      </c>
      <c r="U35" s="16" t="s">
        <v>42</v>
      </c>
      <c r="V35" s="16" t="s">
        <v>42</v>
      </c>
      <c r="W35" s="4" t="s">
        <v>42</v>
      </c>
      <c r="X35" s="2" t="s">
        <v>463</v>
      </c>
      <c r="Y35" s="8" t="str">
        <f>HYPERLINK("http://linkedin.com/in/rakan-abunayyan-a6a2206/", "http://linkedin.com/in/rakan-abunayyan-a6a2206/")</f>
        <v>http://linkedin.com/in/rakan-abunayyan-a6a2206/</v>
      </c>
      <c r="Z35" s="2" t="s">
        <v>55</v>
      </c>
      <c r="AA35" s="2" t="s">
        <v>42</v>
      </c>
      <c r="AB35" s="2" t="s">
        <v>42</v>
      </c>
      <c r="AC35" s="2" t="s">
        <v>58</v>
      </c>
      <c r="AD35" s="2" t="s">
        <v>42</v>
      </c>
      <c r="AE35" s="4" t="s">
        <v>42</v>
      </c>
      <c r="AF35" s="2" t="s">
        <v>60</v>
      </c>
      <c r="AG35" s="4" t="s">
        <v>42</v>
      </c>
      <c r="AH35" s="2" t="s">
        <v>61</v>
      </c>
      <c r="AI35" s="2" t="s">
        <v>61</v>
      </c>
      <c r="AJ35" s="2" t="s">
        <v>42</v>
      </c>
      <c r="AK35" s="2" t="s">
        <v>42</v>
      </c>
      <c r="AL35" s="28">
        <v>46042</v>
      </c>
      <c r="AM35" s="4">
        <v>1987</v>
      </c>
      <c r="AN35" s="8" t="str">
        <f>HYPERLINK("https://my.pitchbook.com?p=214460-29P", "View People Online")</f>
        <v>View People Online</v>
      </c>
    </row>
    <row r="36" spans="1:40" x14ac:dyDescent="0.2">
      <c r="A36" s="3" t="s">
        <v>464</v>
      </c>
      <c r="B36" s="3" t="s">
        <v>465</v>
      </c>
      <c r="C36" s="3" t="s">
        <v>42</v>
      </c>
      <c r="D36" s="3" t="s">
        <v>42</v>
      </c>
      <c r="E36" s="3" t="s">
        <v>464</v>
      </c>
      <c r="F36" s="3" t="s">
        <v>466</v>
      </c>
      <c r="G36" s="3" t="s">
        <v>467</v>
      </c>
      <c r="H36" s="3" t="s">
        <v>468</v>
      </c>
      <c r="I36" s="3" t="s">
        <v>46</v>
      </c>
      <c r="J36" s="3" t="s">
        <v>47</v>
      </c>
      <c r="K36" s="3" t="s">
        <v>469</v>
      </c>
      <c r="L36" s="3" t="s">
        <v>111</v>
      </c>
      <c r="M36" s="9" t="str">
        <f>HYPERLINK("http://care.med.sa", "care.med.sa")</f>
        <v>care.med.sa</v>
      </c>
      <c r="N36" s="3" t="s">
        <v>69</v>
      </c>
      <c r="O36" s="3" t="s">
        <v>42</v>
      </c>
      <c r="P36" s="3" t="s">
        <v>470</v>
      </c>
      <c r="Q36" s="3" t="s">
        <v>42</v>
      </c>
      <c r="R36" s="17">
        <v>2</v>
      </c>
      <c r="S36" s="17">
        <v>3</v>
      </c>
      <c r="T36" s="17" t="s">
        <v>42</v>
      </c>
      <c r="U36" s="17">
        <v>1</v>
      </c>
      <c r="V36" s="17" t="s">
        <v>42</v>
      </c>
      <c r="W36" s="5" t="s">
        <v>471</v>
      </c>
      <c r="X36" s="3" t="s">
        <v>42</v>
      </c>
      <c r="Y36" s="3" t="s">
        <v>42</v>
      </c>
      <c r="Z36" s="3" t="s">
        <v>55</v>
      </c>
      <c r="AA36" s="3" t="s">
        <v>472</v>
      </c>
      <c r="AB36" s="3" t="s">
        <v>473</v>
      </c>
      <c r="AC36" s="3" t="s">
        <v>58</v>
      </c>
      <c r="AD36" s="3" t="s">
        <v>474</v>
      </c>
      <c r="AE36" s="5" t="s">
        <v>475</v>
      </c>
      <c r="AF36" s="3" t="s">
        <v>60</v>
      </c>
      <c r="AG36" s="5" t="s">
        <v>42</v>
      </c>
      <c r="AH36" s="3" t="s">
        <v>61</v>
      </c>
      <c r="AI36" s="3" t="s">
        <v>61</v>
      </c>
      <c r="AJ36" s="3" t="s">
        <v>42</v>
      </c>
      <c r="AK36" s="3" t="s">
        <v>42</v>
      </c>
      <c r="AL36" s="29">
        <v>45868</v>
      </c>
      <c r="AM36" s="5" t="s">
        <v>42</v>
      </c>
      <c r="AN36" s="9" t="str">
        <f>HYPERLINK("https://my.pitchbook.com?p=364563-64P", "View People Online")</f>
        <v>View People Online</v>
      </c>
    </row>
    <row r="37" spans="1:40" x14ac:dyDescent="0.2">
      <c r="A37" s="2" t="s">
        <v>476</v>
      </c>
      <c r="B37" s="2" t="s">
        <v>477</v>
      </c>
      <c r="C37" s="2" t="s">
        <v>42</v>
      </c>
      <c r="D37" s="2" t="s">
        <v>42</v>
      </c>
      <c r="E37" s="2" t="s">
        <v>476</v>
      </c>
      <c r="F37" s="2" t="s">
        <v>478</v>
      </c>
      <c r="G37" s="2" t="s">
        <v>479</v>
      </c>
      <c r="H37" s="2" t="s">
        <v>42</v>
      </c>
      <c r="I37" s="2" t="s">
        <v>46</v>
      </c>
      <c r="J37" s="2" t="s">
        <v>47</v>
      </c>
      <c r="K37" s="2" t="s">
        <v>480</v>
      </c>
      <c r="L37" s="2" t="s">
        <v>481</v>
      </c>
      <c r="M37" s="8" t="str">
        <f>HYPERLINK("http://www.alrajhibank.com.sa", "www.alrajhibank.com.sa")</f>
        <v>www.alrajhibank.com.sa</v>
      </c>
      <c r="N37" s="2" t="s">
        <v>246</v>
      </c>
      <c r="O37" s="2" t="s">
        <v>42</v>
      </c>
      <c r="P37" s="2" t="s">
        <v>482</v>
      </c>
      <c r="Q37" s="2" t="s">
        <v>42</v>
      </c>
      <c r="R37" s="16">
        <v>1</v>
      </c>
      <c r="S37" s="16">
        <v>3</v>
      </c>
      <c r="T37" s="16">
        <v>3</v>
      </c>
      <c r="U37" s="16" t="s">
        <v>42</v>
      </c>
      <c r="V37" s="16" t="s">
        <v>42</v>
      </c>
      <c r="W37" s="4" t="s">
        <v>42</v>
      </c>
      <c r="X37" s="2" t="s">
        <v>483</v>
      </c>
      <c r="Y37" s="2" t="s">
        <v>42</v>
      </c>
      <c r="Z37" s="2" t="s">
        <v>55</v>
      </c>
      <c r="AA37" s="2" t="s">
        <v>484</v>
      </c>
      <c r="AB37" s="2" t="s">
        <v>485</v>
      </c>
      <c r="AC37" s="2" t="s">
        <v>58</v>
      </c>
      <c r="AD37" s="2" t="s">
        <v>42</v>
      </c>
      <c r="AE37" s="4" t="s">
        <v>486</v>
      </c>
      <c r="AF37" s="2" t="s">
        <v>60</v>
      </c>
      <c r="AG37" s="4" t="s">
        <v>42</v>
      </c>
      <c r="AH37" s="2" t="s">
        <v>61</v>
      </c>
      <c r="AI37" s="2" t="s">
        <v>61</v>
      </c>
      <c r="AJ37" s="2" t="s">
        <v>42</v>
      </c>
      <c r="AK37" s="2" t="s">
        <v>42</v>
      </c>
      <c r="AL37" s="28">
        <v>45973</v>
      </c>
      <c r="AM37" s="4" t="s">
        <v>42</v>
      </c>
      <c r="AN37" s="8" t="str">
        <f>HYPERLINK("https://my.pitchbook.com?p=96007-42P", "View People Online")</f>
        <v>View People Online</v>
      </c>
    </row>
    <row r="38" spans="1:40" x14ac:dyDescent="0.2">
      <c r="A38" s="3" t="s">
        <v>487</v>
      </c>
      <c r="B38" s="3" t="s">
        <v>488</v>
      </c>
      <c r="C38" s="3" t="s">
        <v>42</v>
      </c>
      <c r="D38" s="3" t="s">
        <v>42</v>
      </c>
      <c r="E38" s="3" t="s">
        <v>487</v>
      </c>
      <c r="F38" s="3" t="s">
        <v>489</v>
      </c>
      <c r="G38" s="3" t="s">
        <v>479</v>
      </c>
      <c r="H38" s="3" t="s">
        <v>490</v>
      </c>
      <c r="I38" s="3" t="s">
        <v>46</v>
      </c>
      <c r="J38" s="3" t="s">
        <v>47</v>
      </c>
      <c r="K38" s="3" t="s">
        <v>491</v>
      </c>
      <c r="L38" s="3" t="s">
        <v>492</v>
      </c>
      <c r="M38" s="9" t="str">
        <f>HYPERLINK("http://www.visioninvest.com", "www.visioninvest.com")</f>
        <v>www.visioninvest.com</v>
      </c>
      <c r="N38" s="3" t="s">
        <v>493</v>
      </c>
      <c r="O38" s="3" t="s">
        <v>42</v>
      </c>
      <c r="P38" s="3" t="s">
        <v>494</v>
      </c>
      <c r="Q38" s="3" t="s">
        <v>42</v>
      </c>
      <c r="R38" s="17">
        <v>3</v>
      </c>
      <c r="S38" s="17">
        <v>3</v>
      </c>
      <c r="T38" s="17">
        <v>1</v>
      </c>
      <c r="U38" s="17" t="s">
        <v>42</v>
      </c>
      <c r="V38" s="17" t="s">
        <v>42</v>
      </c>
      <c r="W38" s="5" t="s">
        <v>495</v>
      </c>
      <c r="X38" s="3" t="s">
        <v>496</v>
      </c>
      <c r="Y38" s="3" t="s">
        <v>42</v>
      </c>
      <c r="Z38" s="3" t="s">
        <v>55</v>
      </c>
      <c r="AA38" s="3" t="s">
        <v>497</v>
      </c>
      <c r="AB38" s="3" t="s">
        <v>498</v>
      </c>
      <c r="AC38" s="3" t="s">
        <v>58</v>
      </c>
      <c r="AD38" s="3" t="s">
        <v>42</v>
      </c>
      <c r="AE38" s="5" t="s">
        <v>499</v>
      </c>
      <c r="AF38" s="3" t="s">
        <v>60</v>
      </c>
      <c r="AG38" s="5" t="s">
        <v>42</v>
      </c>
      <c r="AH38" s="3" t="s">
        <v>61</v>
      </c>
      <c r="AI38" s="3" t="s">
        <v>61</v>
      </c>
      <c r="AJ38" s="3" t="s">
        <v>42</v>
      </c>
      <c r="AK38" s="3" t="s">
        <v>42</v>
      </c>
      <c r="AL38" s="29">
        <v>45912</v>
      </c>
      <c r="AM38" s="5" t="s">
        <v>42</v>
      </c>
      <c r="AN38" s="9" t="str">
        <f>HYPERLINK("https://my.pitchbook.com?p=127938-97P", "View People Online")</f>
        <v>View People Online</v>
      </c>
    </row>
    <row r="39" spans="1:40" x14ac:dyDescent="0.2">
      <c r="A39" s="2" t="s">
        <v>500</v>
      </c>
      <c r="B39" s="2" t="s">
        <v>501</v>
      </c>
      <c r="C39" s="2" t="s">
        <v>42</v>
      </c>
      <c r="D39" s="2" t="s">
        <v>42</v>
      </c>
      <c r="E39" s="2" t="s">
        <v>500</v>
      </c>
      <c r="F39" s="2" t="s">
        <v>502</v>
      </c>
      <c r="G39" s="2" t="s">
        <v>503</v>
      </c>
      <c r="H39" s="2" t="s">
        <v>504</v>
      </c>
      <c r="I39" s="2" t="s">
        <v>46</v>
      </c>
      <c r="J39" s="2" t="s">
        <v>47</v>
      </c>
      <c r="K39" s="2" t="s">
        <v>110</v>
      </c>
      <c r="L39" s="2" t="s">
        <v>111</v>
      </c>
      <c r="M39" s="8" t="str">
        <f>HYPERLINK("http://www.aramco.com", "www.aramco.com")</f>
        <v>www.aramco.com</v>
      </c>
      <c r="N39" s="2" t="s">
        <v>505</v>
      </c>
      <c r="O39" s="2" t="s">
        <v>42</v>
      </c>
      <c r="P39" s="2" t="s">
        <v>506</v>
      </c>
      <c r="Q39" s="2" t="s">
        <v>507</v>
      </c>
      <c r="R39" s="16" t="s">
        <v>42</v>
      </c>
      <c r="S39" s="16">
        <v>3</v>
      </c>
      <c r="T39" s="16">
        <v>2</v>
      </c>
      <c r="U39" s="16">
        <v>1</v>
      </c>
      <c r="V39" s="16" t="s">
        <v>42</v>
      </c>
      <c r="W39" s="4" t="s">
        <v>114</v>
      </c>
      <c r="X39" s="2" t="s">
        <v>508</v>
      </c>
      <c r="Y39" s="8" t="str">
        <f>HYPERLINK("http://linkedin.com/in/ziad-al-murshed-7b368013", "http://linkedin.com/in/ziad-al-murshed-7b368013")</f>
        <v>http://linkedin.com/in/ziad-al-murshed-7b368013</v>
      </c>
      <c r="Z39" s="2" t="s">
        <v>116</v>
      </c>
      <c r="AA39" s="2" t="s">
        <v>117</v>
      </c>
      <c r="AB39" s="2" t="s">
        <v>42</v>
      </c>
      <c r="AC39" s="2" t="s">
        <v>118</v>
      </c>
      <c r="AD39" s="2" t="s">
        <v>42</v>
      </c>
      <c r="AE39" s="4" t="s">
        <v>119</v>
      </c>
      <c r="AF39" s="2" t="s">
        <v>60</v>
      </c>
      <c r="AG39" s="4" t="s">
        <v>42</v>
      </c>
      <c r="AH39" s="2" t="s">
        <v>61</v>
      </c>
      <c r="AI39" s="2" t="s">
        <v>61</v>
      </c>
      <c r="AJ39" s="2" t="s">
        <v>42</v>
      </c>
      <c r="AK39" s="2" t="s">
        <v>42</v>
      </c>
      <c r="AL39" s="28">
        <v>45862</v>
      </c>
      <c r="AM39" s="4" t="s">
        <v>42</v>
      </c>
      <c r="AN39" s="8" t="str">
        <f>HYPERLINK("https://my.pitchbook.com?p=166516-66P", "View People Online")</f>
        <v>View People Online</v>
      </c>
    </row>
    <row r="40" spans="1:40" x14ac:dyDescent="0.2">
      <c r="A40" s="3" t="s">
        <v>509</v>
      </c>
      <c r="B40" s="3" t="s">
        <v>510</v>
      </c>
      <c r="C40" s="3" t="s">
        <v>42</v>
      </c>
      <c r="D40" s="3" t="s">
        <v>42</v>
      </c>
      <c r="E40" s="3" t="s">
        <v>509</v>
      </c>
      <c r="F40" s="3" t="s">
        <v>511</v>
      </c>
      <c r="G40" s="3" t="s">
        <v>512</v>
      </c>
      <c r="H40" s="3" t="s">
        <v>42</v>
      </c>
      <c r="I40" s="3" t="s">
        <v>46</v>
      </c>
      <c r="J40" s="3" t="s">
        <v>47</v>
      </c>
      <c r="K40" s="3" t="s">
        <v>513</v>
      </c>
      <c r="L40" s="3" t="s">
        <v>111</v>
      </c>
      <c r="M40" s="9" t="str">
        <f>HYPERLINK("http://www.tanmiah.com", "www.tanmiah.com")</f>
        <v>www.tanmiah.com</v>
      </c>
      <c r="N40" s="3" t="s">
        <v>210</v>
      </c>
      <c r="O40" s="3" t="s">
        <v>42</v>
      </c>
      <c r="P40" s="3" t="s">
        <v>514</v>
      </c>
      <c r="Q40" s="3" t="s">
        <v>42</v>
      </c>
      <c r="R40" s="17" t="s">
        <v>42</v>
      </c>
      <c r="S40" s="17">
        <v>3</v>
      </c>
      <c r="T40" s="17">
        <v>1</v>
      </c>
      <c r="U40" s="17">
        <v>2</v>
      </c>
      <c r="V40" s="17" t="s">
        <v>42</v>
      </c>
      <c r="W40" s="5" t="s">
        <v>515</v>
      </c>
      <c r="X40" s="3" t="s">
        <v>516</v>
      </c>
      <c r="Y40" s="3" t="s">
        <v>42</v>
      </c>
      <c r="Z40" s="3" t="s">
        <v>55</v>
      </c>
      <c r="AA40" s="3" t="s">
        <v>517</v>
      </c>
      <c r="AB40" s="3" t="s">
        <v>518</v>
      </c>
      <c r="AC40" s="3" t="s">
        <v>58</v>
      </c>
      <c r="AD40" s="3" t="s">
        <v>42</v>
      </c>
      <c r="AE40" s="5" t="s">
        <v>519</v>
      </c>
      <c r="AF40" s="3" t="s">
        <v>60</v>
      </c>
      <c r="AG40" s="5" t="s">
        <v>520</v>
      </c>
      <c r="AH40" s="3" t="s">
        <v>61</v>
      </c>
      <c r="AI40" s="3" t="s">
        <v>61</v>
      </c>
      <c r="AJ40" s="3" t="s">
        <v>42</v>
      </c>
      <c r="AK40" s="3" t="s">
        <v>42</v>
      </c>
      <c r="AL40" s="29">
        <v>46055</v>
      </c>
      <c r="AM40" s="5" t="s">
        <v>42</v>
      </c>
      <c r="AN40" s="9" t="str">
        <f>HYPERLINK("https://my.pitchbook.com?p=410023-45P", "View People Online")</f>
        <v>View People Online</v>
      </c>
    </row>
    <row r="41" spans="1:40" x14ac:dyDescent="0.2">
      <c r="A41" s="2" t="s">
        <v>521</v>
      </c>
      <c r="B41" s="2" t="s">
        <v>522</v>
      </c>
      <c r="C41" s="2" t="s">
        <v>42</v>
      </c>
      <c r="D41" s="2" t="s">
        <v>42</v>
      </c>
      <c r="E41" s="2" t="s">
        <v>521</v>
      </c>
      <c r="F41" s="2" t="s">
        <v>523</v>
      </c>
      <c r="G41" s="2" t="s">
        <v>344</v>
      </c>
      <c r="H41" s="2" t="s">
        <v>42</v>
      </c>
      <c r="I41" s="2" t="s">
        <v>46</v>
      </c>
      <c r="J41" s="2" t="s">
        <v>47</v>
      </c>
      <c r="K41" s="2" t="s">
        <v>524</v>
      </c>
      <c r="L41" s="2" t="s">
        <v>111</v>
      </c>
      <c r="M41" s="8" t="str">
        <f>HYPERLINK("http://www.fipco.com.sa", "www.fipco.com.sa")</f>
        <v>www.fipco.com.sa</v>
      </c>
      <c r="N41" s="2" t="s">
        <v>246</v>
      </c>
      <c r="O41" s="2" t="s">
        <v>42</v>
      </c>
      <c r="P41" s="2" t="s">
        <v>525</v>
      </c>
      <c r="Q41" s="2" t="s">
        <v>42</v>
      </c>
      <c r="R41" s="16">
        <v>1</v>
      </c>
      <c r="S41" s="16">
        <v>2</v>
      </c>
      <c r="T41" s="16">
        <v>1</v>
      </c>
      <c r="U41" s="16">
        <v>1</v>
      </c>
      <c r="V41" s="16" t="s">
        <v>42</v>
      </c>
      <c r="W41" s="4" t="s">
        <v>526</v>
      </c>
      <c r="X41" s="2" t="s">
        <v>42</v>
      </c>
      <c r="Y41" s="2" t="s">
        <v>42</v>
      </c>
      <c r="Z41" s="2" t="s">
        <v>55</v>
      </c>
      <c r="AA41" s="2" t="s">
        <v>527</v>
      </c>
      <c r="AB41" s="2" t="s">
        <v>42</v>
      </c>
      <c r="AC41" s="2" t="s">
        <v>58</v>
      </c>
      <c r="AD41" s="2" t="s">
        <v>42</v>
      </c>
      <c r="AE41" s="4" t="s">
        <v>528</v>
      </c>
      <c r="AF41" s="2" t="s">
        <v>60</v>
      </c>
      <c r="AG41" s="4" t="s">
        <v>529</v>
      </c>
      <c r="AH41" s="2" t="s">
        <v>61</v>
      </c>
      <c r="AI41" s="2" t="s">
        <v>61</v>
      </c>
      <c r="AJ41" s="2" t="s">
        <v>42</v>
      </c>
      <c r="AK41" s="2" t="s">
        <v>42</v>
      </c>
      <c r="AL41" s="28">
        <v>46015</v>
      </c>
      <c r="AM41" s="4" t="s">
        <v>42</v>
      </c>
      <c r="AN41" s="8" t="str">
        <f>HYPERLINK("https://my.pitchbook.com?p=357699-43P", "View People Online")</f>
        <v>View People Online</v>
      </c>
    </row>
    <row r="42" spans="1:40" x14ac:dyDescent="0.2">
      <c r="A42" s="3" t="s">
        <v>530</v>
      </c>
      <c r="B42" s="3" t="s">
        <v>531</v>
      </c>
      <c r="C42" s="3" t="s">
        <v>42</v>
      </c>
      <c r="D42" s="3" t="s">
        <v>42</v>
      </c>
      <c r="E42" s="3" t="s">
        <v>530</v>
      </c>
      <c r="F42" s="3" t="s">
        <v>532</v>
      </c>
      <c r="G42" s="3" t="s">
        <v>65</v>
      </c>
      <c r="H42" s="3" t="s">
        <v>42</v>
      </c>
      <c r="I42" s="3" t="s">
        <v>46</v>
      </c>
      <c r="J42" s="3" t="s">
        <v>47</v>
      </c>
      <c r="K42" s="3" t="s">
        <v>533</v>
      </c>
      <c r="L42" s="3" t="s">
        <v>111</v>
      </c>
      <c r="M42" s="9" t="str">
        <f>HYPERLINK("http://www.spimaco.com.sa", "www.spimaco.com.sa")</f>
        <v>www.spimaco.com.sa</v>
      </c>
      <c r="N42" s="3" t="s">
        <v>534</v>
      </c>
      <c r="O42" s="3" t="s">
        <v>42</v>
      </c>
      <c r="P42" s="3" t="s">
        <v>535</v>
      </c>
      <c r="Q42" s="3" t="s">
        <v>42</v>
      </c>
      <c r="R42" s="17" t="s">
        <v>42</v>
      </c>
      <c r="S42" s="17">
        <v>2</v>
      </c>
      <c r="T42" s="17">
        <v>1</v>
      </c>
      <c r="U42" s="17">
        <v>1</v>
      </c>
      <c r="V42" s="17" t="s">
        <v>42</v>
      </c>
      <c r="W42" s="5" t="s">
        <v>536</v>
      </c>
      <c r="X42" s="3" t="s">
        <v>537</v>
      </c>
      <c r="Y42" s="9" t="str">
        <f>HYPERLINK("http://linkedin.com/in/abdulaziz-al-oud-31686648/", "http://linkedin.com/in/abdulaziz-al-oud-31686648/")</f>
        <v>http://linkedin.com/in/abdulaziz-al-oud-31686648/</v>
      </c>
      <c r="Z42" s="3" t="s">
        <v>55</v>
      </c>
      <c r="AA42" s="3" t="s">
        <v>538</v>
      </c>
      <c r="AB42" s="3" t="s">
        <v>42</v>
      </c>
      <c r="AC42" s="3" t="s">
        <v>58</v>
      </c>
      <c r="AD42" s="3" t="s">
        <v>42</v>
      </c>
      <c r="AE42" s="5" t="s">
        <v>539</v>
      </c>
      <c r="AF42" s="3" t="s">
        <v>60</v>
      </c>
      <c r="AG42" s="5" t="s">
        <v>540</v>
      </c>
      <c r="AH42" s="3" t="s">
        <v>61</v>
      </c>
      <c r="AI42" s="3" t="s">
        <v>61</v>
      </c>
      <c r="AJ42" s="3" t="s">
        <v>42</v>
      </c>
      <c r="AK42" s="3" t="s">
        <v>42</v>
      </c>
      <c r="AL42" s="29">
        <v>45846</v>
      </c>
      <c r="AM42" s="5" t="s">
        <v>42</v>
      </c>
      <c r="AN42" s="9" t="str">
        <f>HYPERLINK("https://my.pitchbook.com?p=372422-98P", "View People Online")</f>
        <v>View People Online</v>
      </c>
    </row>
    <row r="43" spans="1:40" x14ac:dyDescent="0.2">
      <c r="A43" s="2" t="s">
        <v>541</v>
      </c>
      <c r="B43" s="2" t="s">
        <v>542</v>
      </c>
      <c r="C43" s="2" t="s">
        <v>42</v>
      </c>
      <c r="D43" s="2" t="s">
        <v>42</v>
      </c>
      <c r="E43" s="2" t="s">
        <v>541</v>
      </c>
      <c r="F43" s="2" t="s">
        <v>445</v>
      </c>
      <c r="G43" s="2" t="s">
        <v>65</v>
      </c>
      <c r="H43" s="2" t="s">
        <v>543</v>
      </c>
      <c r="I43" s="2" t="s">
        <v>46</v>
      </c>
      <c r="J43" s="2" t="s">
        <v>47</v>
      </c>
      <c r="K43" s="2" t="s">
        <v>446</v>
      </c>
      <c r="L43" s="2" t="s">
        <v>111</v>
      </c>
      <c r="M43" s="8" t="str">
        <f>HYPERLINK("http://www.alhammadi.com", "www.alhammadi.com")</f>
        <v>www.alhammadi.com</v>
      </c>
      <c r="N43" s="2" t="s">
        <v>370</v>
      </c>
      <c r="O43" s="2" t="s">
        <v>42</v>
      </c>
      <c r="P43" s="2" t="s">
        <v>544</v>
      </c>
      <c r="Q43" s="2" t="s">
        <v>42</v>
      </c>
      <c r="R43" s="16">
        <v>1</v>
      </c>
      <c r="S43" s="16">
        <v>2</v>
      </c>
      <c r="T43" s="16">
        <v>1</v>
      </c>
      <c r="U43" s="16" t="s">
        <v>42</v>
      </c>
      <c r="V43" s="16" t="s">
        <v>42</v>
      </c>
      <c r="W43" s="4" t="s">
        <v>449</v>
      </c>
      <c r="X43" s="2" t="s">
        <v>545</v>
      </c>
      <c r="Y43" s="2" t="s">
        <v>42</v>
      </c>
      <c r="Z43" s="2" t="s">
        <v>55</v>
      </c>
      <c r="AA43" s="2" t="s">
        <v>451</v>
      </c>
      <c r="AB43" s="2" t="s">
        <v>452</v>
      </c>
      <c r="AC43" s="2" t="s">
        <v>58</v>
      </c>
      <c r="AD43" s="2" t="s">
        <v>453</v>
      </c>
      <c r="AE43" s="4" t="s">
        <v>454</v>
      </c>
      <c r="AF43" s="2" t="s">
        <v>60</v>
      </c>
      <c r="AG43" s="4" t="s">
        <v>455</v>
      </c>
      <c r="AH43" s="2" t="s">
        <v>61</v>
      </c>
      <c r="AI43" s="2" t="s">
        <v>61</v>
      </c>
      <c r="AJ43" s="2" t="s">
        <v>42</v>
      </c>
      <c r="AK43" s="2" t="s">
        <v>42</v>
      </c>
      <c r="AL43" s="28">
        <v>45940</v>
      </c>
      <c r="AM43" s="4" t="s">
        <v>42</v>
      </c>
      <c r="AN43" s="8" t="str">
        <f>HYPERLINK("https://my.pitchbook.com?p=384888-97P", "View People Online")</f>
        <v>View People Online</v>
      </c>
    </row>
    <row r="44" spans="1:40" x14ac:dyDescent="0.2">
      <c r="A44" s="3" t="s">
        <v>546</v>
      </c>
      <c r="B44" s="3" t="s">
        <v>547</v>
      </c>
      <c r="C44" s="3" t="s">
        <v>42</v>
      </c>
      <c r="D44" s="3" t="s">
        <v>42</v>
      </c>
      <c r="E44" s="3" t="s">
        <v>546</v>
      </c>
      <c r="F44" s="3" t="s">
        <v>548</v>
      </c>
      <c r="G44" s="3" t="s">
        <v>66</v>
      </c>
      <c r="H44" s="3" t="s">
        <v>549</v>
      </c>
      <c r="I44" s="3" t="s">
        <v>46</v>
      </c>
      <c r="J44" s="3" t="s">
        <v>47</v>
      </c>
      <c r="K44" s="3" t="s">
        <v>550</v>
      </c>
      <c r="L44" s="3" t="s">
        <v>111</v>
      </c>
      <c r="M44" s="9" t="str">
        <f>HYPERLINK("http://www.almarai.com", "www.almarai.com")</f>
        <v>www.almarai.com</v>
      </c>
      <c r="N44" s="3" t="s">
        <v>210</v>
      </c>
      <c r="O44" s="3" t="s">
        <v>42</v>
      </c>
      <c r="P44" s="3" t="s">
        <v>551</v>
      </c>
      <c r="Q44" s="3" t="s">
        <v>552</v>
      </c>
      <c r="R44" s="17" t="s">
        <v>42</v>
      </c>
      <c r="S44" s="17">
        <v>2</v>
      </c>
      <c r="T44" s="17">
        <v>1</v>
      </c>
      <c r="U44" s="17">
        <v>1</v>
      </c>
      <c r="V44" s="17" t="s">
        <v>42</v>
      </c>
      <c r="W44" s="5" t="s">
        <v>553</v>
      </c>
      <c r="X44" s="3" t="s">
        <v>554</v>
      </c>
      <c r="Y44" s="3" t="s">
        <v>42</v>
      </c>
      <c r="Z44" s="3" t="s">
        <v>55</v>
      </c>
      <c r="AA44" s="3" t="s">
        <v>555</v>
      </c>
      <c r="AB44" s="3" t="s">
        <v>42</v>
      </c>
      <c r="AC44" s="3" t="s">
        <v>58</v>
      </c>
      <c r="AD44" s="3" t="s">
        <v>42</v>
      </c>
      <c r="AE44" s="5" t="s">
        <v>556</v>
      </c>
      <c r="AF44" s="3" t="s">
        <v>60</v>
      </c>
      <c r="AG44" s="5" t="s">
        <v>42</v>
      </c>
      <c r="AH44" s="3" t="s">
        <v>61</v>
      </c>
      <c r="AI44" s="3" t="s">
        <v>61</v>
      </c>
      <c r="AJ44" s="3" t="s">
        <v>42</v>
      </c>
      <c r="AK44" s="3" t="s">
        <v>42</v>
      </c>
      <c r="AL44" s="29">
        <v>45888</v>
      </c>
      <c r="AM44" s="5" t="s">
        <v>42</v>
      </c>
      <c r="AN44" s="9" t="str">
        <f>HYPERLINK("https://my.pitchbook.com?p=256364-56P", "View People Online")</f>
        <v>View People Online</v>
      </c>
    </row>
    <row r="45" spans="1:40" x14ac:dyDescent="0.2">
      <c r="A45" s="2" t="s">
        <v>557</v>
      </c>
      <c r="B45" s="2" t="s">
        <v>558</v>
      </c>
      <c r="C45" s="2" t="s">
        <v>42</v>
      </c>
      <c r="D45" s="2" t="s">
        <v>42</v>
      </c>
      <c r="E45" s="2" t="s">
        <v>557</v>
      </c>
      <c r="F45" s="2" t="s">
        <v>559</v>
      </c>
      <c r="G45" s="2" t="s">
        <v>66</v>
      </c>
      <c r="H45" s="2" t="s">
        <v>42</v>
      </c>
      <c r="I45" s="2" t="s">
        <v>46</v>
      </c>
      <c r="J45" s="2" t="s">
        <v>47</v>
      </c>
      <c r="K45" s="2" t="s">
        <v>560</v>
      </c>
      <c r="L45" s="2" t="s">
        <v>111</v>
      </c>
      <c r="M45" s="8" t="str">
        <f>HYPERLINK("http://www.saic.com.sa", "www.saic.com.sa")</f>
        <v>www.saic.com.sa</v>
      </c>
      <c r="N45" s="2" t="s">
        <v>69</v>
      </c>
      <c r="O45" s="2" t="s">
        <v>42</v>
      </c>
      <c r="P45" s="2" t="s">
        <v>561</v>
      </c>
      <c r="Q45" s="2" t="s">
        <v>128</v>
      </c>
      <c r="R45" s="16">
        <v>1</v>
      </c>
      <c r="S45" s="16">
        <v>2</v>
      </c>
      <c r="T45" s="16" t="s">
        <v>42</v>
      </c>
      <c r="U45" s="16">
        <v>1</v>
      </c>
      <c r="V45" s="16" t="s">
        <v>42</v>
      </c>
      <c r="W45" s="4" t="s">
        <v>42</v>
      </c>
      <c r="X45" s="2" t="s">
        <v>42</v>
      </c>
      <c r="Y45" s="2" t="s">
        <v>42</v>
      </c>
      <c r="Z45" s="2" t="s">
        <v>55</v>
      </c>
      <c r="AA45" s="2" t="s">
        <v>562</v>
      </c>
      <c r="AB45" s="2" t="s">
        <v>563</v>
      </c>
      <c r="AC45" s="2" t="s">
        <v>58</v>
      </c>
      <c r="AD45" s="2" t="s">
        <v>42</v>
      </c>
      <c r="AE45" s="4" t="s">
        <v>564</v>
      </c>
      <c r="AF45" s="2" t="s">
        <v>60</v>
      </c>
      <c r="AG45" s="4" t="s">
        <v>42</v>
      </c>
      <c r="AH45" s="2" t="s">
        <v>61</v>
      </c>
      <c r="AI45" s="2" t="s">
        <v>61</v>
      </c>
      <c r="AJ45" s="2" t="s">
        <v>42</v>
      </c>
      <c r="AK45" s="2" t="s">
        <v>42</v>
      </c>
      <c r="AL45" s="28">
        <v>45959</v>
      </c>
      <c r="AM45" s="4" t="s">
        <v>42</v>
      </c>
      <c r="AN45" s="8" t="str">
        <f>HYPERLINK("https://my.pitchbook.com?p=341619-22P", "View People Online")</f>
        <v>View People Online</v>
      </c>
    </row>
    <row r="46" spans="1:40" x14ac:dyDescent="0.2">
      <c r="A46" s="3" t="s">
        <v>565</v>
      </c>
      <c r="B46" s="3" t="s">
        <v>566</v>
      </c>
      <c r="C46" s="3" t="s">
        <v>42</v>
      </c>
      <c r="D46" s="3" t="s">
        <v>42</v>
      </c>
      <c r="E46" s="3" t="s">
        <v>565</v>
      </c>
      <c r="F46" s="3" t="s">
        <v>567</v>
      </c>
      <c r="G46" s="3" t="s">
        <v>66</v>
      </c>
      <c r="H46" s="3" t="s">
        <v>568</v>
      </c>
      <c r="I46" s="3" t="s">
        <v>46</v>
      </c>
      <c r="J46" s="3" t="s">
        <v>47</v>
      </c>
      <c r="K46" s="3" t="s">
        <v>569</v>
      </c>
      <c r="L46" s="3" t="s">
        <v>111</v>
      </c>
      <c r="M46" s="9" t="str">
        <f>HYPERLINK("http://www.alinma.com", "www.alinma.com")</f>
        <v>www.alinma.com</v>
      </c>
      <c r="N46" s="3" t="s">
        <v>570</v>
      </c>
      <c r="O46" s="3" t="s">
        <v>42</v>
      </c>
      <c r="P46" s="3" t="s">
        <v>571</v>
      </c>
      <c r="Q46" s="3" t="s">
        <v>572</v>
      </c>
      <c r="R46" s="17" t="s">
        <v>42</v>
      </c>
      <c r="S46" s="17">
        <v>2</v>
      </c>
      <c r="T46" s="17">
        <v>1</v>
      </c>
      <c r="U46" s="17">
        <v>1</v>
      </c>
      <c r="V46" s="17" t="s">
        <v>42</v>
      </c>
      <c r="W46" s="5" t="s">
        <v>573</v>
      </c>
      <c r="X46" s="3" t="s">
        <v>42</v>
      </c>
      <c r="Y46" s="9" t="str">
        <f>HYPERLINK("http://linkedin.com/in/abdullah-alkhalifa-72434326/", "http://linkedin.com/in/abdullah-alkhalifa-72434326/")</f>
        <v>http://linkedin.com/in/abdullah-alkhalifa-72434326/</v>
      </c>
      <c r="Z46" s="3" t="s">
        <v>55</v>
      </c>
      <c r="AA46" s="3" t="s">
        <v>574</v>
      </c>
      <c r="AB46" s="3" t="s">
        <v>575</v>
      </c>
      <c r="AC46" s="3" t="s">
        <v>58</v>
      </c>
      <c r="AD46" s="3" t="s">
        <v>42</v>
      </c>
      <c r="AE46" s="5" t="s">
        <v>576</v>
      </c>
      <c r="AF46" s="3" t="s">
        <v>60</v>
      </c>
      <c r="AG46" s="5" t="s">
        <v>577</v>
      </c>
      <c r="AH46" s="3" t="s">
        <v>61</v>
      </c>
      <c r="AI46" s="3" t="s">
        <v>61</v>
      </c>
      <c r="AJ46" s="3" t="s">
        <v>42</v>
      </c>
      <c r="AK46" s="3" t="s">
        <v>42</v>
      </c>
      <c r="AL46" s="29">
        <v>45876</v>
      </c>
      <c r="AM46" s="5">
        <v>1963</v>
      </c>
      <c r="AN46" s="9" t="str">
        <f>HYPERLINK("https://my.pitchbook.com?p=247182-49P", "View People Online")</f>
        <v>View People Online</v>
      </c>
    </row>
    <row r="47" spans="1:40" x14ac:dyDescent="0.2">
      <c r="A47" s="2" t="s">
        <v>578</v>
      </c>
      <c r="B47" s="2" t="s">
        <v>579</v>
      </c>
      <c r="C47" s="2" t="s">
        <v>42</v>
      </c>
      <c r="D47" s="2" t="s">
        <v>42</v>
      </c>
      <c r="E47" s="2" t="s">
        <v>578</v>
      </c>
      <c r="F47" s="2" t="s">
        <v>580</v>
      </c>
      <c r="G47" s="2" t="s">
        <v>66</v>
      </c>
      <c r="H47" s="2" t="s">
        <v>356</v>
      </c>
      <c r="I47" s="2" t="s">
        <v>46</v>
      </c>
      <c r="J47" s="2" t="s">
        <v>47</v>
      </c>
      <c r="K47" s="2" t="s">
        <v>581</v>
      </c>
      <c r="L47" s="2" t="s">
        <v>481</v>
      </c>
      <c r="M47" s="8" t="str">
        <f>HYPERLINK("http://www.riyadbank.com", "www.riyadbank.com")</f>
        <v>www.riyadbank.com</v>
      </c>
      <c r="N47" s="2" t="s">
        <v>534</v>
      </c>
      <c r="O47" s="2" t="s">
        <v>42</v>
      </c>
      <c r="P47" s="2" t="s">
        <v>582</v>
      </c>
      <c r="Q47" s="2" t="s">
        <v>583</v>
      </c>
      <c r="R47" s="16">
        <v>1</v>
      </c>
      <c r="S47" s="16">
        <v>2</v>
      </c>
      <c r="T47" s="16">
        <v>1</v>
      </c>
      <c r="U47" s="16" t="s">
        <v>42</v>
      </c>
      <c r="V47" s="16" t="s">
        <v>42</v>
      </c>
      <c r="W47" s="4" t="s">
        <v>584</v>
      </c>
      <c r="X47" s="2" t="s">
        <v>585</v>
      </c>
      <c r="Y47" s="8" t="str">
        <f>HYPERLINK("http://linkedin.com/in/abdullah-aloraini-20515713/?originalsubdomain=sa", "http://linkedin.com/in/abdullah-aloraini-20515713/?originalsubdomain=sa")</f>
        <v>http://linkedin.com/in/abdullah-aloraini-20515713/?originalsubdomain=sa</v>
      </c>
      <c r="Z47" s="2" t="s">
        <v>55</v>
      </c>
      <c r="AA47" s="2" t="s">
        <v>586</v>
      </c>
      <c r="AB47" s="2" t="s">
        <v>42</v>
      </c>
      <c r="AC47" s="2" t="s">
        <v>58</v>
      </c>
      <c r="AD47" s="2" t="s">
        <v>42</v>
      </c>
      <c r="AE47" s="4" t="s">
        <v>279</v>
      </c>
      <c r="AF47" s="2" t="s">
        <v>60</v>
      </c>
      <c r="AG47" s="4" t="s">
        <v>42</v>
      </c>
      <c r="AH47" s="2" t="s">
        <v>61</v>
      </c>
      <c r="AI47" s="2" t="s">
        <v>61</v>
      </c>
      <c r="AJ47" s="2" t="s">
        <v>42</v>
      </c>
      <c r="AK47" s="2" t="s">
        <v>42</v>
      </c>
      <c r="AL47" s="28">
        <v>46034</v>
      </c>
      <c r="AM47" s="4" t="s">
        <v>42</v>
      </c>
      <c r="AN47" s="8" t="str">
        <f>HYPERLINK("https://my.pitchbook.com?p=206251-75P", "View People Online")</f>
        <v>View People Online</v>
      </c>
    </row>
    <row r="48" spans="1:40" x14ac:dyDescent="0.2">
      <c r="A48" s="3" t="s">
        <v>587</v>
      </c>
      <c r="B48" s="3" t="s">
        <v>588</v>
      </c>
      <c r="C48" s="3" t="s">
        <v>42</v>
      </c>
      <c r="D48" s="3" t="s">
        <v>42</v>
      </c>
      <c r="E48" s="3" t="s">
        <v>587</v>
      </c>
      <c r="F48" s="3" t="s">
        <v>589</v>
      </c>
      <c r="G48" s="3" t="s">
        <v>66</v>
      </c>
      <c r="H48" s="3" t="s">
        <v>590</v>
      </c>
      <c r="I48" s="3" t="s">
        <v>46</v>
      </c>
      <c r="J48" s="3" t="s">
        <v>47</v>
      </c>
      <c r="K48" s="3" t="s">
        <v>591</v>
      </c>
      <c r="L48" s="3" t="s">
        <v>111</v>
      </c>
      <c r="M48" s="9" t="str">
        <f>HYPERLINK("http://www.sipchem.com", "www.sipchem.com")</f>
        <v>www.sipchem.com</v>
      </c>
      <c r="N48" s="3" t="s">
        <v>210</v>
      </c>
      <c r="O48" s="3" t="s">
        <v>42</v>
      </c>
      <c r="P48" s="3" t="s">
        <v>592</v>
      </c>
      <c r="Q48" s="3" t="s">
        <v>42</v>
      </c>
      <c r="R48" s="17" t="s">
        <v>42</v>
      </c>
      <c r="S48" s="17">
        <v>2</v>
      </c>
      <c r="T48" s="17">
        <v>1</v>
      </c>
      <c r="U48" s="17">
        <v>1</v>
      </c>
      <c r="V48" s="17" t="s">
        <v>42</v>
      </c>
      <c r="W48" s="5" t="s">
        <v>593</v>
      </c>
      <c r="X48" s="3" t="s">
        <v>594</v>
      </c>
      <c r="Y48" s="9" t="str">
        <f>HYPERLINK("http://linkedin.com/in/abdullah-s-alsaadoon-53803826", "http://linkedin.com/in/abdullah-s-alsaadoon-53803826")</f>
        <v>http://linkedin.com/in/abdullah-s-alsaadoon-53803826</v>
      </c>
      <c r="Z48" s="3" t="s">
        <v>595</v>
      </c>
      <c r="AA48" s="3" t="s">
        <v>596</v>
      </c>
      <c r="AB48" s="3" t="s">
        <v>597</v>
      </c>
      <c r="AC48" s="3" t="s">
        <v>598</v>
      </c>
      <c r="AD48" s="3" t="s">
        <v>42</v>
      </c>
      <c r="AE48" s="5" t="s">
        <v>599</v>
      </c>
      <c r="AF48" s="3" t="s">
        <v>60</v>
      </c>
      <c r="AG48" s="5" t="s">
        <v>42</v>
      </c>
      <c r="AH48" s="3" t="s">
        <v>61</v>
      </c>
      <c r="AI48" s="3" t="s">
        <v>61</v>
      </c>
      <c r="AJ48" s="3" t="s">
        <v>42</v>
      </c>
      <c r="AK48" s="3" t="s">
        <v>42</v>
      </c>
      <c r="AL48" s="29">
        <v>45743</v>
      </c>
      <c r="AM48" s="5" t="s">
        <v>42</v>
      </c>
      <c r="AN48" s="9" t="str">
        <f>HYPERLINK("https://my.pitchbook.com?p=162550-63P", "View People Online")</f>
        <v>View People Online</v>
      </c>
    </row>
    <row r="49" spans="1:40" x14ac:dyDescent="0.2">
      <c r="A49" s="2" t="s">
        <v>600</v>
      </c>
      <c r="B49" s="2" t="s">
        <v>601</v>
      </c>
      <c r="C49" s="2" t="s">
        <v>42</v>
      </c>
      <c r="D49" s="2" t="s">
        <v>42</v>
      </c>
      <c r="E49" s="2" t="s">
        <v>600</v>
      </c>
      <c r="F49" s="2" t="s">
        <v>602</v>
      </c>
      <c r="G49" s="2" t="s">
        <v>66</v>
      </c>
      <c r="H49" s="2" t="s">
        <v>543</v>
      </c>
      <c r="I49" s="2" t="s">
        <v>46</v>
      </c>
      <c r="J49" s="2" t="s">
        <v>47</v>
      </c>
      <c r="K49" s="2" t="s">
        <v>603</v>
      </c>
      <c r="L49" s="2" t="s">
        <v>604</v>
      </c>
      <c r="M49" s="8" t="str">
        <f>HYPERLINK("http://www.smasco.com", "www.smasco.com")</f>
        <v>www.smasco.com</v>
      </c>
      <c r="N49" s="2" t="s">
        <v>210</v>
      </c>
      <c r="O49" s="2" t="s">
        <v>42</v>
      </c>
      <c r="P49" s="2" t="s">
        <v>605</v>
      </c>
      <c r="Q49" s="2" t="s">
        <v>42</v>
      </c>
      <c r="R49" s="16" t="s">
        <v>42</v>
      </c>
      <c r="S49" s="16">
        <v>2</v>
      </c>
      <c r="T49" s="16">
        <v>1</v>
      </c>
      <c r="U49" s="16">
        <v>1</v>
      </c>
      <c r="V49" s="16" t="s">
        <v>42</v>
      </c>
      <c r="W49" s="4" t="s">
        <v>606</v>
      </c>
      <c r="X49" s="2" t="s">
        <v>42</v>
      </c>
      <c r="Y49" s="2" t="s">
        <v>42</v>
      </c>
      <c r="Z49" s="2" t="s">
        <v>55</v>
      </c>
      <c r="AA49" s="2" t="s">
        <v>607</v>
      </c>
      <c r="AB49" s="2" t="s">
        <v>608</v>
      </c>
      <c r="AC49" s="2" t="s">
        <v>58</v>
      </c>
      <c r="AD49" s="2" t="s">
        <v>42</v>
      </c>
      <c r="AE49" s="4" t="s">
        <v>75</v>
      </c>
      <c r="AF49" s="2" t="s">
        <v>60</v>
      </c>
      <c r="AG49" s="4" t="s">
        <v>609</v>
      </c>
      <c r="AH49" s="2" t="s">
        <v>61</v>
      </c>
      <c r="AI49" s="2" t="s">
        <v>61</v>
      </c>
      <c r="AJ49" s="2" t="s">
        <v>42</v>
      </c>
      <c r="AK49" s="2" t="s">
        <v>42</v>
      </c>
      <c r="AL49" s="28">
        <v>45921</v>
      </c>
      <c r="AM49" s="4" t="s">
        <v>42</v>
      </c>
      <c r="AN49" s="8" t="str">
        <f>HYPERLINK("https://my.pitchbook.com?p=401227-21P", "View People Online")</f>
        <v>View People Online</v>
      </c>
    </row>
    <row r="50" spans="1:40" x14ac:dyDescent="0.2">
      <c r="A50" s="3" t="s">
        <v>610</v>
      </c>
      <c r="B50" s="3" t="s">
        <v>611</v>
      </c>
      <c r="C50" s="3" t="s">
        <v>42</v>
      </c>
      <c r="D50" s="3" t="s">
        <v>42</v>
      </c>
      <c r="E50" s="3" t="s">
        <v>610</v>
      </c>
      <c r="F50" s="3" t="s">
        <v>612</v>
      </c>
      <c r="G50" s="3" t="s">
        <v>391</v>
      </c>
      <c r="H50" s="3" t="s">
        <v>42</v>
      </c>
      <c r="I50" s="3" t="s">
        <v>46</v>
      </c>
      <c r="J50" s="3" t="s">
        <v>47</v>
      </c>
      <c r="K50" s="3" t="s">
        <v>613</v>
      </c>
      <c r="L50" s="3" t="s">
        <v>111</v>
      </c>
      <c r="M50" s="9" t="str">
        <f>HYPERLINK("http://www.sa.zain.com", "www.sa.zain.com")</f>
        <v>www.sa.zain.com</v>
      </c>
      <c r="N50" s="3" t="s">
        <v>210</v>
      </c>
      <c r="O50" s="3" t="s">
        <v>42</v>
      </c>
      <c r="P50" s="3" t="s">
        <v>614</v>
      </c>
      <c r="Q50" s="3" t="s">
        <v>42</v>
      </c>
      <c r="R50" s="17" t="s">
        <v>42</v>
      </c>
      <c r="S50" s="17">
        <v>2</v>
      </c>
      <c r="T50" s="17">
        <v>1</v>
      </c>
      <c r="U50" s="17">
        <v>1</v>
      </c>
      <c r="V50" s="17" t="s">
        <v>42</v>
      </c>
      <c r="W50" s="5" t="s">
        <v>615</v>
      </c>
      <c r="X50" s="3" t="s">
        <v>42</v>
      </c>
      <c r="Y50" s="3" t="s">
        <v>42</v>
      </c>
      <c r="Z50" s="3" t="s">
        <v>55</v>
      </c>
      <c r="AA50" s="3" t="s">
        <v>616</v>
      </c>
      <c r="AB50" s="3" t="s">
        <v>617</v>
      </c>
      <c r="AC50" s="3" t="s">
        <v>58</v>
      </c>
      <c r="AD50" s="3" t="s">
        <v>42</v>
      </c>
      <c r="AE50" s="5" t="s">
        <v>618</v>
      </c>
      <c r="AF50" s="3" t="s">
        <v>60</v>
      </c>
      <c r="AG50" s="5" t="s">
        <v>42</v>
      </c>
      <c r="AH50" s="3" t="s">
        <v>61</v>
      </c>
      <c r="AI50" s="3" t="s">
        <v>61</v>
      </c>
      <c r="AJ50" s="3" t="s">
        <v>42</v>
      </c>
      <c r="AK50" s="3" t="s">
        <v>42</v>
      </c>
      <c r="AL50" s="29">
        <v>45918</v>
      </c>
      <c r="AM50" s="5" t="s">
        <v>42</v>
      </c>
      <c r="AN50" s="9" t="str">
        <f>HYPERLINK("https://my.pitchbook.com?p=465469-84P", "View People Online")</f>
        <v>View People Online</v>
      </c>
    </row>
    <row r="51" spans="1:40" x14ac:dyDescent="0.2">
      <c r="A51" s="2" t="s">
        <v>619</v>
      </c>
      <c r="B51" s="2" t="s">
        <v>620</v>
      </c>
      <c r="C51" s="2" t="s">
        <v>42</v>
      </c>
      <c r="D51" s="2" t="s">
        <v>42</v>
      </c>
      <c r="E51" s="2" t="s">
        <v>619</v>
      </c>
      <c r="F51" s="2" t="s">
        <v>621</v>
      </c>
      <c r="G51" s="2" t="s">
        <v>391</v>
      </c>
      <c r="H51" s="2" t="s">
        <v>622</v>
      </c>
      <c r="I51" s="2" t="s">
        <v>46</v>
      </c>
      <c r="J51" s="2" t="s">
        <v>47</v>
      </c>
      <c r="K51" s="2" t="s">
        <v>623</v>
      </c>
      <c r="L51" s="2" t="s">
        <v>111</v>
      </c>
      <c r="M51" s="8" t="str">
        <f>HYPERLINK("http://www.sabic-agrinutrients.com", "www.sabic-agrinutrients.com")</f>
        <v>www.sabic-agrinutrients.com</v>
      </c>
      <c r="N51" s="2" t="s">
        <v>210</v>
      </c>
      <c r="O51" s="2" t="s">
        <v>42</v>
      </c>
      <c r="P51" s="2" t="s">
        <v>624</v>
      </c>
      <c r="Q51" s="2" t="s">
        <v>42</v>
      </c>
      <c r="R51" s="16" t="s">
        <v>42</v>
      </c>
      <c r="S51" s="16">
        <v>2</v>
      </c>
      <c r="T51" s="16">
        <v>1</v>
      </c>
      <c r="U51" s="16">
        <v>1</v>
      </c>
      <c r="V51" s="16" t="s">
        <v>42</v>
      </c>
      <c r="W51" s="4" t="s">
        <v>395</v>
      </c>
      <c r="X51" s="2" t="s">
        <v>625</v>
      </c>
      <c r="Y51" s="2" t="s">
        <v>42</v>
      </c>
      <c r="Z51" s="2" t="s">
        <v>396</v>
      </c>
      <c r="AA51" s="2" t="s">
        <v>397</v>
      </c>
      <c r="AB51" s="2" t="s">
        <v>42</v>
      </c>
      <c r="AC51" s="2" t="s">
        <v>398</v>
      </c>
      <c r="AD51" s="2" t="s">
        <v>42</v>
      </c>
      <c r="AE51" s="4" t="s">
        <v>399</v>
      </c>
      <c r="AF51" s="2" t="s">
        <v>60</v>
      </c>
      <c r="AG51" s="4" t="s">
        <v>400</v>
      </c>
      <c r="AH51" s="2" t="s">
        <v>61</v>
      </c>
      <c r="AI51" s="2" t="s">
        <v>61</v>
      </c>
      <c r="AJ51" s="2" t="s">
        <v>42</v>
      </c>
      <c r="AK51" s="2" t="s">
        <v>42</v>
      </c>
      <c r="AL51" s="28">
        <v>45646</v>
      </c>
      <c r="AM51" s="4" t="s">
        <v>42</v>
      </c>
      <c r="AN51" s="8" t="str">
        <f>HYPERLINK("https://my.pitchbook.com?p=291174-31P", "View People Online")</f>
        <v>View People Online</v>
      </c>
    </row>
    <row r="52" spans="1:40" x14ac:dyDescent="0.2">
      <c r="A52" s="3" t="s">
        <v>626</v>
      </c>
      <c r="B52" s="3" t="s">
        <v>627</v>
      </c>
      <c r="C52" s="3" t="s">
        <v>42</v>
      </c>
      <c r="D52" s="3" t="s">
        <v>42</v>
      </c>
      <c r="E52" s="3" t="s">
        <v>626</v>
      </c>
      <c r="F52" s="3" t="s">
        <v>628</v>
      </c>
      <c r="G52" s="3" t="s">
        <v>629</v>
      </c>
      <c r="H52" s="3" t="s">
        <v>42</v>
      </c>
      <c r="I52" s="3" t="s">
        <v>196</v>
      </c>
      <c r="J52" s="3" t="s">
        <v>47</v>
      </c>
      <c r="K52" s="3" t="s">
        <v>630</v>
      </c>
      <c r="L52" s="3" t="s">
        <v>111</v>
      </c>
      <c r="M52" s="9" t="str">
        <f>HYPERLINK("http://www.bindawoodholding.com", "www.bindawoodholding.com")</f>
        <v>www.bindawoodholding.com</v>
      </c>
      <c r="N52" s="3" t="s">
        <v>69</v>
      </c>
      <c r="O52" s="3" t="s">
        <v>42</v>
      </c>
      <c r="P52" s="3" t="s">
        <v>631</v>
      </c>
      <c r="Q52" s="3" t="s">
        <v>42</v>
      </c>
      <c r="R52" s="17">
        <v>1</v>
      </c>
      <c r="S52" s="17">
        <v>2</v>
      </c>
      <c r="T52" s="17" t="s">
        <v>42</v>
      </c>
      <c r="U52" s="17">
        <v>1</v>
      </c>
      <c r="V52" s="17" t="s">
        <v>42</v>
      </c>
      <c r="W52" s="5" t="s">
        <v>632</v>
      </c>
      <c r="X52" s="3" t="s">
        <v>633</v>
      </c>
      <c r="Y52" s="9" t="str">
        <f>HYPERLINK("http://linkedin.com/in/drabdulrazzaqbindawood/", "http://linkedin.com/in/drabdulrazzaqbindawood/")</f>
        <v>http://linkedin.com/in/drabdulrazzaqbindawood/</v>
      </c>
      <c r="Z52" s="3" t="s">
        <v>174</v>
      </c>
      <c r="AA52" s="3" t="s">
        <v>634</v>
      </c>
      <c r="AB52" s="3" t="s">
        <v>635</v>
      </c>
      <c r="AC52" s="3" t="s">
        <v>176</v>
      </c>
      <c r="AD52" s="3" t="s">
        <v>42</v>
      </c>
      <c r="AE52" s="5" t="s">
        <v>636</v>
      </c>
      <c r="AF52" s="3" t="s">
        <v>60</v>
      </c>
      <c r="AG52" s="5" t="s">
        <v>42</v>
      </c>
      <c r="AH52" s="3" t="s">
        <v>61</v>
      </c>
      <c r="AI52" s="3" t="s">
        <v>61</v>
      </c>
      <c r="AJ52" s="3" t="s">
        <v>42</v>
      </c>
      <c r="AK52" s="3" t="s">
        <v>42</v>
      </c>
      <c r="AL52" s="29">
        <v>45788</v>
      </c>
      <c r="AM52" s="5" t="s">
        <v>42</v>
      </c>
      <c r="AN52" s="9" t="str">
        <f>HYPERLINK("https://my.pitchbook.com?p=126250-66P", "View People Online")</f>
        <v>View People Online</v>
      </c>
    </row>
    <row r="53" spans="1:40" x14ac:dyDescent="0.2">
      <c r="A53" s="2" t="s">
        <v>637</v>
      </c>
      <c r="B53" s="2" t="s">
        <v>638</v>
      </c>
      <c r="C53" s="2" t="s">
        <v>42</v>
      </c>
      <c r="D53" s="2" t="s">
        <v>42</v>
      </c>
      <c r="E53" s="2" t="s">
        <v>637</v>
      </c>
      <c r="F53" s="2" t="s">
        <v>639</v>
      </c>
      <c r="G53" s="2" t="s">
        <v>640</v>
      </c>
      <c r="H53" s="2" t="s">
        <v>223</v>
      </c>
      <c r="I53" s="2" t="s">
        <v>46</v>
      </c>
      <c r="J53" s="2" t="s">
        <v>47</v>
      </c>
      <c r="K53" s="2" t="s">
        <v>641</v>
      </c>
      <c r="L53" s="2" t="s">
        <v>111</v>
      </c>
      <c r="M53" s="8" t="str">
        <f>HYPERLINK("http://www.anb.com.sa", "www.anb.com.sa")</f>
        <v>www.anb.com.sa</v>
      </c>
      <c r="N53" s="2" t="s">
        <v>370</v>
      </c>
      <c r="O53" s="2" t="s">
        <v>42</v>
      </c>
      <c r="P53" s="2" t="s">
        <v>642</v>
      </c>
      <c r="Q53" s="2" t="s">
        <v>42</v>
      </c>
      <c r="R53" s="16" t="s">
        <v>42</v>
      </c>
      <c r="S53" s="16">
        <v>2</v>
      </c>
      <c r="T53" s="16">
        <v>1</v>
      </c>
      <c r="U53" s="16">
        <v>1</v>
      </c>
      <c r="V53" s="16" t="s">
        <v>42</v>
      </c>
      <c r="W53" s="4" t="s">
        <v>643</v>
      </c>
      <c r="X53" s="2" t="s">
        <v>644</v>
      </c>
      <c r="Y53" s="8" t="str">
        <f>HYPERLINK("http://linkedin.com/in/aiedh/", "http://linkedin.com/in/aiedh/")</f>
        <v>http://linkedin.com/in/aiedh/</v>
      </c>
      <c r="Z53" s="2" t="s">
        <v>55</v>
      </c>
      <c r="AA53" s="2" t="s">
        <v>645</v>
      </c>
      <c r="AB53" s="2" t="s">
        <v>42</v>
      </c>
      <c r="AC53" s="2" t="s">
        <v>58</v>
      </c>
      <c r="AD53" s="2" t="s">
        <v>42</v>
      </c>
      <c r="AE53" s="4" t="s">
        <v>646</v>
      </c>
      <c r="AF53" s="2" t="s">
        <v>60</v>
      </c>
      <c r="AG53" s="4" t="s">
        <v>647</v>
      </c>
      <c r="AH53" s="2" t="s">
        <v>61</v>
      </c>
      <c r="AI53" s="2" t="s">
        <v>61</v>
      </c>
      <c r="AJ53" s="2" t="s">
        <v>42</v>
      </c>
      <c r="AK53" s="2" t="s">
        <v>42</v>
      </c>
      <c r="AL53" s="28">
        <v>45764</v>
      </c>
      <c r="AM53" s="4" t="s">
        <v>42</v>
      </c>
      <c r="AN53" s="8" t="str">
        <f>HYPERLINK("https://my.pitchbook.com?p=319065-85P", "View People Online")</f>
        <v>View People Online</v>
      </c>
    </row>
    <row r="54" spans="1:40" x14ac:dyDescent="0.2">
      <c r="A54" s="3" t="s">
        <v>648</v>
      </c>
      <c r="B54" s="3" t="s">
        <v>649</v>
      </c>
      <c r="C54" s="3" t="s">
        <v>42</v>
      </c>
      <c r="D54" s="3" t="s">
        <v>42</v>
      </c>
      <c r="E54" s="3" t="s">
        <v>648</v>
      </c>
      <c r="F54" s="3" t="s">
        <v>650</v>
      </c>
      <c r="G54" s="3" t="s">
        <v>651</v>
      </c>
      <c r="H54" s="3" t="s">
        <v>356</v>
      </c>
      <c r="I54" s="3" t="s">
        <v>46</v>
      </c>
      <c r="J54" s="3" t="s">
        <v>47</v>
      </c>
      <c r="K54" s="3" t="s">
        <v>652</v>
      </c>
      <c r="L54" s="3" t="s">
        <v>111</v>
      </c>
      <c r="M54" s="9" t="str">
        <f>HYPERLINK("http://www.gig.sa", "www.gig.sa")</f>
        <v>www.gig.sa</v>
      </c>
      <c r="N54" s="3" t="s">
        <v>653</v>
      </c>
      <c r="O54" s="3" t="s">
        <v>42</v>
      </c>
      <c r="P54" s="3" t="s">
        <v>654</v>
      </c>
      <c r="Q54" s="3" t="s">
        <v>42</v>
      </c>
      <c r="R54" s="17" t="s">
        <v>42</v>
      </c>
      <c r="S54" s="17">
        <v>2</v>
      </c>
      <c r="T54" s="17">
        <v>2</v>
      </c>
      <c r="U54" s="17" t="s">
        <v>42</v>
      </c>
      <c r="V54" s="17" t="s">
        <v>42</v>
      </c>
      <c r="W54" s="5" t="s">
        <v>42</v>
      </c>
      <c r="X54" s="3" t="s">
        <v>655</v>
      </c>
      <c r="Y54" s="9" t="str">
        <f>HYPERLINK("http://linkedin.com/in/babaralii/", "http://linkedin.com/in/babaralii/")</f>
        <v>http://linkedin.com/in/babaralii/</v>
      </c>
      <c r="Z54" s="3" t="s">
        <v>55</v>
      </c>
      <c r="AA54" s="3" t="s">
        <v>656</v>
      </c>
      <c r="AB54" s="3" t="s">
        <v>657</v>
      </c>
      <c r="AC54" s="3" t="s">
        <v>58</v>
      </c>
      <c r="AD54" s="3" t="s">
        <v>42</v>
      </c>
      <c r="AE54" s="5" t="s">
        <v>658</v>
      </c>
      <c r="AF54" s="3" t="s">
        <v>60</v>
      </c>
      <c r="AG54" s="5" t="s">
        <v>42</v>
      </c>
      <c r="AH54" s="3" t="s">
        <v>61</v>
      </c>
      <c r="AI54" s="3" t="s">
        <v>61</v>
      </c>
      <c r="AJ54" s="3" t="s">
        <v>42</v>
      </c>
      <c r="AK54" s="3" t="s">
        <v>42</v>
      </c>
      <c r="AL54" s="29">
        <v>45838</v>
      </c>
      <c r="AM54" s="5">
        <v>1984</v>
      </c>
      <c r="AN54" s="9" t="str">
        <f>HYPERLINK("https://my.pitchbook.com?p=247161-25P", "View People Online")</f>
        <v>View People Online</v>
      </c>
    </row>
    <row r="55" spans="1:40" x14ac:dyDescent="0.2">
      <c r="A55" s="2" t="s">
        <v>659</v>
      </c>
      <c r="B55" s="2" t="s">
        <v>660</v>
      </c>
      <c r="C55" s="2" t="s">
        <v>42</v>
      </c>
      <c r="D55" s="2" t="s">
        <v>42</v>
      </c>
      <c r="E55" s="2" t="s">
        <v>659</v>
      </c>
      <c r="F55" s="2" t="s">
        <v>661</v>
      </c>
      <c r="G55" s="2" t="s">
        <v>662</v>
      </c>
      <c r="H55" s="2" t="s">
        <v>42</v>
      </c>
      <c r="I55" s="2" t="s">
        <v>46</v>
      </c>
      <c r="J55" s="2" t="s">
        <v>47</v>
      </c>
      <c r="K55" s="2" t="s">
        <v>663</v>
      </c>
      <c r="L55" s="2" t="s">
        <v>111</v>
      </c>
      <c r="M55" s="8" t="str">
        <f>HYPERLINK("http://www.bahri.sa", "www.bahri.sa")</f>
        <v>www.bahri.sa</v>
      </c>
      <c r="N55" s="2" t="s">
        <v>534</v>
      </c>
      <c r="O55" s="2" t="s">
        <v>42</v>
      </c>
      <c r="P55" s="2" t="s">
        <v>664</v>
      </c>
      <c r="Q55" s="2" t="s">
        <v>42</v>
      </c>
      <c r="R55" s="16">
        <v>1</v>
      </c>
      <c r="S55" s="16">
        <v>2</v>
      </c>
      <c r="T55" s="16">
        <v>1</v>
      </c>
      <c r="U55" s="16" t="s">
        <v>42</v>
      </c>
      <c r="V55" s="16" t="s">
        <v>42</v>
      </c>
      <c r="W55" s="4" t="s">
        <v>665</v>
      </c>
      <c r="X55" s="2" t="s">
        <v>666</v>
      </c>
      <c r="Y55" s="2" t="s">
        <v>42</v>
      </c>
      <c r="Z55" s="2" t="s">
        <v>55</v>
      </c>
      <c r="AA55" s="2" t="s">
        <v>667</v>
      </c>
      <c r="AB55" s="2" t="s">
        <v>668</v>
      </c>
      <c r="AC55" s="2" t="s">
        <v>58</v>
      </c>
      <c r="AD55" s="2" t="s">
        <v>42</v>
      </c>
      <c r="AE55" s="4" t="s">
        <v>556</v>
      </c>
      <c r="AF55" s="2" t="s">
        <v>60</v>
      </c>
      <c r="AG55" s="4" t="s">
        <v>669</v>
      </c>
      <c r="AH55" s="2" t="s">
        <v>61</v>
      </c>
      <c r="AI55" s="2" t="s">
        <v>61</v>
      </c>
      <c r="AJ55" s="2" t="s">
        <v>42</v>
      </c>
      <c r="AK55" s="2" t="s">
        <v>42</v>
      </c>
      <c r="AL55" s="28">
        <v>45958</v>
      </c>
      <c r="AM55" s="4" t="s">
        <v>42</v>
      </c>
      <c r="AN55" s="8" t="str">
        <f>HYPERLINK("https://my.pitchbook.com?p=392727-79P", "View People Online")</f>
        <v>View People Online</v>
      </c>
    </row>
    <row r="56" spans="1:40" x14ac:dyDescent="0.2">
      <c r="A56" s="3" t="s">
        <v>670</v>
      </c>
      <c r="B56" s="3" t="s">
        <v>671</v>
      </c>
      <c r="C56" s="3" t="s">
        <v>42</v>
      </c>
      <c r="D56" s="3" t="s">
        <v>42</v>
      </c>
      <c r="E56" s="3" t="s">
        <v>670</v>
      </c>
      <c r="F56" s="3" t="s">
        <v>672</v>
      </c>
      <c r="G56" s="3" t="s">
        <v>673</v>
      </c>
      <c r="H56" s="3" t="s">
        <v>674</v>
      </c>
      <c r="I56" s="3" t="s">
        <v>46</v>
      </c>
      <c r="J56" s="3" t="s">
        <v>47</v>
      </c>
      <c r="K56" s="3" t="s">
        <v>675</v>
      </c>
      <c r="L56" s="3" t="s">
        <v>111</v>
      </c>
      <c r="M56" s="9" t="str">
        <f>HYPERLINK("http://www.riyadh-cables.com", "www.riyadh-cables.com")</f>
        <v>www.riyadh-cables.com</v>
      </c>
      <c r="N56" s="3" t="s">
        <v>210</v>
      </c>
      <c r="O56" s="3" t="s">
        <v>42</v>
      </c>
      <c r="P56" s="3" t="s">
        <v>676</v>
      </c>
      <c r="Q56" s="3" t="s">
        <v>677</v>
      </c>
      <c r="R56" s="17" t="s">
        <v>42</v>
      </c>
      <c r="S56" s="17">
        <v>2</v>
      </c>
      <c r="T56" s="17">
        <v>1</v>
      </c>
      <c r="U56" s="17">
        <v>1</v>
      </c>
      <c r="V56" s="17" t="s">
        <v>42</v>
      </c>
      <c r="W56" s="5" t="s">
        <v>678</v>
      </c>
      <c r="X56" s="3" t="s">
        <v>679</v>
      </c>
      <c r="Y56" s="9" t="str">
        <f>HYPERLINK("http://linkedin.com/in/borjansehovac/", "http://linkedin.com/in/borjansehovac/")</f>
        <v>http://linkedin.com/in/borjansehovac/</v>
      </c>
      <c r="Z56" s="3" t="s">
        <v>55</v>
      </c>
      <c r="AA56" s="3" t="s">
        <v>680</v>
      </c>
      <c r="AB56" s="3" t="s">
        <v>681</v>
      </c>
      <c r="AC56" s="3" t="s">
        <v>58</v>
      </c>
      <c r="AD56" s="3" t="s">
        <v>42</v>
      </c>
      <c r="AE56" s="5" t="s">
        <v>682</v>
      </c>
      <c r="AF56" s="3" t="s">
        <v>60</v>
      </c>
      <c r="AG56" s="5" t="s">
        <v>42</v>
      </c>
      <c r="AH56" s="3" t="s">
        <v>61</v>
      </c>
      <c r="AI56" s="3" t="s">
        <v>61</v>
      </c>
      <c r="AJ56" s="3" t="s">
        <v>42</v>
      </c>
      <c r="AK56" s="3" t="s">
        <v>42</v>
      </c>
      <c r="AL56" s="29">
        <v>45992</v>
      </c>
      <c r="AM56" s="5" t="s">
        <v>42</v>
      </c>
      <c r="AN56" s="9" t="str">
        <f>HYPERLINK("https://my.pitchbook.com?p=328614-85P", "View People Online")</f>
        <v>View People Online</v>
      </c>
    </row>
    <row r="57" spans="1:40" x14ac:dyDescent="0.2">
      <c r="A57" s="2" t="s">
        <v>683</v>
      </c>
      <c r="B57" s="2" t="s">
        <v>684</v>
      </c>
      <c r="C57" s="2" t="s">
        <v>42</v>
      </c>
      <c r="D57" s="2" t="s">
        <v>42</v>
      </c>
      <c r="E57" s="2" t="s">
        <v>683</v>
      </c>
      <c r="F57" s="2" t="s">
        <v>685</v>
      </c>
      <c r="G57" s="2" t="s">
        <v>686</v>
      </c>
      <c r="H57" s="2" t="s">
        <v>42</v>
      </c>
      <c r="I57" s="2" t="s">
        <v>46</v>
      </c>
      <c r="J57" s="2" t="s">
        <v>47</v>
      </c>
      <c r="K57" s="2" t="s">
        <v>687</v>
      </c>
      <c r="L57" s="2" t="s">
        <v>111</v>
      </c>
      <c r="M57" s="8" t="str">
        <f>HYPERLINK("http://tawuniya.com", "tawuniya.com")</f>
        <v>tawuniya.com</v>
      </c>
      <c r="N57" s="2" t="s">
        <v>688</v>
      </c>
      <c r="O57" s="2" t="s">
        <v>42</v>
      </c>
      <c r="P57" s="2" t="s">
        <v>689</v>
      </c>
      <c r="Q57" s="2" t="s">
        <v>42</v>
      </c>
      <c r="R57" s="16" t="s">
        <v>42</v>
      </c>
      <c r="S57" s="16">
        <v>2</v>
      </c>
      <c r="T57" s="16">
        <v>1</v>
      </c>
      <c r="U57" s="16">
        <v>1</v>
      </c>
      <c r="V57" s="16" t="s">
        <v>42</v>
      </c>
      <c r="W57" s="4" t="s">
        <v>690</v>
      </c>
      <c r="X57" s="2" t="s">
        <v>42</v>
      </c>
      <c r="Y57" s="8" t="str">
        <f>HYPERLINK("http://linkedin.com/in/fahad-bin-muammar-60262b13/?originalsubdomain=sa", "http://linkedin.com/in/fahad-bin-muammar-60262b13/?originalsubdomain=sa")</f>
        <v>http://linkedin.com/in/fahad-bin-muammar-60262b13/?originalsubdomain=sa</v>
      </c>
      <c r="Z57" s="2" t="s">
        <v>55</v>
      </c>
      <c r="AA57" s="2" t="s">
        <v>691</v>
      </c>
      <c r="AB57" s="2" t="s">
        <v>692</v>
      </c>
      <c r="AC57" s="2" t="s">
        <v>58</v>
      </c>
      <c r="AD57" s="2" t="s">
        <v>42</v>
      </c>
      <c r="AE57" s="4" t="s">
        <v>693</v>
      </c>
      <c r="AF57" s="2" t="s">
        <v>60</v>
      </c>
      <c r="AG57" s="4" t="s">
        <v>694</v>
      </c>
      <c r="AH57" s="2" t="s">
        <v>61</v>
      </c>
      <c r="AI57" s="2" t="s">
        <v>61</v>
      </c>
      <c r="AJ57" s="2" t="s">
        <v>42</v>
      </c>
      <c r="AK57" s="2" t="s">
        <v>42</v>
      </c>
      <c r="AL57" s="28">
        <v>45838</v>
      </c>
      <c r="AM57" s="4">
        <v>1975</v>
      </c>
      <c r="AN57" s="8" t="str">
        <f>HYPERLINK("https://my.pitchbook.com?p=413281-54P", "View People Online")</f>
        <v>View People Online</v>
      </c>
    </row>
    <row r="58" spans="1:40" x14ac:dyDescent="0.2">
      <c r="A58" s="3" t="s">
        <v>695</v>
      </c>
      <c r="B58" s="3" t="s">
        <v>696</v>
      </c>
      <c r="C58" s="3" t="s">
        <v>42</v>
      </c>
      <c r="D58" s="3" t="s">
        <v>42</v>
      </c>
      <c r="E58" s="3" t="s">
        <v>695</v>
      </c>
      <c r="F58" s="3" t="s">
        <v>697</v>
      </c>
      <c r="G58" s="3" t="s">
        <v>123</v>
      </c>
      <c r="H58" s="3" t="s">
        <v>698</v>
      </c>
      <c r="I58" s="3" t="s">
        <v>46</v>
      </c>
      <c r="J58" s="3" t="s">
        <v>47</v>
      </c>
      <c r="K58" s="3" t="s">
        <v>699</v>
      </c>
      <c r="L58" s="3" t="s">
        <v>111</v>
      </c>
      <c r="M58" s="9" t="str">
        <f>HYPERLINK("http://www.hmg.com", "www.hmg.com")</f>
        <v>www.hmg.com</v>
      </c>
      <c r="N58" s="3" t="s">
        <v>700</v>
      </c>
      <c r="O58" s="3" t="s">
        <v>42</v>
      </c>
      <c r="P58" s="3" t="s">
        <v>701</v>
      </c>
      <c r="Q58" s="3" t="s">
        <v>42</v>
      </c>
      <c r="R58" s="17">
        <v>1</v>
      </c>
      <c r="S58" s="17">
        <v>2</v>
      </c>
      <c r="T58" s="17">
        <v>1</v>
      </c>
      <c r="U58" s="17">
        <v>1</v>
      </c>
      <c r="V58" s="17" t="s">
        <v>42</v>
      </c>
      <c r="W58" s="5" t="s">
        <v>42</v>
      </c>
      <c r="X58" s="3" t="s">
        <v>702</v>
      </c>
      <c r="Y58" s="9" t="str">
        <f>HYPERLINK("http://sa.linkedin.com/in/faisal-al-nassar-a69736183", "http://sa.linkedin.com/in/faisal-al-nassar-a69736183")</f>
        <v>http://sa.linkedin.com/in/faisal-al-nassar-a69736183</v>
      </c>
      <c r="Z58" s="3" t="s">
        <v>55</v>
      </c>
      <c r="AA58" s="3" t="s">
        <v>703</v>
      </c>
      <c r="AB58" s="3" t="s">
        <v>42</v>
      </c>
      <c r="AC58" s="3" t="s">
        <v>58</v>
      </c>
      <c r="AD58" s="3" t="s">
        <v>42</v>
      </c>
      <c r="AE58" s="5" t="s">
        <v>704</v>
      </c>
      <c r="AF58" s="3" t="s">
        <v>60</v>
      </c>
      <c r="AG58" s="5" t="s">
        <v>42</v>
      </c>
      <c r="AH58" s="3" t="s">
        <v>61</v>
      </c>
      <c r="AI58" s="3" t="s">
        <v>61</v>
      </c>
      <c r="AJ58" s="3" t="s">
        <v>705</v>
      </c>
      <c r="AK58" s="3" t="s">
        <v>706</v>
      </c>
      <c r="AL58" s="29">
        <v>46055</v>
      </c>
      <c r="AM58" s="5">
        <v>1977</v>
      </c>
      <c r="AN58" s="9" t="str">
        <f>HYPERLINK("https://my.pitchbook.com?p=245387-89P", "View People Online")</f>
        <v>View People Online</v>
      </c>
    </row>
    <row r="59" spans="1:40" x14ac:dyDescent="0.2">
      <c r="A59" s="2" t="s">
        <v>707</v>
      </c>
      <c r="B59" s="2" t="s">
        <v>708</v>
      </c>
      <c r="C59" s="2" t="s">
        <v>42</v>
      </c>
      <c r="D59" s="2" t="s">
        <v>42</v>
      </c>
      <c r="E59" s="2" t="s">
        <v>707</v>
      </c>
      <c r="F59" s="2" t="s">
        <v>709</v>
      </c>
      <c r="G59" s="2" t="s">
        <v>123</v>
      </c>
      <c r="H59" s="2" t="s">
        <v>66</v>
      </c>
      <c r="I59" s="2" t="s">
        <v>46</v>
      </c>
      <c r="J59" s="2" t="s">
        <v>47</v>
      </c>
      <c r="K59" s="2" t="s">
        <v>710</v>
      </c>
      <c r="L59" s="2" t="s">
        <v>481</v>
      </c>
      <c r="M59" s="8" t="str">
        <f>HYPERLINK("http://www.saib.com.sa", "www.saib.com.sa")</f>
        <v>www.saib.com.sa</v>
      </c>
      <c r="N59" s="2" t="s">
        <v>210</v>
      </c>
      <c r="O59" s="2" t="s">
        <v>42</v>
      </c>
      <c r="P59" s="2" t="s">
        <v>711</v>
      </c>
      <c r="Q59" s="2" t="s">
        <v>42</v>
      </c>
      <c r="R59" s="16">
        <v>1</v>
      </c>
      <c r="S59" s="16">
        <v>2</v>
      </c>
      <c r="T59" s="16">
        <v>1</v>
      </c>
      <c r="U59" s="16" t="s">
        <v>42</v>
      </c>
      <c r="V59" s="16" t="s">
        <v>42</v>
      </c>
      <c r="W59" s="4" t="s">
        <v>42</v>
      </c>
      <c r="X59" s="2" t="s">
        <v>712</v>
      </c>
      <c r="Y59" s="8" t="str">
        <f>HYPERLINK("http://linkedin.com/in/faisal-al-omran-97a48415/", "http://linkedin.com/in/faisal-al-omran-97a48415/")</f>
        <v>http://linkedin.com/in/faisal-al-omran-97a48415/</v>
      </c>
      <c r="Z59" s="2" t="s">
        <v>55</v>
      </c>
      <c r="AA59" s="2" t="s">
        <v>713</v>
      </c>
      <c r="AB59" s="2" t="s">
        <v>714</v>
      </c>
      <c r="AC59" s="2" t="s">
        <v>58</v>
      </c>
      <c r="AD59" s="2" t="s">
        <v>42</v>
      </c>
      <c r="AE59" s="4" t="s">
        <v>715</v>
      </c>
      <c r="AF59" s="2" t="s">
        <v>60</v>
      </c>
      <c r="AG59" s="4" t="s">
        <v>42</v>
      </c>
      <c r="AH59" s="2" t="s">
        <v>61</v>
      </c>
      <c r="AI59" s="2" t="s">
        <v>61</v>
      </c>
      <c r="AJ59" s="2" t="s">
        <v>42</v>
      </c>
      <c r="AK59" s="2" t="s">
        <v>42</v>
      </c>
      <c r="AL59" s="28">
        <v>45838</v>
      </c>
      <c r="AM59" s="4">
        <v>1986</v>
      </c>
      <c r="AN59" s="8" t="str">
        <f>HYPERLINK("https://my.pitchbook.com?p=161912-98P", "View People Online")</f>
        <v>View People Online</v>
      </c>
    </row>
    <row r="60" spans="1:40" x14ac:dyDescent="0.2">
      <c r="A60" s="3" t="s">
        <v>716</v>
      </c>
      <c r="B60" s="3" t="s">
        <v>717</v>
      </c>
      <c r="C60" s="3" t="s">
        <v>42</v>
      </c>
      <c r="D60" s="3" t="s">
        <v>42</v>
      </c>
      <c r="E60" s="3" t="s">
        <v>716</v>
      </c>
      <c r="F60" s="3" t="s">
        <v>718</v>
      </c>
      <c r="G60" s="3" t="s">
        <v>719</v>
      </c>
      <c r="H60" s="3" t="s">
        <v>42</v>
      </c>
      <c r="I60" s="3" t="s">
        <v>46</v>
      </c>
      <c r="J60" s="3" t="s">
        <v>47</v>
      </c>
      <c r="K60" s="3" t="s">
        <v>720</v>
      </c>
      <c r="L60" s="3" t="s">
        <v>111</v>
      </c>
      <c r="M60" s="9" t="str">
        <f>HYPERLINK("http://www.tamkeenhr.com", "www.tamkeenhr.com")</f>
        <v>www.tamkeenhr.com</v>
      </c>
      <c r="N60" s="3" t="s">
        <v>210</v>
      </c>
      <c r="O60" s="3" t="s">
        <v>42</v>
      </c>
      <c r="P60" s="3" t="s">
        <v>721</v>
      </c>
      <c r="Q60" s="3" t="s">
        <v>42</v>
      </c>
      <c r="R60" s="17" t="s">
        <v>42</v>
      </c>
      <c r="S60" s="17">
        <v>2</v>
      </c>
      <c r="T60" s="17">
        <v>1</v>
      </c>
      <c r="U60" s="17">
        <v>1</v>
      </c>
      <c r="V60" s="17" t="s">
        <v>42</v>
      </c>
      <c r="W60" s="5" t="s">
        <v>722</v>
      </c>
      <c r="X60" s="3" t="s">
        <v>723</v>
      </c>
      <c r="Y60" s="3" t="s">
        <v>42</v>
      </c>
      <c r="Z60" s="3" t="s">
        <v>55</v>
      </c>
      <c r="AA60" s="3" t="s">
        <v>724</v>
      </c>
      <c r="AB60" s="3" t="s">
        <v>725</v>
      </c>
      <c r="AC60" s="3" t="s">
        <v>58</v>
      </c>
      <c r="AD60" s="3" t="s">
        <v>726</v>
      </c>
      <c r="AE60" s="5" t="s">
        <v>727</v>
      </c>
      <c r="AF60" s="3" t="s">
        <v>60</v>
      </c>
      <c r="AG60" s="5" t="s">
        <v>42</v>
      </c>
      <c r="AH60" s="3" t="s">
        <v>61</v>
      </c>
      <c r="AI60" s="3" t="s">
        <v>61</v>
      </c>
      <c r="AJ60" s="3" t="s">
        <v>705</v>
      </c>
      <c r="AK60" s="3" t="s">
        <v>705</v>
      </c>
      <c r="AL60" s="29">
        <v>45574</v>
      </c>
      <c r="AM60" s="5" t="s">
        <v>42</v>
      </c>
      <c r="AN60" s="9" t="str">
        <f>HYPERLINK("https://my.pitchbook.com?p=416296-45P", "View People Online")</f>
        <v>View People Online</v>
      </c>
    </row>
    <row r="61" spans="1:40" x14ac:dyDescent="0.2">
      <c r="A61" s="2" t="s">
        <v>728</v>
      </c>
      <c r="B61" s="2" t="s">
        <v>729</v>
      </c>
      <c r="C61" s="2" t="s">
        <v>42</v>
      </c>
      <c r="D61" s="2" t="s">
        <v>42</v>
      </c>
      <c r="E61" s="2" t="s">
        <v>728</v>
      </c>
      <c r="F61" s="2" t="s">
        <v>730</v>
      </c>
      <c r="G61" s="2" t="s">
        <v>731</v>
      </c>
      <c r="H61" s="2" t="s">
        <v>42</v>
      </c>
      <c r="I61" s="2" t="s">
        <v>46</v>
      </c>
      <c r="J61" s="2" t="s">
        <v>47</v>
      </c>
      <c r="K61" s="2" t="s">
        <v>732</v>
      </c>
      <c r="L61" s="2" t="s">
        <v>125</v>
      </c>
      <c r="M61" s="8" t="str">
        <f>HYPERLINK("http://www.trukkin.com", "www.trukkin.com")</f>
        <v>www.trukkin.com</v>
      </c>
      <c r="N61" s="2" t="s">
        <v>185</v>
      </c>
      <c r="O61" s="2" t="s">
        <v>42</v>
      </c>
      <c r="P61" s="2" t="s">
        <v>733</v>
      </c>
      <c r="Q61" s="2" t="s">
        <v>734</v>
      </c>
      <c r="R61" s="16">
        <v>2</v>
      </c>
      <c r="S61" s="16">
        <v>2</v>
      </c>
      <c r="T61" s="16" t="s">
        <v>42</v>
      </c>
      <c r="U61" s="16" t="s">
        <v>42</v>
      </c>
      <c r="V61" s="16" t="s">
        <v>42</v>
      </c>
      <c r="W61" s="4" t="s">
        <v>735</v>
      </c>
      <c r="X61" s="2" t="s">
        <v>42</v>
      </c>
      <c r="Y61" s="8" t="str">
        <f>HYPERLINK("http://sa.linkedin.com/in/feras-albawardi-50a5b91b", "http://sa.linkedin.com/in/feras-albawardi-50a5b91b")</f>
        <v>http://sa.linkedin.com/in/feras-albawardi-50a5b91b</v>
      </c>
      <c r="Z61" s="2" t="s">
        <v>142</v>
      </c>
      <c r="AA61" s="2" t="s">
        <v>736</v>
      </c>
      <c r="AB61" s="2" t="s">
        <v>737</v>
      </c>
      <c r="AC61" s="2" t="s">
        <v>145</v>
      </c>
      <c r="AD61" s="2" t="s">
        <v>42</v>
      </c>
      <c r="AE61" s="4" t="s">
        <v>42</v>
      </c>
      <c r="AF61" s="2" t="s">
        <v>147</v>
      </c>
      <c r="AG61" s="4" t="s">
        <v>42</v>
      </c>
      <c r="AH61" s="2" t="s">
        <v>61</v>
      </c>
      <c r="AI61" s="2" t="s">
        <v>61</v>
      </c>
      <c r="AJ61" s="2" t="s">
        <v>42</v>
      </c>
      <c r="AK61" s="2" t="s">
        <v>42</v>
      </c>
      <c r="AL61" s="28">
        <v>45917</v>
      </c>
      <c r="AM61" s="4" t="s">
        <v>42</v>
      </c>
      <c r="AN61" s="8" t="str">
        <f>HYPERLINK("https://my.pitchbook.com?p=239931-91P", "View People Online")</f>
        <v>View People Online</v>
      </c>
    </row>
    <row r="62" spans="1:40" x14ac:dyDescent="0.2">
      <c r="A62" s="3" t="s">
        <v>738</v>
      </c>
      <c r="B62" s="3" t="s">
        <v>739</v>
      </c>
      <c r="C62" s="3" t="s">
        <v>42</v>
      </c>
      <c r="D62" s="3" t="s">
        <v>42</v>
      </c>
      <c r="E62" s="3" t="s">
        <v>738</v>
      </c>
      <c r="F62" s="3" t="s">
        <v>740</v>
      </c>
      <c r="G62" s="3" t="s">
        <v>741</v>
      </c>
      <c r="H62" s="3" t="s">
        <v>42</v>
      </c>
      <c r="I62" s="3" t="s">
        <v>46</v>
      </c>
      <c r="J62" s="3" t="s">
        <v>47</v>
      </c>
      <c r="K62" s="3" t="s">
        <v>80</v>
      </c>
      <c r="L62" s="3" t="s">
        <v>81</v>
      </c>
      <c r="M62" s="9" t="str">
        <f>HYPERLINK("http://jadwa.com", "jadwa.com")</f>
        <v>jadwa.com</v>
      </c>
      <c r="N62" s="3" t="s">
        <v>742</v>
      </c>
      <c r="O62" s="3" t="s">
        <v>42</v>
      </c>
      <c r="P62" s="3" t="s">
        <v>743</v>
      </c>
      <c r="Q62" s="3" t="s">
        <v>744</v>
      </c>
      <c r="R62" s="17">
        <v>1</v>
      </c>
      <c r="S62" s="17">
        <v>2</v>
      </c>
      <c r="T62" s="17">
        <v>2</v>
      </c>
      <c r="U62" s="17" t="s">
        <v>42</v>
      </c>
      <c r="V62" s="17" t="s">
        <v>42</v>
      </c>
      <c r="W62" s="5" t="s">
        <v>85</v>
      </c>
      <c r="X62" s="3" t="s">
        <v>745</v>
      </c>
      <c r="Y62" s="9" t="str">
        <f>HYPERLINK("http://sa.linkedin.com/in/ghannam-al-ghannam-4361a596", "http://sa.linkedin.com/in/ghannam-al-ghannam-4361a596")</f>
        <v>http://sa.linkedin.com/in/ghannam-al-ghannam-4361a596</v>
      </c>
      <c r="Z62" s="3" t="s">
        <v>55</v>
      </c>
      <c r="AA62" s="3" t="s">
        <v>87</v>
      </c>
      <c r="AB62" s="3" t="s">
        <v>88</v>
      </c>
      <c r="AC62" s="3" t="s">
        <v>58</v>
      </c>
      <c r="AD62" s="3" t="s">
        <v>42</v>
      </c>
      <c r="AE62" s="5" t="s">
        <v>89</v>
      </c>
      <c r="AF62" s="3" t="s">
        <v>60</v>
      </c>
      <c r="AG62" s="5" t="s">
        <v>90</v>
      </c>
      <c r="AH62" s="3" t="s">
        <v>61</v>
      </c>
      <c r="AI62" s="3" t="s">
        <v>61</v>
      </c>
      <c r="AJ62" s="3" t="s">
        <v>42</v>
      </c>
      <c r="AK62" s="3" t="s">
        <v>42</v>
      </c>
      <c r="AL62" s="29">
        <v>45860</v>
      </c>
      <c r="AM62" s="5">
        <v>1990</v>
      </c>
      <c r="AN62" s="9" t="str">
        <f>HYPERLINK("https://my.pitchbook.com?p=132469-12P", "View People Online")</f>
        <v>View People Online</v>
      </c>
    </row>
    <row r="63" spans="1:40" x14ac:dyDescent="0.2">
      <c r="A63" s="2" t="s">
        <v>746</v>
      </c>
      <c r="B63" s="2" t="s">
        <v>747</v>
      </c>
      <c r="C63" s="2" t="s">
        <v>42</v>
      </c>
      <c r="D63" s="2" t="s">
        <v>42</v>
      </c>
      <c r="E63" s="2" t="s">
        <v>746</v>
      </c>
      <c r="F63" s="2" t="s">
        <v>748</v>
      </c>
      <c r="G63" s="2" t="s">
        <v>749</v>
      </c>
      <c r="H63" s="2" t="s">
        <v>750</v>
      </c>
      <c r="I63" s="2" t="s">
        <v>46</v>
      </c>
      <c r="J63" s="2" t="s">
        <v>47</v>
      </c>
      <c r="K63" s="2" t="s">
        <v>751</v>
      </c>
      <c r="L63" s="2" t="s">
        <v>111</v>
      </c>
      <c r="M63" s="8" t="str">
        <f>HYPERLINK("http://www.jahezgroup.com", "www.jahezgroup.com")</f>
        <v>www.jahezgroup.com</v>
      </c>
      <c r="N63" s="2" t="s">
        <v>752</v>
      </c>
      <c r="O63" s="2" t="s">
        <v>42</v>
      </c>
      <c r="P63" s="2" t="s">
        <v>753</v>
      </c>
      <c r="Q63" s="2" t="s">
        <v>128</v>
      </c>
      <c r="R63" s="16">
        <v>1</v>
      </c>
      <c r="S63" s="16">
        <v>2</v>
      </c>
      <c r="T63" s="16">
        <v>1</v>
      </c>
      <c r="U63" s="16">
        <v>1</v>
      </c>
      <c r="V63" s="16" t="s">
        <v>42</v>
      </c>
      <c r="W63" s="4" t="s">
        <v>42</v>
      </c>
      <c r="X63" s="2" t="s">
        <v>754</v>
      </c>
      <c r="Y63" s="2" t="s">
        <v>42</v>
      </c>
      <c r="Z63" s="2" t="s">
        <v>55</v>
      </c>
      <c r="AA63" s="2" t="s">
        <v>755</v>
      </c>
      <c r="AB63" s="2" t="s">
        <v>756</v>
      </c>
      <c r="AC63" s="2" t="s">
        <v>58</v>
      </c>
      <c r="AD63" s="2" t="s">
        <v>42</v>
      </c>
      <c r="AE63" s="4" t="s">
        <v>757</v>
      </c>
      <c r="AF63" s="2" t="s">
        <v>60</v>
      </c>
      <c r="AG63" s="4" t="s">
        <v>42</v>
      </c>
      <c r="AH63" s="2" t="s">
        <v>61</v>
      </c>
      <c r="AI63" s="2" t="s">
        <v>61</v>
      </c>
      <c r="AJ63" s="2" t="s">
        <v>42</v>
      </c>
      <c r="AK63" s="2" t="s">
        <v>42</v>
      </c>
      <c r="AL63" s="28">
        <v>46055</v>
      </c>
      <c r="AM63" s="4" t="s">
        <v>42</v>
      </c>
      <c r="AN63" s="8" t="str">
        <f>HYPERLINK("https://my.pitchbook.com?p=231629-50P", "View People Online")</f>
        <v>View People Online</v>
      </c>
    </row>
    <row r="64" spans="1:40" x14ac:dyDescent="0.2">
      <c r="A64" s="3" t="s">
        <v>758</v>
      </c>
      <c r="B64" s="3" t="s">
        <v>759</v>
      </c>
      <c r="C64" s="3" t="s">
        <v>42</v>
      </c>
      <c r="D64" s="3" t="s">
        <v>42</v>
      </c>
      <c r="E64" s="3" t="s">
        <v>758</v>
      </c>
      <c r="F64" s="3" t="s">
        <v>760</v>
      </c>
      <c r="G64" s="3" t="s">
        <v>761</v>
      </c>
      <c r="H64" s="3" t="s">
        <v>762</v>
      </c>
      <c r="I64" s="3" t="s">
        <v>46</v>
      </c>
      <c r="J64" s="3" t="s">
        <v>47</v>
      </c>
      <c r="K64" s="3" t="s">
        <v>763</v>
      </c>
      <c r="L64" s="3" t="s">
        <v>111</v>
      </c>
      <c r="M64" s="9" t="str">
        <f>HYPERLINK("http://www.alramzre.com", "www.alramzre.com")</f>
        <v>www.alramzre.com</v>
      </c>
      <c r="N64" s="3" t="s">
        <v>447</v>
      </c>
      <c r="O64" s="3" t="s">
        <v>42</v>
      </c>
      <c r="P64" s="3" t="s">
        <v>764</v>
      </c>
      <c r="Q64" s="3" t="s">
        <v>128</v>
      </c>
      <c r="R64" s="17">
        <v>1</v>
      </c>
      <c r="S64" s="17">
        <v>2</v>
      </c>
      <c r="T64" s="17">
        <v>1</v>
      </c>
      <c r="U64" s="17" t="s">
        <v>42</v>
      </c>
      <c r="V64" s="17" t="s">
        <v>42</v>
      </c>
      <c r="W64" s="5" t="s">
        <v>765</v>
      </c>
      <c r="X64" s="3" t="s">
        <v>42</v>
      </c>
      <c r="Y64" s="9" t="str">
        <f>HYPERLINK("http://linkedin.com/in/haroon-al-rasheed-87699511b/", "http://linkedin.com/in/haroon-al-rasheed-87699511b/")</f>
        <v>http://linkedin.com/in/haroon-al-rasheed-87699511b/</v>
      </c>
      <c r="Z64" s="3" t="s">
        <v>55</v>
      </c>
      <c r="AA64" s="3" t="s">
        <v>766</v>
      </c>
      <c r="AB64" s="3" t="s">
        <v>767</v>
      </c>
      <c r="AC64" s="3" t="s">
        <v>58</v>
      </c>
      <c r="AD64" s="3" t="s">
        <v>42</v>
      </c>
      <c r="AE64" s="5" t="s">
        <v>768</v>
      </c>
      <c r="AF64" s="3" t="s">
        <v>60</v>
      </c>
      <c r="AG64" s="5" t="s">
        <v>42</v>
      </c>
      <c r="AH64" s="3" t="s">
        <v>61</v>
      </c>
      <c r="AI64" s="3" t="s">
        <v>61</v>
      </c>
      <c r="AJ64" s="3" t="s">
        <v>42</v>
      </c>
      <c r="AK64" s="3" t="s">
        <v>42</v>
      </c>
      <c r="AL64" s="29">
        <v>45974</v>
      </c>
      <c r="AM64" s="5" t="s">
        <v>42</v>
      </c>
      <c r="AN64" s="9" t="str">
        <f>HYPERLINK("https://my.pitchbook.com?p=296566-39P", "View People Online")</f>
        <v>View People Online</v>
      </c>
    </row>
    <row r="65" spans="1:40" x14ac:dyDescent="0.2">
      <c r="A65" s="2" t="s">
        <v>769</v>
      </c>
      <c r="B65" s="2" t="s">
        <v>770</v>
      </c>
      <c r="C65" s="2" t="s">
        <v>42</v>
      </c>
      <c r="D65" s="2" t="s">
        <v>42</v>
      </c>
      <c r="E65" s="2" t="s">
        <v>769</v>
      </c>
      <c r="F65" s="2" t="s">
        <v>771</v>
      </c>
      <c r="G65" s="2" t="s">
        <v>161</v>
      </c>
      <c r="H65" s="2" t="s">
        <v>42</v>
      </c>
      <c r="I65" s="2" t="s">
        <v>46</v>
      </c>
      <c r="J65" s="2" t="s">
        <v>47</v>
      </c>
      <c r="K65" s="2" t="s">
        <v>469</v>
      </c>
      <c r="L65" s="2" t="s">
        <v>111</v>
      </c>
      <c r="M65" s="8" t="str">
        <f>HYPERLINK("http://care.med.sa", "care.med.sa")</f>
        <v>care.med.sa</v>
      </c>
      <c r="N65" s="2" t="s">
        <v>370</v>
      </c>
      <c r="O65" s="2" t="s">
        <v>42</v>
      </c>
      <c r="P65" s="2" t="s">
        <v>772</v>
      </c>
      <c r="Q65" s="2" t="s">
        <v>773</v>
      </c>
      <c r="R65" s="16" t="s">
        <v>42</v>
      </c>
      <c r="S65" s="16">
        <v>2</v>
      </c>
      <c r="T65" s="16">
        <v>2</v>
      </c>
      <c r="U65" s="16" t="s">
        <v>42</v>
      </c>
      <c r="V65" s="16" t="s">
        <v>42</v>
      </c>
      <c r="W65" s="4" t="s">
        <v>471</v>
      </c>
      <c r="X65" s="2" t="s">
        <v>774</v>
      </c>
      <c r="Y65" s="8" t="str">
        <f>HYPERLINK("http://linkedin.com/in/ibrahim-alkhelaifi-8ba05571/?originalsubdomain=sa", "http://linkedin.com/in/ibrahim-alkhelaifi-8ba05571/?originalsubdomain=sa")</f>
        <v>http://linkedin.com/in/ibrahim-alkhelaifi-8ba05571/?originalsubdomain=sa</v>
      </c>
      <c r="Z65" s="2" t="s">
        <v>55</v>
      </c>
      <c r="AA65" s="2" t="s">
        <v>472</v>
      </c>
      <c r="AB65" s="2" t="s">
        <v>473</v>
      </c>
      <c r="AC65" s="2" t="s">
        <v>58</v>
      </c>
      <c r="AD65" s="2" t="s">
        <v>474</v>
      </c>
      <c r="AE65" s="4" t="s">
        <v>475</v>
      </c>
      <c r="AF65" s="2" t="s">
        <v>60</v>
      </c>
      <c r="AG65" s="4" t="s">
        <v>42</v>
      </c>
      <c r="AH65" s="2" t="s">
        <v>61</v>
      </c>
      <c r="AI65" s="2" t="s">
        <v>61</v>
      </c>
      <c r="AJ65" s="2" t="s">
        <v>42</v>
      </c>
      <c r="AK65" s="2" t="s">
        <v>42</v>
      </c>
      <c r="AL65" s="28">
        <v>45741</v>
      </c>
      <c r="AM65" s="4" t="s">
        <v>42</v>
      </c>
      <c r="AN65" s="8" t="str">
        <f>HYPERLINK("https://my.pitchbook.com?p=259439-68P", "View People Online")</f>
        <v>View People Online</v>
      </c>
    </row>
    <row r="66" spans="1:40" x14ac:dyDescent="0.2">
      <c r="A66" s="3" t="s">
        <v>775</v>
      </c>
      <c r="B66" s="3" t="s">
        <v>776</v>
      </c>
      <c r="C66" s="3" t="s">
        <v>42</v>
      </c>
      <c r="D66" s="3" t="s">
        <v>42</v>
      </c>
      <c r="E66" s="3" t="s">
        <v>775</v>
      </c>
      <c r="F66" s="3" t="s">
        <v>777</v>
      </c>
      <c r="G66" s="3" t="s">
        <v>778</v>
      </c>
      <c r="H66" s="3" t="s">
        <v>42</v>
      </c>
      <c r="I66" s="3" t="s">
        <v>46</v>
      </c>
      <c r="J66" s="3" t="s">
        <v>47</v>
      </c>
      <c r="K66" s="3" t="s">
        <v>779</v>
      </c>
      <c r="L66" s="3" t="s">
        <v>111</v>
      </c>
      <c r="M66" s="9" t="str">
        <f>HYPERLINK("http://www.takweenai.com", "www.takweenai.com")</f>
        <v>www.takweenai.com</v>
      </c>
      <c r="N66" s="3" t="s">
        <v>370</v>
      </c>
      <c r="O66" s="3" t="s">
        <v>42</v>
      </c>
      <c r="P66" s="3" t="s">
        <v>780</v>
      </c>
      <c r="Q66" s="3" t="s">
        <v>42</v>
      </c>
      <c r="R66" s="17" t="s">
        <v>42</v>
      </c>
      <c r="S66" s="17">
        <v>2</v>
      </c>
      <c r="T66" s="17">
        <v>2</v>
      </c>
      <c r="U66" s="17" t="s">
        <v>42</v>
      </c>
      <c r="V66" s="17" t="s">
        <v>42</v>
      </c>
      <c r="W66" s="5" t="s">
        <v>781</v>
      </c>
      <c r="X66" s="3" t="s">
        <v>42</v>
      </c>
      <c r="Y66" s="9" t="str">
        <f>HYPERLINK("http://linkedin.com/in/jeroen-van-der-meer-2547704/", "http://linkedin.com/in/jeroen-van-der-meer-2547704/")</f>
        <v>http://linkedin.com/in/jeroen-van-der-meer-2547704/</v>
      </c>
      <c r="Z66" s="3" t="s">
        <v>782</v>
      </c>
      <c r="AA66" s="3" t="s">
        <v>783</v>
      </c>
      <c r="AB66" s="3" t="s">
        <v>784</v>
      </c>
      <c r="AC66" s="3" t="s">
        <v>785</v>
      </c>
      <c r="AD66" s="3" t="s">
        <v>786</v>
      </c>
      <c r="AE66" s="5" t="s">
        <v>599</v>
      </c>
      <c r="AF66" s="3" t="s">
        <v>60</v>
      </c>
      <c r="AG66" s="5" t="s">
        <v>787</v>
      </c>
      <c r="AH66" s="3" t="s">
        <v>61</v>
      </c>
      <c r="AI66" s="3" t="s">
        <v>61</v>
      </c>
      <c r="AJ66" s="3" t="s">
        <v>42</v>
      </c>
      <c r="AK66" s="3" t="s">
        <v>42</v>
      </c>
      <c r="AL66" s="29">
        <v>45955</v>
      </c>
      <c r="AM66" s="5">
        <v>1972</v>
      </c>
      <c r="AN66" s="9" t="str">
        <f>HYPERLINK("https://my.pitchbook.com?p=342420-49P", "View People Online")</f>
        <v>View People Online</v>
      </c>
    </row>
    <row r="67" spans="1:40" x14ac:dyDescent="0.2">
      <c r="A67" s="2" t="s">
        <v>788</v>
      </c>
      <c r="B67" s="2" t="s">
        <v>789</v>
      </c>
      <c r="C67" s="2" t="s">
        <v>42</v>
      </c>
      <c r="D67" s="2" t="s">
        <v>42</v>
      </c>
      <c r="E67" s="2" t="s">
        <v>788</v>
      </c>
      <c r="F67" s="2" t="s">
        <v>790</v>
      </c>
      <c r="G67" s="2" t="s">
        <v>791</v>
      </c>
      <c r="H67" s="2" t="s">
        <v>42</v>
      </c>
      <c r="I67" s="2" t="s">
        <v>46</v>
      </c>
      <c r="J67" s="2" t="s">
        <v>47</v>
      </c>
      <c r="K67" s="2" t="s">
        <v>533</v>
      </c>
      <c r="L67" s="2" t="s">
        <v>111</v>
      </c>
      <c r="M67" s="8" t="str">
        <f>HYPERLINK("http://www.spimaco.com.sa", "www.spimaco.com.sa")</f>
        <v>www.spimaco.com.sa</v>
      </c>
      <c r="N67" s="2" t="s">
        <v>210</v>
      </c>
      <c r="O67" s="2" t="s">
        <v>42</v>
      </c>
      <c r="P67" s="2" t="s">
        <v>792</v>
      </c>
      <c r="Q67" s="2" t="s">
        <v>42</v>
      </c>
      <c r="R67" s="16" t="s">
        <v>42</v>
      </c>
      <c r="S67" s="16">
        <v>2</v>
      </c>
      <c r="T67" s="16">
        <v>2</v>
      </c>
      <c r="U67" s="16" t="s">
        <v>42</v>
      </c>
      <c r="V67" s="16" t="s">
        <v>42</v>
      </c>
      <c r="W67" s="4" t="s">
        <v>536</v>
      </c>
      <c r="X67" s="2" t="s">
        <v>793</v>
      </c>
      <c r="Y67" s="8" t="str">
        <f>HYPERLINK("http://dk.linkedin.com/in/jérôme-cabannes-3607937", "http://dk.linkedin.com/in/jérôme-cabannes-3607937")</f>
        <v>http://dk.linkedin.com/in/jérôme-cabannes-3607937</v>
      </c>
      <c r="Z67" s="2" t="s">
        <v>55</v>
      </c>
      <c r="AA67" s="2" t="s">
        <v>538</v>
      </c>
      <c r="AB67" s="2" t="s">
        <v>42</v>
      </c>
      <c r="AC67" s="2" t="s">
        <v>58</v>
      </c>
      <c r="AD67" s="2" t="s">
        <v>42</v>
      </c>
      <c r="AE67" s="4" t="s">
        <v>539</v>
      </c>
      <c r="AF67" s="2" t="s">
        <v>60</v>
      </c>
      <c r="AG67" s="4" t="s">
        <v>540</v>
      </c>
      <c r="AH67" s="2" t="s">
        <v>61</v>
      </c>
      <c r="AI67" s="2" t="s">
        <v>61</v>
      </c>
      <c r="AJ67" s="2" t="s">
        <v>42</v>
      </c>
      <c r="AK67" s="2" t="s">
        <v>42</v>
      </c>
      <c r="AL67" s="28">
        <v>45846</v>
      </c>
      <c r="AM67" s="4">
        <v>1969</v>
      </c>
      <c r="AN67" s="8" t="str">
        <f>HYPERLINK("https://my.pitchbook.com?p=327451-06P", "View People Online")</f>
        <v>View People Online</v>
      </c>
    </row>
    <row r="68" spans="1:40" x14ac:dyDescent="0.2">
      <c r="A68" s="3" t="s">
        <v>794</v>
      </c>
      <c r="B68" s="3" t="s">
        <v>795</v>
      </c>
      <c r="C68" s="3" t="s">
        <v>42</v>
      </c>
      <c r="D68" s="3" t="s">
        <v>42</v>
      </c>
      <c r="E68" s="3" t="s">
        <v>794</v>
      </c>
      <c r="F68" s="3" t="s">
        <v>796</v>
      </c>
      <c r="G68" s="3" t="s">
        <v>797</v>
      </c>
      <c r="H68" s="3" t="s">
        <v>798</v>
      </c>
      <c r="I68" s="3" t="s">
        <v>799</v>
      </c>
      <c r="J68" s="3" t="s">
        <v>800</v>
      </c>
      <c r="K68" s="3" t="s">
        <v>801</v>
      </c>
      <c r="L68" s="3" t="s">
        <v>111</v>
      </c>
      <c r="M68" s="9" t="str">
        <f>HYPERLINK("http://www.srmg.com", "www.srmg.com")</f>
        <v>www.srmg.com</v>
      </c>
      <c r="N68" s="3" t="s">
        <v>112</v>
      </c>
      <c r="O68" s="3" t="s">
        <v>42</v>
      </c>
      <c r="P68" s="3" t="s">
        <v>802</v>
      </c>
      <c r="Q68" s="3" t="s">
        <v>803</v>
      </c>
      <c r="R68" s="17">
        <v>2</v>
      </c>
      <c r="S68" s="17">
        <v>2</v>
      </c>
      <c r="T68" s="17">
        <v>1</v>
      </c>
      <c r="U68" s="17" t="s">
        <v>42</v>
      </c>
      <c r="V68" s="17" t="s">
        <v>42</v>
      </c>
      <c r="W68" s="5" t="s">
        <v>804</v>
      </c>
      <c r="X68" s="3" t="s">
        <v>805</v>
      </c>
      <c r="Y68" s="9" t="str">
        <f>HYPERLINK("http://linkedin.com/in/jomanaalrashid/", "http://linkedin.com/in/jomanaalrashid/")</f>
        <v>http://linkedin.com/in/jomanaalrashid/</v>
      </c>
      <c r="Z68" s="3" t="s">
        <v>55</v>
      </c>
      <c r="AA68" s="3" t="s">
        <v>806</v>
      </c>
      <c r="AB68" s="3" t="s">
        <v>807</v>
      </c>
      <c r="AC68" s="3" t="s">
        <v>58</v>
      </c>
      <c r="AD68" s="3" t="s">
        <v>42</v>
      </c>
      <c r="AE68" s="5" t="s">
        <v>42</v>
      </c>
      <c r="AF68" s="3" t="s">
        <v>60</v>
      </c>
      <c r="AG68" s="5" t="s">
        <v>42</v>
      </c>
      <c r="AH68" s="3" t="s">
        <v>61</v>
      </c>
      <c r="AI68" s="3" t="s">
        <v>61</v>
      </c>
      <c r="AJ68" s="3" t="s">
        <v>42</v>
      </c>
      <c r="AK68" s="3" t="s">
        <v>42</v>
      </c>
      <c r="AL68" s="29">
        <v>45908</v>
      </c>
      <c r="AM68" s="5" t="s">
        <v>42</v>
      </c>
      <c r="AN68" s="9" t="str">
        <f>HYPERLINK("https://my.pitchbook.com?p=328620-79P", "View People Online")</f>
        <v>View People Online</v>
      </c>
    </row>
    <row r="69" spans="1:40" x14ac:dyDescent="0.2">
      <c r="A69" s="2" t="s">
        <v>808</v>
      </c>
      <c r="B69" s="2" t="s">
        <v>809</v>
      </c>
      <c r="C69" s="2" t="s">
        <v>42</v>
      </c>
      <c r="D69" s="2" t="s">
        <v>42</v>
      </c>
      <c r="E69" s="2" t="s">
        <v>808</v>
      </c>
      <c r="F69" s="2" t="s">
        <v>810</v>
      </c>
      <c r="G69" s="2" t="s">
        <v>811</v>
      </c>
      <c r="H69" s="2" t="s">
        <v>66</v>
      </c>
      <c r="I69" s="2" t="s">
        <v>46</v>
      </c>
      <c r="J69" s="2" t="s">
        <v>47</v>
      </c>
      <c r="K69" s="2" t="s">
        <v>812</v>
      </c>
      <c r="L69" s="2" t="s">
        <v>111</v>
      </c>
      <c r="M69" s="8" t="str">
        <f>HYPERLINK("http://www.tadawulgroup.sa", "www.tadawulgroup.sa")</f>
        <v>www.tadawulgroup.sa</v>
      </c>
      <c r="N69" s="2" t="s">
        <v>112</v>
      </c>
      <c r="O69" s="2" t="s">
        <v>42</v>
      </c>
      <c r="P69" s="2" t="s">
        <v>813</v>
      </c>
      <c r="Q69" s="2" t="s">
        <v>814</v>
      </c>
      <c r="R69" s="16">
        <v>1</v>
      </c>
      <c r="S69" s="16">
        <v>2</v>
      </c>
      <c r="T69" s="16">
        <v>1</v>
      </c>
      <c r="U69" s="16">
        <v>1</v>
      </c>
      <c r="V69" s="16" t="s">
        <v>42</v>
      </c>
      <c r="W69" s="4" t="s">
        <v>42</v>
      </c>
      <c r="X69" s="2" t="s">
        <v>815</v>
      </c>
      <c r="Y69" s="8" t="str">
        <f>HYPERLINK("http://linkedin.com/in/khalid-alhussan-376059b/?miniprofileurn=urn:li:fs_miniprofile:acoaaah3a8obrytual1vqnw3p1vbqmy5dvkk24c", "http://linkedin.com/in/khalid-alhussan-376059b/?miniprofileurn=urn:li:fs_miniprofile:acoaaah3a8obrytual1vqnw3p1vbqmy5dvkk24c")</f>
        <v>http://linkedin.com/in/khalid-alhussan-376059b/?miniprofileurn=urn:li:fs_miniprofile:acoaaah3a8obrytual1vqnw3p1vbqmy5dvkk24c</v>
      </c>
      <c r="Z69" s="2" t="s">
        <v>55</v>
      </c>
      <c r="AA69" s="2" t="s">
        <v>816</v>
      </c>
      <c r="AB69" s="2" t="s">
        <v>817</v>
      </c>
      <c r="AC69" s="2" t="s">
        <v>58</v>
      </c>
      <c r="AD69" s="2" t="s">
        <v>42</v>
      </c>
      <c r="AE69" s="4" t="s">
        <v>818</v>
      </c>
      <c r="AF69" s="2" t="s">
        <v>60</v>
      </c>
      <c r="AG69" s="4" t="s">
        <v>42</v>
      </c>
      <c r="AH69" s="2" t="s">
        <v>61</v>
      </c>
      <c r="AI69" s="2" t="s">
        <v>61</v>
      </c>
      <c r="AJ69" s="2" t="s">
        <v>42</v>
      </c>
      <c r="AK69" s="2" t="s">
        <v>42</v>
      </c>
      <c r="AL69" s="28">
        <v>45777</v>
      </c>
      <c r="AM69" s="4" t="s">
        <v>42</v>
      </c>
      <c r="AN69" s="8" t="str">
        <f>HYPERLINK("https://my.pitchbook.com?p=178108-21P", "View People Online")</f>
        <v>View People Online</v>
      </c>
    </row>
    <row r="70" spans="1:40" x14ac:dyDescent="0.2">
      <c r="A70" s="3" t="s">
        <v>819</v>
      </c>
      <c r="B70" s="3" t="s">
        <v>820</v>
      </c>
      <c r="C70" s="3" t="s">
        <v>42</v>
      </c>
      <c r="D70" s="3" t="s">
        <v>42</v>
      </c>
      <c r="E70" s="3" t="s">
        <v>819</v>
      </c>
      <c r="F70" s="3" t="s">
        <v>821</v>
      </c>
      <c r="G70" s="3" t="s">
        <v>811</v>
      </c>
      <c r="H70" s="3" t="s">
        <v>42</v>
      </c>
      <c r="I70" s="3" t="s">
        <v>46</v>
      </c>
      <c r="J70" s="3" t="s">
        <v>47</v>
      </c>
      <c r="K70" s="3" t="s">
        <v>641</v>
      </c>
      <c r="L70" s="3" t="s">
        <v>111</v>
      </c>
      <c r="M70" s="9" t="str">
        <f>HYPERLINK("http://www.anb.com.sa", "www.anb.com.sa")</f>
        <v>www.anb.com.sa</v>
      </c>
      <c r="N70" s="3" t="s">
        <v>210</v>
      </c>
      <c r="O70" s="3" t="s">
        <v>42</v>
      </c>
      <c r="P70" s="3" t="s">
        <v>822</v>
      </c>
      <c r="Q70" s="3" t="s">
        <v>42</v>
      </c>
      <c r="R70" s="17" t="s">
        <v>42</v>
      </c>
      <c r="S70" s="17">
        <v>2</v>
      </c>
      <c r="T70" s="17">
        <v>1</v>
      </c>
      <c r="U70" s="17">
        <v>1</v>
      </c>
      <c r="V70" s="17" t="s">
        <v>42</v>
      </c>
      <c r="W70" s="5" t="s">
        <v>643</v>
      </c>
      <c r="X70" s="3" t="s">
        <v>42</v>
      </c>
      <c r="Y70" s="3" t="s">
        <v>42</v>
      </c>
      <c r="Z70" s="3" t="s">
        <v>55</v>
      </c>
      <c r="AA70" s="3" t="s">
        <v>645</v>
      </c>
      <c r="AB70" s="3" t="s">
        <v>42</v>
      </c>
      <c r="AC70" s="3" t="s">
        <v>58</v>
      </c>
      <c r="AD70" s="3" t="s">
        <v>42</v>
      </c>
      <c r="AE70" s="5" t="s">
        <v>646</v>
      </c>
      <c r="AF70" s="3" t="s">
        <v>60</v>
      </c>
      <c r="AG70" s="5" t="s">
        <v>647</v>
      </c>
      <c r="AH70" s="3" t="s">
        <v>61</v>
      </c>
      <c r="AI70" s="3" t="s">
        <v>61</v>
      </c>
      <c r="AJ70" s="3" t="s">
        <v>42</v>
      </c>
      <c r="AK70" s="3" t="s">
        <v>42</v>
      </c>
      <c r="AL70" s="29">
        <v>45964</v>
      </c>
      <c r="AM70" s="5" t="s">
        <v>42</v>
      </c>
      <c r="AN70" s="9" t="str">
        <f>HYPERLINK("https://my.pitchbook.com?p=471871-00P", "View People Online")</f>
        <v>View People Online</v>
      </c>
    </row>
    <row r="71" spans="1:40" x14ac:dyDescent="0.2">
      <c r="A71" s="2" t="s">
        <v>823</v>
      </c>
      <c r="B71" s="2" t="s">
        <v>824</v>
      </c>
      <c r="C71" s="2" t="s">
        <v>42</v>
      </c>
      <c r="D71" s="2" t="s">
        <v>42</v>
      </c>
      <c r="E71" s="2" t="s">
        <v>823</v>
      </c>
      <c r="F71" s="2" t="s">
        <v>825</v>
      </c>
      <c r="G71" s="2" t="s">
        <v>826</v>
      </c>
      <c r="H71" s="2" t="s">
        <v>827</v>
      </c>
      <c r="I71" s="2" t="s">
        <v>42</v>
      </c>
      <c r="J71" s="2" t="s">
        <v>47</v>
      </c>
      <c r="K71" s="2" t="s">
        <v>312</v>
      </c>
      <c r="L71" s="2" t="s">
        <v>111</v>
      </c>
      <c r="M71" s="8" t="str">
        <f>HYPERLINK("http://www.bupa.com.sa", "www.bupa.com.sa")</f>
        <v>www.bupa.com.sa</v>
      </c>
      <c r="N71" s="2" t="s">
        <v>69</v>
      </c>
      <c r="O71" s="2" t="s">
        <v>42</v>
      </c>
      <c r="P71" s="2" t="s">
        <v>828</v>
      </c>
      <c r="Q71" s="2" t="s">
        <v>829</v>
      </c>
      <c r="R71" s="16">
        <v>2</v>
      </c>
      <c r="S71" s="16">
        <v>2</v>
      </c>
      <c r="T71" s="16">
        <v>1</v>
      </c>
      <c r="U71" s="16" t="s">
        <v>42</v>
      </c>
      <c r="V71" s="16" t="s">
        <v>42</v>
      </c>
      <c r="W71" s="4" t="s">
        <v>42</v>
      </c>
      <c r="X71" s="2" t="s">
        <v>42</v>
      </c>
      <c r="Y71" s="2" t="s">
        <v>42</v>
      </c>
      <c r="Z71" s="2" t="s">
        <v>174</v>
      </c>
      <c r="AA71" s="2" t="s">
        <v>316</v>
      </c>
      <c r="AB71" s="2" t="s">
        <v>317</v>
      </c>
      <c r="AC71" s="2" t="s">
        <v>176</v>
      </c>
      <c r="AD71" s="2" t="s">
        <v>42</v>
      </c>
      <c r="AE71" s="4" t="s">
        <v>318</v>
      </c>
      <c r="AF71" s="2" t="s">
        <v>60</v>
      </c>
      <c r="AG71" s="4" t="s">
        <v>42</v>
      </c>
      <c r="AH71" s="2" t="s">
        <v>61</v>
      </c>
      <c r="AI71" s="2" t="s">
        <v>61</v>
      </c>
      <c r="AJ71" s="2" t="s">
        <v>42</v>
      </c>
      <c r="AK71" s="2" t="s">
        <v>42</v>
      </c>
      <c r="AL71" s="28">
        <v>45868</v>
      </c>
      <c r="AM71" s="4" t="s">
        <v>42</v>
      </c>
      <c r="AN71" s="8" t="str">
        <f>HYPERLINK("https://my.pitchbook.com?p=282499-03P", "View People Online")</f>
        <v>View People Online</v>
      </c>
    </row>
    <row r="72" spans="1:40" x14ac:dyDescent="0.2">
      <c r="A72" s="3" t="s">
        <v>830</v>
      </c>
      <c r="B72" s="3" t="s">
        <v>831</v>
      </c>
      <c r="C72" s="3" t="s">
        <v>42</v>
      </c>
      <c r="D72" s="3" t="s">
        <v>42</v>
      </c>
      <c r="E72" s="3" t="s">
        <v>830</v>
      </c>
      <c r="F72" s="3" t="s">
        <v>832</v>
      </c>
      <c r="G72" s="3" t="s">
        <v>833</v>
      </c>
      <c r="H72" s="3" t="s">
        <v>42</v>
      </c>
      <c r="I72" s="3" t="s">
        <v>46</v>
      </c>
      <c r="J72" s="3" t="s">
        <v>47</v>
      </c>
      <c r="K72" s="3" t="s">
        <v>834</v>
      </c>
      <c r="L72" s="3" t="s">
        <v>111</v>
      </c>
      <c r="M72" s="9" t="str">
        <f>HYPERLINK("http://www.sgp.com.sa", "www.sgp.com.sa")</f>
        <v>www.sgp.com.sa</v>
      </c>
      <c r="N72" s="3" t="s">
        <v>210</v>
      </c>
      <c r="O72" s="3" t="s">
        <v>42</v>
      </c>
      <c r="P72" s="3" t="s">
        <v>835</v>
      </c>
      <c r="Q72" s="3" t="s">
        <v>42</v>
      </c>
      <c r="R72" s="17">
        <v>1</v>
      </c>
      <c r="S72" s="17">
        <v>2</v>
      </c>
      <c r="T72" s="17">
        <v>1</v>
      </c>
      <c r="U72" s="17" t="s">
        <v>42</v>
      </c>
      <c r="V72" s="17" t="s">
        <v>42</v>
      </c>
      <c r="W72" s="5" t="s">
        <v>836</v>
      </c>
      <c r="X72" s="3" t="s">
        <v>42</v>
      </c>
      <c r="Y72" s="9" t="str">
        <f>HYPERLINK("http://linkedin.com/in/majed-al-issa-18652817/", "http://linkedin.com/in/majed-al-issa-18652817/")</f>
        <v>http://linkedin.com/in/majed-al-issa-18652817/</v>
      </c>
      <c r="Z72" s="3" t="s">
        <v>55</v>
      </c>
      <c r="AA72" s="3" t="s">
        <v>837</v>
      </c>
      <c r="AB72" s="3" t="s">
        <v>838</v>
      </c>
      <c r="AC72" s="3" t="s">
        <v>58</v>
      </c>
      <c r="AD72" s="3" t="s">
        <v>42</v>
      </c>
      <c r="AE72" s="5" t="s">
        <v>42</v>
      </c>
      <c r="AF72" s="3" t="s">
        <v>60</v>
      </c>
      <c r="AG72" s="5" t="s">
        <v>836</v>
      </c>
      <c r="AH72" s="3" t="s">
        <v>61</v>
      </c>
      <c r="AI72" s="3" t="s">
        <v>61</v>
      </c>
      <c r="AJ72" s="3" t="s">
        <v>42</v>
      </c>
      <c r="AK72" s="3" t="s">
        <v>42</v>
      </c>
      <c r="AL72" s="29">
        <v>45973</v>
      </c>
      <c r="AM72" s="5" t="s">
        <v>42</v>
      </c>
      <c r="AN72" s="9" t="str">
        <f>HYPERLINK("https://my.pitchbook.com?p=342622-27P", "View People Online")</f>
        <v>View People Online</v>
      </c>
    </row>
    <row r="73" spans="1:40" x14ac:dyDescent="0.2">
      <c r="A73" s="2" t="s">
        <v>839</v>
      </c>
      <c r="B73" s="2" t="s">
        <v>840</v>
      </c>
      <c r="C73" s="2" t="s">
        <v>42</v>
      </c>
      <c r="D73" s="2" t="s">
        <v>42</v>
      </c>
      <c r="E73" s="2" t="s">
        <v>839</v>
      </c>
      <c r="F73" s="2" t="s">
        <v>841</v>
      </c>
      <c r="G73" s="2" t="s">
        <v>842</v>
      </c>
      <c r="H73" s="2" t="s">
        <v>843</v>
      </c>
      <c r="I73" s="2" t="s">
        <v>46</v>
      </c>
      <c r="J73" s="2" t="s">
        <v>47</v>
      </c>
      <c r="K73" s="2" t="s">
        <v>844</v>
      </c>
      <c r="L73" s="2" t="s">
        <v>111</v>
      </c>
      <c r="M73" s="8" t="str">
        <f>HYPERLINK("http://www.bananrealestate.com", "www.bananrealestate.com")</f>
        <v>www.bananrealestate.com</v>
      </c>
      <c r="N73" s="2" t="s">
        <v>210</v>
      </c>
      <c r="O73" s="2" t="s">
        <v>42</v>
      </c>
      <c r="P73" s="2" t="s">
        <v>845</v>
      </c>
      <c r="Q73" s="2" t="s">
        <v>128</v>
      </c>
      <c r="R73" s="16" t="s">
        <v>42</v>
      </c>
      <c r="S73" s="16">
        <v>2</v>
      </c>
      <c r="T73" s="16">
        <v>1</v>
      </c>
      <c r="U73" s="16">
        <v>1</v>
      </c>
      <c r="V73" s="16" t="s">
        <v>42</v>
      </c>
      <c r="W73" s="4" t="s">
        <v>846</v>
      </c>
      <c r="X73" s="2" t="s">
        <v>847</v>
      </c>
      <c r="Y73" s="2" t="s">
        <v>42</v>
      </c>
      <c r="Z73" s="2" t="s">
        <v>55</v>
      </c>
      <c r="AA73" s="2" t="s">
        <v>848</v>
      </c>
      <c r="AB73" s="2" t="s">
        <v>849</v>
      </c>
      <c r="AC73" s="2" t="s">
        <v>58</v>
      </c>
      <c r="AD73" s="2" t="s">
        <v>42</v>
      </c>
      <c r="AE73" s="4" t="s">
        <v>42</v>
      </c>
      <c r="AF73" s="2" t="s">
        <v>60</v>
      </c>
      <c r="AG73" s="4" t="s">
        <v>850</v>
      </c>
      <c r="AH73" s="2" t="s">
        <v>61</v>
      </c>
      <c r="AI73" s="2" t="s">
        <v>61</v>
      </c>
      <c r="AJ73" s="2" t="s">
        <v>42</v>
      </c>
      <c r="AK73" s="2" t="s">
        <v>42</v>
      </c>
      <c r="AL73" s="28">
        <v>45673</v>
      </c>
      <c r="AM73" s="4" t="s">
        <v>42</v>
      </c>
      <c r="AN73" s="8" t="str">
        <f>HYPERLINK("https://my.pitchbook.com?p=326156-59P", "View People Online")</f>
        <v>View People Online</v>
      </c>
    </row>
    <row r="74" spans="1:40" x14ac:dyDescent="0.2">
      <c r="A74" s="3" t="s">
        <v>851</v>
      </c>
      <c r="B74" s="3" t="s">
        <v>852</v>
      </c>
      <c r="C74" s="3" t="s">
        <v>42</v>
      </c>
      <c r="D74" s="3" t="s">
        <v>42</v>
      </c>
      <c r="E74" s="3" t="s">
        <v>851</v>
      </c>
      <c r="F74" s="3" t="s">
        <v>853</v>
      </c>
      <c r="G74" s="3" t="s">
        <v>842</v>
      </c>
      <c r="H74" s="3" t="s">
        <v>854</v>
      </c>
      <c r="I74" s="3" t="s">
        <v>46</v>
      </c>
      <c r="J74" s="3" t="s">
        <v>47</v>
      </c>
      <c r="K74" s="3" t="s">
        <v>779</v>
      </c>
      <c r="L74" s="3" t="s">
        <v>111</v>
      </c>
      <c r="M74" s="9" t="str">
        <f>HYPERLINK("http://www.takweenai.com", "www.takweenai.com")</f>
        <v>www.takweenai.com</v>
      </c>
      <c r="N74" s="3" t="s">
        <v>210</v>
      </c>
      <c r="O74" s="3" t="s">
        <v>42</v>
      </c>
      <c r="P74" s="3" t="s">
        <v>855</v>
      </c>
      <c r="Q74" s="3" t="s">
        <v>42</v>
      </c>
      <c r="R74" s="17">
        <v>1</v>
      </c>
      <c r="S74" s="17">
        <v>2</v>
      </c>
      <c r="T74" s="17">
        <v>1</v>
      </c>
      <c r="U74" s="17" t="s">
        <v>42</v>
      </c>
      <c r="V74" s="17" t="s">
        <v>42</v>
      </c>
      <c r="W74" s="5" t="s">
        <v>781</v>
      </c>
      <c r="X74" s="3" t="s">
        <v>856</v>
      </c>
      <c r="Y74" s="9" t="str">
        <f>HYPERLINK("http://linkedin.com/in/majed-nofal-38737937/?originalsubdomain=sa", "http://linkedin.com/in/majed-nofal-38737937/?originalsubdomain=sa")</f>
        <v>http://linkedin.com/in/majed-nofal-38737937/?originalsubdomain=sa</v>
      </c>
      <c r="Z74" s="3" t="s">
        <v>782</v>
      </c>
      <c r="AA74" s="3" t="s">
        <v>783</v>
      </c>
      <c r="AB74" s="3" t="s">
        <v>784</v>
      </c>
      <c r="AC74" s="3" t="s">
        <v>785</v>
      </c>
      <c r="AD74" s="3" t="s">
        <v>786</v>
      </c>
      <c r="AE74" s="5" t="s">
        <v>599</v>
      </c>
      <c r="AF74" s="3" t="s">
        <v>60</v>
      </c>
      <c r="AG74" s="5" t="s">
        <v>787</v>
      </c>
      <c r="AH74" s="3" t="s">
        <v>61</v>
      </c>
      <c r="AI74" s="3" t="s">
        <v>61</v>
      </c>
      <c r="AJ74" s="3" t="s">
        <v>42</v>
      </c>
      <c r="AK74" s="3" t="s">
        <v>42</v>
      </c>
      <c r="AL74" s="29">
        <v>45839</v>
      </c>
      <c r="AM74" s="5">
        <v>1971</v>
      </c>
      <c r="AN74" s="9" t="str">
        <f>HYPERLINK("https://my.pitchbook.com?p=317920-78P", "View People Online")</f>
        <v>View People Online</v>
      </c>
    </row>
    <row r="75" spans="1:40" x14ac:dyDescent="0.2">
      <c r="A75" s="2" t="s">
        <v>857</v>
      </c>
      <c r="B75" s="2" t="s">
        <v>858</v>
      </c>
      <c r="C75" s="2" t="s">
        <v>42</v>
      </c>
      <c r="D75" s="2" t="s">
        <v>42</v>
      </c>
      <c r="E75" s="2" t="s">
        <v>857</v>
      </c>
      <c r="F75" s="2" t="s">
        <v>859</v>
      </c>
      <c r="G75" s="2" t="s">
        <v>284</v>
      </c>
      <c r="H75" s="2" t="s">
        <v>860</v>
      </c>
      <c r="I75" s="2" t="s">
        <v>46</v>
      </c>
      <c r="J75" s="2" t="s">
        <v>47</v>
      </c>
      <c r="K75" s="2" t="s">
        <v>861</v>
      </c>
      <c r="L75" s="2" t="s">
        <v>111</v>
      </c>
      <c r="M75" s="8" t="str">
        <f>HYPERLINK("http://www.burgerizzr.com", "www.burgerizzr.com")</f>
        <v>www.burgerizzr.com</v>
      </c>
      <c r="N75" s="2" t="s">
        <v>210</v>
      </c>
      <c r="O75" s="2" t="s">
        <v>42</v>
      </c>
      <c r="P75" s="2" t="s">
        <v>862</v>
      </c>
      <c r="Q75" s="2" t="s">
        <v>42</v>
      </c>
      <c r="R75" s="16" t="s">
        <v>42</v>
      </c>
      <c r="S75" s="16">
        <v>2</v>
      </c>
      <c r="T75" s="16">
        <v>1</v>
      </c>
      <c r="U75" s="16">
        <v>1</v>
      </c>
      <c r="V75" s="16" t="s">
        <v>42</v>
      </c>
      <c r="W75" s="4" t="s">
        <v>863</v>
      </c>
      <c r="X75" s="2" t="s">
        <v>42</v>
      </c>
      <c r="Y75" s="8" t="str">
        <f>HYPERLINK("http://linkedin.com/in/mohammed-al-kaoud-bs-finance-mba-bsp-5895493/?originalsubdomain=sa", "http://linkedin.com/in/mohammed-al-kaoud-bs-finance-mba-bsp-5895493/?originalsubdomain=sa")</f>
        <v>http://linkedin.com/in/mohammed-al-kaoud-bs-finance-mba-bsp-5895493/?originalsubdomain=sa</v>
      </c>
      <c r="Z75" s="2" t="s">
        <v>55</v>
      </c>
      <c r="AA75" s="2" t="s">
        <v>864</v>
      </c>
      <c r="AB75" s="2" t="s">
        <v>865</v>
      </c>
      <c r="AC75" s="2" t="s">
        <v>58</v>
      </c>
      <c r="AD75" s="2" t="s">
        <v>42</v>
      </c>
      <c r="AE75" s="4" t="s">
        <v>866</v>
      </c>
      <c r="AF75" s="2" t="s">
        <v>60</v>
      </c>
      <c r="AG75" s="4" t="s">
        <v>867</v>
      </c>
      <c r="AH75" s="2" t="s">
        <v>61</v>
      </c>
      <c r="AI75" s="2" t="s">
        <v>61</v>
      </c>
      <c r="AJ75" s="2" t="s">
        <v>42</v>
      </c>
      <c r="AK75" s="2" t="s">
        <v>42</v>
      </c>
      <c r="AL75" s="28">
        <v>45903</v>
      </c>
      <c r="AM75" s="4" t="s">
        <v>42</v>
      </c>
      <c r="AN75" s="8" t="str">
        <f>HYPERLINK("https://my.pitchbook.com?p=326218-78P", "View People Online")</f>
        <v>View People Online</v>
      </c>
    </row>
    <row r="76" spans="1:40" x14ac:dyDescent="0.2">
      <c r="A76" s="3" t="s">
        <v>868</v>
      </c>
      <c r="B76" s="3" t="s">
        <v>869</v>
      </c>
      <c r="C76" s="3" t="s">
        <v>42</v>
      </c>
      <c r="D76" s="3" t="s">
        <v>42</v>
      </c>
      <c r="E76" s="3" t="s">
        <v>868</v>
      </c>
      <c r="F76" s="3" t="s">
        <v>870</v>
      </c>
      <c r="G76" s="3" t="s">
        <v>284</v>
      </c>
      <c r="H76" s="3" t="s">
        <v>42</v>
      </c>
      <c r="I76" s="3" t="s">
        <v>46</v>
      </c>
      <c r="J76" s="3" t="s">
        <v>47</v>
      </c>
      <c r="K76" s="3" t="s">
        <v>871</v>
      </c>
      <c r="L76" s="3" t="s">
        <v>872</v>
      </c>
      <c r="M76" s="9" t="str">
        <f>HYPERLINK("http://www.ewkp.net", "www.ewkp.net")</f>
        <v>www.ewkp.net</v>
      </c>
      <c r="N76" s="3" t="s">
        <v>873</v>
      </c>
      <c r="O76" s="3" t="s">
        <v>42</v>
      </c>
      <c r="P76" s="3" t="s">
        <v>874</v>
      </c>
      <c r="Q76" s="3" t="s">
        <v>42</v>
      </c>
      <c r="R76" s="17">
        <v>1</v>
      </c>
      <c r="S76" s="17">
        <v>2</v>
      </c>
      <c r="T76" s="17">
        <v>1</v>
      </c>
      <c r="U76" s="17" t="s">
        <v>42</v>
      </c>
      <c r="V76" s="17" t="s">
        <v>42</v>
      </c>
      <c r="W76" s="5" t="s">
        <v>875</v>
      </c>
      <c r="X76" s="3" t="s">
        <v>876</v>
      </c>
      <c r="Y76" s="9" t="str">
        <f>HYPERLINK("http://linkedin.com/in/mohammedmoumena/", "http://linkedin.com/in/mohammedmoumena/")</f>
        <v>http://linkedin.com/in/mohammedmoumena/</v>
      </c>
      <c r="Z76" s="3" t="s">
        <v>174</v>
      </c>
      <c r="AA76" s="3" t="s">
        <v>877</v>
      </c>
      <c r="AB76" s="3" t="s">
        <v>878</v>
      </c>
      <c r="AC76" s="3" t="s">
        <v>176</v>
      </c>
      <c r="AD76" s="3" t="s">
        <v>42</v>
      </c>
      <c r="AE76" s="5" t="s">
        <v>879</v>
      </c>
      <c r="AF76" s="3" t="s">
        <v>60</v>
      </c>
      <c r="AG76" s="5" t="s">
        <v>880</v>
      </c>
      <c r="AH76" s="3" t="s">
        <v>61</v>
      </c>
      <c r="AI76" s="3" t="s">
        <v>61</v>
      </c>
      <c r="AJ76" s="3" t="s">
        <v>42</v>
      </c>
      <c r="AK76" s="3" t="s">
        <v>42</v>
      </c>
      <c r="AL76" s="29">
        <v>45838</v>
      </c>
      <c r="AM76" s="5">
        <v>1974</v>
      </c>
      <c r="AN76" s="9" t="str">
        <f>HYPERLINK("https://my.pitchbook.com?p=33621-76P", "View People Online")</f>
        <v>View People Online</v>
      </c>
    </row>
    <row r="77" spans="1:40" x14ac:dyDescent="0.2">
      <c r="A77" s="2" t="s">
        <v>881</v>
      </c>
      <c r="B77" s="2" t="s">
        <v>882</v>
      </c>
      <c r="C77" s="2" t="s">
        <v>42</v>
      </c>
      <c r="D77" s="2" t="s">
        <v>42</v>
      </c>
      <c r="E77" s="2" t="s">
        <v>881</v>
      </c>
      <c r="F77" s="2" t="s">
        <v>883</v>
      </c>
      <c r="G77" s="2" t="s">
        <v>884</v>
      </c>
      <c r="H77" s="2" t="s">
        <v>885</v>
      </c>
      <c r="I77" s="2" t="s">
        <v>46</v>
      </c>
      <c r="J77" s="2" t="s">
        <v>47</v>
      </c>
      <c r="K77" s="2" t="s">
        <v>886</v>
      </c>
      <c r="L77" s="2" t="s">
        <v>97</v>
      </c>
      <c r="M77" s="8" t="str">
        <f>HYPERLINK("http://www.mefic.com.sa", "www.mefic.com.sa")</f>
        <v>www.mefic.com.sa</v>
      </c>
      <c r="N77" s="2" t="s">
        <v>370</v>
      </c>
      <c r="O77" s="2" t="s">
        <v>42</v>
      </c>
      <c r="P77" s="2" t="s">
        <v>887</v>
      </c>
      <c r="Q77" s="2" t="s">
        <v>42</v>
      </c>
      <c r="R77" s="16" t="s">
        <v>42</v>
      </c>
      <c r="S77" s="16">
        <v>2</v>
      </c>
      <c r="T77" s="16">
        <v>1</v>
      </c>
      <c r="U77" s="16" t="s">
        <v>42</v>
      </c>
      <c r="V77" s="16">
        <v>1</v>
      </c>
      <c r="W77" s="4" t="s">
        <v>888</v>
      </c>
      <c r="X77" s="2" t="s">
        <v>889</v>
      </c>
      <c r="Y77" s="8" t="str">
        <f>HYPERLINK("http://linkedin.com/in/mojeeb/", "http://linkedin.com/in/mojeeb/")</f>
        <v>http://linkedin.com/in/mojeeb/</v>
      </c>
      <c r="Z77" s="2" t="s">
        <v>55</v>
      </c>
      <c r="AA77" s="2" t="s">
        <v>890</v>
      </c>
      <c r="AB77" s="2" t="s">
        <v>891</v>
      </c>
      <c r="AC77" s="2" t="s">
        <v>58</v>
      </c>
      <c r="AD77" s="2" t="s">
        <v>42</v>
      </c>
      <c r="AE77" s="4" t="s">
        <v>892</v>
      </c>
      <c r="AF77" s="2" t="s">
        <v>60</v>
      </c>
      <c r="AG77" s="4" t="s">
        <v>893</v>
      </c>
      <c r="AH77" s="2" t="s">
        <v>61</v>
      </c>
      <c r="AI77" s="2" t="s">
        <v>61</v>
      </c>
      <c r="AJ77" s="2" t="s">
        <v>42</v>
      </c>
      <c r="AK77" s="2" t="s">
        <v>42</v>
      </c>
      <c r="AL77" s="28">
        <v>45999</v>
      </c>
      <c r="AM77" s="4" t="s">
        <v>42</v>
      </c>
      <c r="AN77" s="8" t="str">
        <f>HYPERLINK("https://my.pitchbook.com?p=443718-10P", "View People Online")</f>
        <v>View People Online</v>
      </c>
    </row>
    <row r="78" spans="1:40" x14ac:dyDescent="0.2">
      <c r="A78" s="3" t="s">
        <v>894</v>
      </c>
      <c r="B78" s="3" t="s">
        <v>895</v>
      </c>
      <c r="C78" s="3" t="s">
        <v>42</v>
      </c>
      <c r="D78" s="3" t="s">
        <v>42</v>
      </c>
      <c r="E78" s="3" t="s">
        <v>894</v>
      </c>
      <c r="F78" s="3" t="s">
        <v>896</v>
      </c>
      <c r="G78" s="3" t="s">
        <v>897</v>
      </c>
      <c r="H78" s="3" t="s">
        <v>898</v>
      </c>
      <c r="I78" s="3" t="s">
        <v>46</v>
      </c>
      <c r="J78" s="3" t="s">
        <v>47</v>
      </c>
      <c r="K78" s="3" t="s">
        <v>899</v>
      </c>
      <c r="L78" s="3" t="s">
        <v>111</v>
      </c>
      <c r="M78" s="9" t="str">
        <f>HYPERLINK("http://www.amwaj-trd.com", "www.amwaj-trd.com")</f>
        <v>www.amwaj-trd.com</v>
      </c>
      <c r="N78" s="3" t="s">
        <v>900</v>
      </c>
      <c r="O78" s="3" t="s">
        <v>42</v>
      </c>
      <c r="P78" s="3" t="s">
        <v>901</v>
      </c>
      <c r="Q78" s="3" t="s">
        <v>42</v>
      </c>
      <c r="R78" s="17">
        <v>1</v>
      </c>
      <c r="S78" s="17">
        <v>2</v>
      </c>
      <c r="T78" s="17">
        <v>1</v>
      </c>
      <c r="U78" s="17">
        <v>1</v>
      </c>
      <c r="V78" s="17" t="s">
        <v>42</v>
      </c>
      <c r="W78" s="5" t="s">
        <v>902</v>
      </c>
      <c r="X78" s="3" t="s">
        <v>903</v>
      </c>
      <c r="Y78" s="9" t="str">
        <f>HYPERLINK("http://linkedin.com/in/namir-el-akabi-56380124b/?originalsubdomain=iq", "http://linkedin.com/in/namir-el-akabi-56380124b/?originalsubdomain=iq")</f>
        <v>http://linkedin.com/in/namir-el-akabi-56380124b/?originalsubdomain=iq</v>
      </c>
      <c r="Z78" s="3" t="s">
        <v>55</v>
      </c>
      <c r="AA78" s="3" t="s">
        <v>904</v>
      </c>
      <c r="AB78" s="3" t="s">
        <v>905</v>
      </c>
      <c r="AC78" s="3" t="s">
        <v>58</v>
      </c>
      <c r="AD78" s="3" t="s">
        <v>42</v>
      </c>
      <c r="AE78" s="5" t="s">
        <v>618</v>
      </c>
      <c r="AF78" s="3" t="s">
        <v>60</v>
      </c>
      <c r="AG78" s="5" t="s">
        <v>906</v>
      </c>
      <c r="AH78" s="3" t="s">
        <v>61</v>
      </c>
      <c r="AI78" s="3" t="s">
        <v>61</v>
      </c>
      <c r="AJ78" s="3" t="s">
        <v>42</v>
      </c>
      <c r="AK78" s="3" t="s">
        <v>907</v>
      </c>
      <c r="AL78" s="29">
        <v>46052</v>
      </c>
      <c r="AM78" s="5" t="s">
        <v>42</v>
      </c>
      <c r="AN78" s="9" t="str">
        <f>HYPERLINK("https://my.pitchbook.com?p=443456-20P", "View People Online")</f>
        <v>View People Online</v>
      </c>
    </row>
    <row r="79" spans="1:40" x14ac:dyDescent="0.2">
      <c r="A79" s="2" t="s">
        <v>908</v>
      </c>
      <c r="B79" s="2" t="s">
        <v>909</v>
      </c>
      <c r="C79" s="2" t="s">
        <v>42</v>
      </c>
      <c r="D79" s="2" t="s">
        <v>42</v>
      </c>
      <c r="E79" s="2" t="s">
        <v>908</v>
      </c>
      <c r="F79" s="2" t="s">
        <v>910</v>
      </c>
      <c r="G79" s="2" t="s">
        <v>911</v>
      </c>
      <c r="H79" s="2" t="s">
        <v>912</v>
      </c>
      <c r="I79" s="2" t="s">
        <v>46</v>
      </c>
      <c r="J79" s="2" t="s">
        <v>47</v>
      </c>
      <c r="K79" s="2" t="s">
        <v>913</v>
      </c>
      <c r="L79" s="2" t="s">
        <v>111</v>
      </c>
      <c r="M79" s="8" t="str">
        <f>HYPERLINK("http://www.der3.com", "www.der3.com")</f>
        <v>www.der3.com</v>
      </c>
      <c r="N79" s="2" t="s">
        <v>246</v>
      </c>
      <c r="O79" s="2" t="s">
        <v>42</v>
      </c>
      <c r="P79" s="2" t="s">
        <v>914</v>
      </c>
      <c r="Q79" s="2" t="s">
        <v>128</v>
      </c>
      <c r="R79" s="16">
        <v>1</v>
      </c>
      <c r="S79" s="16">
        <v>2</v>
      </c>
      <c r="T79" s="16" t="s">
        <v>42</v>
      </c>
      <c r="U79" s="16">
        <v>1</v>
      </c>
      <c r="V79" s="16" t="s">
        <v>42</v>
      </c>
      <c r="W79" s="4" t="s">
        <v>915</v>
      </c>
      <c r="X79" s="2" t="s">
        <v>42</v>
      </c>
      <c r="Y79" s="2" t="s">
        <v>42</v>
      </c>
      <c r="Z79" s="2" t="s">
        <v>55</v>
      </c>
      <c r="AA79" s="2" t="s">
        <v>916</v>
      </c>
      <c r="AB79" s="2" t="s">
        <v>917</v>
      </c>
      <c r="AC79" s="2" t="s">
        <v>58</v>
      </c>
      <c r="AD79" s="2" t="s">
        <v>42</v>
      </c>
      <c r="AE79" s="4" t="s">
        <v>918</v>
      </c>
      <c r="AF79" s="2" t="s">
        <v>60</v>
      </c>
      <c r="AG79" s="4" t="s">
        <v>919</v>
      </c>
      <c r="AH79" s="2" t="s">
        <v>61</v>
      </c>
      <c r="AI79" s="2" t="s">
        <v>61</v>
      </c>
      <c r="AJ79" s="2" t="s">
        <v>42</v>
      </c>
      <c r="AK79" s="2" t="s">
        <v>42</v>
      </c>
      <c r="AL79" s="28">
        <v>45635</v>
      </c>
      <c r="AM79" s="4" t="s">
        <v>42</v>
      </c>
      <c r="AN79" s="8" t="str">
        <f>HYPERLINK("https://my.pitchbook.com?p=287876-62P", "View People Online")</f>
        <v>View People Online</v>
      </c>
    </row>
    <row r="80" spans="1:40" x14ac:dyDescent="0.2">
      <c r="A80" s="3" t="s">
        <v>920</v>
      </c>
      <c r="B80" s="3" t="s">
        <v>921</v>
      </c>
      <c r="C80" s="3" t="s">
        <v>42</v>
      </c>
      <c r="D80" s="3" t="s">
        <v>42</v>
      </c>
      <c r="E80" s="3" t="s">
        <v>920</v>
      </c>
      <c r="F80" s="3" t="s">
        <v>922</v>
      </c>
      <c r="G80" s="3" t="s">
        <v>923</v>
      </c>
      <c r="H80" s="3" t="s">
        <v>42</v>
      </c>
      <c r="I80" s="3" t="s">
        <v>46</v>
      </c>
      <c r="J80" s="3" t="s">
        <v>47</v>
      </c>
      <c r="K80" s="3" t="s">
        <v>924</v>
      </c>
      <c r="L80" s="3" t="s">
        <v>111</v>
      </c>
      <c r="M80" s="9" t="str">
        <f>HYPERLINK("http://www.sadafco.com", "www.sadafco.com")</f>
        <v>www.sadafco.com</v>
      </c>
      <c r="N80" s="3" t="s">
        <v>210</v>
      </c>
      <c r="O80" s="3" t="s">
        <v>42</v>
      </c>
      <c r="P80" s="3" t="s">
        <v>925</v>
      </c>
      <c r="Q80" s="3" t="s">
        <v>926</v>
      </c>
      <c r="R80" s="17">
        <v>1</v>
      </c>
      <c r="S80" s="17">
        <v>2</v>
      </c>
      <c r="T80" s="17">
        <v>2</v>
      </c>
      <c r="U80" s="17" t="s">
        <v>42</v>
      </c>
      <c r="V80" s="17" t="s">
        <v>42</v>
      </c>
      <c r="W80" s="5" t="s">
        <v>42</v>
      </c>
      <c r="X80" s="3" t="s">
        <v>927</v>
      </c>
      <c r="Y80" s="9" t="str">
        <f>HYPERLINK("http://linkedin.com/in/patrick-stillhart-29b3609/", "http://linkedin.com/in/patrick-stillhart-29b3609/")</f>
        <v>http://linkedin.com/in/patrick-stillhart-29b3609/</v>
      </c>
      <c r="Z80" s="3" t="s">
        <v>174</v>
      </c>
      <c r="AA80" s="3" t="s">
        <v>928</v>
      </c>
      <c r="AB80" s="3" t="s">
        <v>929</v>
      </c>
      <c r="AC80" s="3" t="s">
        <v>176</v>
      </c>
      <c r="AD80" s="3" t="s">
        <v>930</v>
      </c>
      <c r="AE80" s="5" t="s">
        <v>879</v>
      </c>
      <c r="AF80" s="3" t="s">
        <v>60</v>
      </c>
      <c r="AG80" s="5" t="s">
        <v>42</v>
      </c>
      <c r="AH80" s="3" t="s">
        <v>61</v>
      </c>
      <c r="AI80" s="3" t="s">
        <v>61</v>
      </c>
      <c r="AJ80" s="3" t="s">
        <v>42</v>
      </c>
      <c r="AK80" s="3" t="s">
        <v>42</v>
      </c>
      <c r="AL80" s="29">
        <v>45838</v>
      </c>
      <c r="AM80" s="5">
        <v>1974</v>
      </c>
      <c r="AN80" s="9" t="str">
        <f>HYPERLINK("https://my.pitchbook.com?p=295038-01P", "View People Online")</f>
        <v>View People Online</v>
      </c>
    </row>
    <row r="81" spans="1:40" x14ac:dyDescent="0.2">
      <c r="A81" s="2" t="s">
        <v>931</v>
      </c>
      <c r="B81" s="2" t="s">
        <v>932</v>
      </c>
      <c r="C81" s="2" t="s">
        <v>42</v>
      </c>
      <c r="D81" s="2" t="s">
        <v>42</v>
      </c>
      <c r="E81" s="2" t="s">
        <v>931</v>
      </c>
      <c r="F81" s="2" t="s">
        <v>933</v>
      </c>
      <c r="G81" s="2" t="s">
        <v>934</v>
      </c>
      <c r="H81" s="2" t="s">
        <v>109</v>
      </c>
      <c r="I81" s="2" t="s">
        <v>46</v>
      </c>
      <c r="J81" s="2" t="s">
        <v>47</v>
      </c>
      <c r="K81" s="2" t="s">
        <v>935</v>
      </c>
      <c r="L81" s="2" t="s">
        <v>111</v>
      </c>
      <c r="M81" s="8" t="str">
        <f>HYPERLINK("http://www.saudiags.com", "www.saudiags.com")</f>
        <v>www.saudiags.com</v>
      </c>
      <c r="N81" s="2" t="s">
        <v>210</v>
      </c>
      <c r="O81" s="2" t="s">
        <v>42</v>
      </c>
      <c r="P81" s="2" t="s">
        <v>936</v>
      </c>
      <c r="Q81" s="2" t="s">
        <v>42</v>
      </c>
      <c r="R81" s="16">
        <v>1</v>
      </c>
      <c r="S81" s="16">
        <v>2</v>
      </c>
      <c r="T81" s="16">
        <v>1</v>
      </c>
      <c r="U81" s="16" t="s">
        <v>42</v>
      </c>
      <c r="V81" s="16" t="s">
        <v>42</v>
      </c>
      <c r="W81" s="4" t="s">
        <v>937</v>
      </c>
      <c r="X81" s="2" t="s">
        <v>938</v>
      </c>
      <c r="Y81" s="8" t="str">
        <f>HYPERLINK("http://linkedin.com/in/raed-al-idrissi-3444261a7/", "http://linkedin.com/in/raed-al-idrissi-3444261a7/")</f>
        <v>http://linkedin.com/in/raed-al-idrissi-3444261a7/</v>
      </c>
      <c r="Z81" s="2" t="s">
        <v>174</v>
      </c>
      <c r="AA81" s="2" t="s">
        <v>939</v>
      </c>
      <c r="AB81" s="2" t="s">
        <v>940</v>
      </c>
      <c r="AC81" s="2" t="s">
        <v>176</v>
      </c>
      <c r="AD81" s="2" t="s">
        <v>42</v>
      </c>
      <c r="AE81" s="4" t="s">
        <v>433</v>
      </c>
      <c r="AF81" s="2" t="s">
        <v>60</v>
      </c>
      <c r="AG81" s="4" t="s">
        <v>941</v>
      </c>
      <c r="AH81" s="2" t="s">
        <v>61</v>
      </c>
      <c r="AI81" s="2" t="s">
        <v>61</v>
      </c>
      <c r="AJ81" s="2" t="s">
        <v>42</v>
      </c>
      <c r="AK81" s="2" t="s">
        <v>42</v>
      </c>
      <c r="AL81" s="28">
        <v>45838</v>
      </c>
      <c r="AM81" s="4">
        <v>1976</v>
      </c>
      <c r="AN81" s="8" t="str">
        <f>HYPERLINK("https://my.pitchbook.com?p=331402-33P", "View People Online")</f>
        <v>View People Online</v>
      </c>
    </row>
    <row r="82" spans="1:40" x14ac:dyDescent="0.2">
      <c r="A82" s="3" t="s">
        <v>942</v>
      </c>
      <c r="B82" s="3" t="s">
        <v>943</v>
      </c>
      <c r="C82" s="3" t="s">
        <v>42</v>
      </c>
      <c r="D82" s="3" t="s">
        <v>42</v>
      </c>
      <c r="E82" s="3" t="s">
        <v>942</v>
      </c>
      <c r="F82" s="3" t="s">
        <v>944</v>
      </c>
      <c r="G82" s="3" t="s">
        <v>945</v>
      </c>
      <c r="H82" s="3" t="s">
        <v>946</v>
      </c>
      <c r="I82" s="3" t="s">
        <v>799</v>
      </c>
      <c r="J82" s="3" t="s">
        <v>800</v>
      </c>
      <c r="K82" s="3" t="s">
        <v>687</v>
      </c>
      <c r="L82" s="3" t="s">
        <v>111</v>
      </c>
      <c r="M82" s="9" t="str">
        <f>HYPERLINK("http://tawuniya.com", "tawuniya.com")</f>
        <v>tawuniya.com</v>
      </c>
      <c r="N82" s="3" t="s">
        <v>370</v>
      </c>
      <c r="O82" s="3" t="s">
        <v>42</v>
      </c>
      <c r="P82" s="3" t="s">
        <v>947</v>
      </c>
      <c r="Q82" s="3" t="s">
        <v>948</v>
      </c>
      <c r="R82" s="17">
        <v>1</v>
      </c>
      <c r="S82" s="17">
        <v>2</v>
      </c>
      <c r="T82" s="17">
        <v>1</v>
      </c>
      <c r="U82" s="17" t="s">
        <v>42</v>
      </c>
      <c r="V82" s="17" t="s">
        <v>42</v>
      </c>
      <c r="W82" s="5" t="s">
        <v>690</v>
      </c>
      <c r="X82" s="3" t="s">
        <v>42</v>
      </c>
      <c r="Y82" s="9" t="str">
        <f>HYPERLINK("http://linkedin.com/in/raniaa/", "http://linkedin.com/in/raniaa/")</f>
        <v>http://linkedin.com/in/raniaa/</v>
      </c>
      <c r="Z82" s="3" t="s">
        <v>55</v>
      </c>
      <c r="AA82" s="3" t="s">
        <v>691</v>
      </c>
      <c r="AB82" s="3" t="s">
        <v>692</v>
      </c>
      <c r="AC82" s="3" t="s">
        <v>58</v>
      </c>
      <c r="AD82" s="3" t="s">
        <v>42</v>
      </c>
      <c r="AE82" s="5" t="s">
        <v>693</v>
      </c>
      <c r="AF82" s="3" t="s">
        <v>60</v>
      </c>
      <c r="AG82" s="5" t="s">
        <v>694</v>
      </c>
      <c r="AH82" s="3" t="s">
        <v>61</v>
      </c>
      <c r="AI82" s="3" t="s">
        <v>61</v>
      </c>
      <c r="AJ82" s="3" t="s">
        <v>42</v>
      </c>
      <c r="AK82" s="3" t="s">
        <v>42</v>
      </c>
      <c r="AL82" s="29">
        <v>46054</v>
      </c>
      <c r="AM82" s="5" t="s">
        <v>42</v>
      </c>
      <c r="AN82" s="9" t="str">
        <f>HYPERLINK("https://my.pitchbook.com?p=395386-21P", "View People Online")</f>
        <v>View People Online</v>
      </c>
    </row>
    <row r="83" spans="1:40" x14ac:dyDescent="0.2">
      <c r="A83" s="2" t="s">
        <v>949</v>
      </c>
      <c r="B83" s="2" t="s">
        <v>950</v>
      </c>
      <c r="C83" s="2" t="s">
        <v>42</v>
      </c>
      <c r="D83" s="2" t="s">
        <v>42</v>
      </c>
      <c r="E83" s="2" t="s">
        <v>949</v>
      </c>
      <c r="F83" s="2" t="s">
        <v>612</v>
      </c>
      <c r="G83" s="2" t="s">
        <v>467</v>
      </c>
      <c r="H83" s="2" t="s">
        <v>951</v>
      </c>
      <c r="I83" s="2" t="s">
        <v>46</v>
      </c>
      <c r="J83" s="2" t="s">
        <v>47</v>
      </c>
      <c r="K83" s="2" t="s">
        <v>613</v>
      </c>
      <c r="L83" s="2" t="s">
        <v>111</v>
      </c>
      <c r="M83" s="8" t="str">
        <f>HYPERLINK("http://www.sa.zain.com", "www.sa.zain.com")</f>
        <v>www.sa.zain.com</v>
      </c>
      <c r="N83" s="2" t="s">
        <v>210</v>
      </c>
      <c r="O83" s="2" t="s">
        <v>42</v>
      </c>
      <c r="P83" s="2" t="s">
        <v>952</v>
      </c>
      <c r="Q83" s="2" t="s">
        <v>42</v>
      </c>
      <c r="R83" s="16" t="s">
        <v>42</v>
      </c>
      <c r="S83" s="16">
        <v>2</v>
      </c>
      <c r="T83" s="16">
        <v>1</v>
      </c>
      <c r="U83" s="16">
        <v>1</v>
      </c>
      <c r="V83" s="16" t="s">
        <v>42</v>
      </c>
      <c r="W83" s="4" t="s">
        <v>615</v>
      </c>
      <c r="X83" s="2" t="s">
        <v>953</v>
      </c>
      <c r="Y83" s="2" t="s">
        <v>42</v>
      </c>
      <c r="Z83" s="2" t="s">
        <v>55</v>
      </c>
      <c r="AA83" s="2" t="s">
        <v>616</v>
      </c>
      <c r="AB83" s="2" t="s">
        <v>617</v>
      </c>
      <c r="AC83" s="2" t="s">
        <v>58</v>
      </c>
      <c r="AD83" s="2" t="s">
        <v>42</v>
      </c>
      <c r="AE83" s="4" t="s">
        <v>618</v>
      </c>
      <c r="AF83" s="2" t="s">
        <v>60</v>
      </c>
      <c r="AG83" s="4" t="s">
        <v>42</v>
      </c>
      <c r="AH83" s="2" t="s">
        <v>61</v>
      </c>
      <c r="AI83" s="2" t="s">
        <v>61</v>
      </c>
      <c r="AJ83" s="2" t="s">
        <v>42</v>
      </c>
      <c r="AK83" s="2" t="s">
        <v>42</v>
      </c>
      <c r="AL83" s="28">
        <v>45842</v>
      </c>
      <c r="AM83" s="4" t="s">
        <v>42</v>
      </c>
      <c r="AN83" s="8" t="str">
        <f>HYPERLINK("https://my.pitchbook.com?p=342067-33P", "View People Online")</f>
        <v>View People Online</v>
      </c>
    </row>
    <row r="84" spans="1:40" x14ac:dyDescent="0.2">
      <c r="A84" s="3" t="s">
        <v>954</v>
      </c>
      <c r="B84" s="3" t="s">
        <v>955</v>
      </c>
      <c r="C84" s="3" t="s">
        <v>42</v>
      </c>
      <c r="D84" s="3" t="s">
        <v>42</v>
      </c>
      <c r="E84" s="3" t="s">
        <v>954</v>
      </c>
      <c r="F84" s="3" t="s">
        <v>956</v>
      </c>
      <c r="G84" s="3" t="s">
        <v>957</v>
      </c>
      <c r="H84" s="3" t="s">
        <v>958</v>
      </c>
      <c r="I84" s="3" t="s">
        <v>46</v>
      </c>
      <c r="J84" s="3" t="s">
        <v>47</v>
      </c>
      <c r="K84" s="3" t="s">
        <v>959</v>
      </c>
      <c r="L84" s="3" t="s">
        <v>111</v>
      </c>
      <c r="M84" s="9" t="str">
        <f>HYPERLINK("http://www.aig.sa", "www.aig.sa")</f>
        <v>www.aig.sa</v>
      </c>
      <c r="N84" s="3" t="s">
        <v>69</v>
      </c>
      <c r="O84" s="3" t="s">
        <v>42</v>
      </c>
      <c r="P84" s="3" t="s">
        <v>960</v>
      </c>
      <c r="Q84" s="3" t="s">
        <v>42</v>
      </c>
      <c r="R84" s="17">
        <v>2</v>
      </c>
      <c r="S84" s="17">
        <v>2</v>
      </c>
      <c r="T84" s="17">
        <v>2</v>
      </c>
      <c r="U84" s="17" t="s">
        <v>42</v>
      </c>
      <c r="V84" s="17" t="s">
        <v>42</v>
      </c>
      <c r="W84" s="5" t="s">
        <v>961</v>
      </c>
      <c r="X84" s="3" t="s">
        <v>42</v>
      </c>
      <c r="Y84" s="3" t="s">
        <v>42</v>
      </c>
      <c r="Z84" s="3" t="s">
        <v>55</v>
      </c>
      <c r="AA84" s="3" t="s">
        <v>962</v>
      </c>
      <c r="AB84" s="3" t="s">
        <v>42</v>
      </c>
      <c r="AC84" s="3" t="s">
        <v>58</v>
      </c>
      <c r="AD84" s="3" t="s">
        <v>42</v>
      </c>
      <c r="AE84" s="5" t="s">
        <v>963</v>
      </c>
      <c r="AF84" s="3" t="s">
        <v>60</v>
      </c>
      <c r="AG84" s="5" t="s">
        <v>964</v>
      </c>
      <c r="AH84" s="3" t="s">
        <v>61</v>
      </c>
      <c r="AI84" s="3" t="s">
        <v>61</v>
      </c>
      <c r="AJ84" s="3" t="s">
        <v>42</v>
      </c>
      <c r="AK84" s="3" t="s">
        <v>42</v>
      </c>
      <c r="AL84" s="29">
        <v>45868</v>
      </c>
      <c r="AM84" s="5" t="s">
        <v>42</v>
      </c>
      <c r="AN84" s="9" t="str">
        <f>HYPERLINK("https://my.pitchbook.com?p=193792-33P", "View People Online")</f>
        <v>View People Online</v>
      </c>
    </row>
    <row r="85" spans="1:40" x14ac:dyDescent="0.2">
      <c r="A85" s="2" t="s">
        <v>965</v>
      </c>
      <c r="B85" s="2" t="s">
        <v>966</v>
      </c>
      <c r="C85" s="2" t="s">
        <v>42</v>
      </c>
      <c r="D85" s="2" t="s">
        <v>42</v>
      </c>
      <c r="E85" s="2" t="s">
        <v>965</v>
      </c>
      <c r="F85" s="2" t="s">
        <v>967</v>
      </c>
      <c r="G85" s="2" t="s">
        <v>968</v>
      </c>
      <c r="H85" s="2" t="s">
        <v>284</v>
      </c>
      <c r="I85" s="2" t="s">
        <v>46</v>
      </c>
      <c r="J85" s="2" t="s">
        <v>47</v>
      </c>
      <c r="K85" s="2" t="s">
        <v>969</v>
      </c>
      <c r="L85" s="2" t="s">
        <v>111</v>
      </c>
      <c r="M85" s="8" t="str">
        <f>HYPERLINK("http://www.jabalomar.com.sa", "www.jabalomar.com.sa")</f>
        <v>www.jabalomar.com.sa</v>
      </c>
      <c r="N85" s="2" t="s">
        <v>69</v>
      </c>
      <c r="O85" s="2" t="s">
        <v>42</v>
      </c>
      <c r="P85" s="2" t="s">
        <v>970</v>
      </c>
      <c r="Q85" s="2" t="s">
        <v>42</v>
      </c>
      <c r="R85" s="16">
        <v>2</v>
      </c>
      <c r="S85" s="16">
        <v>2</v>
      </c>
      <c r="T85" s="16" t="s">
        <v>42</v>
      </c>
      <c r="U85" s="16" t="s">
        <v>42</v>
      </c>
      <c r="V85" s="16" t="s">
        <v>42</v>
      </c>
      <c r="W85" s="4" t="s">
        <v>971</v>
      </c>
      <c r="X85" s="2" t="s">
        <v>972</v>
      </c>
      <c r="Y85" s="8" t="str">
        <f>HYPERLINK("http://linkedin.com/in/saeed-alghamdi-270050190?originalsubdomain=sa", "http://linkedin.com/in/saeed-alghamdi-270050190?originalsubdomain=sa")</f>
        <v>http://linkedin.com/in/saeed-alghamdi-270050190?originalsubdomain=sa</v>
      </c>
      <c r="Z85" s="2" t="s">
        <v>174</v>
      </c>
      <c r="AA85" s="2" t="s">
        <v>973</v>
      </c>
      <c r="AB85" s="2" t="s">
        <v>974</v>
      </c>
      <c r="AC85" s="2" t="s">
        <v>176</v>
      </c>
      <c r="AD85" s="2" t="s">
        <v>42</v>
      </c>
      <c r="AE85" s="4" t="s">
        <v>42</v>
      </c>
      <c r="AF85" s="2" t="s">
        <v>60</v>
      </c>
      <c r="AG85" s="4" t="s">
        <v>42</v>
      </c>
      <c r="AH85" s="2" t="s">
        <v>61</v>
      </c>
      <c r="AI85" s="2" t="s">
        <v>61</v>
      </c>
      <c r="AJ85" s="2" t="s">
        <v>42</v>
      </c>
      <c r="AK85" s="2" t="s">
        <v>42</v>
      </c>
      <c r="AL85" s="28">
        <v>45992</v>
      </c>
      <c r="AM85" s="4">
        <v>1991</v>
      </c>
      <c r="AN85" s="8" t="str">
        <f>HYPERLINK("https://my.pitchbook.com?p=273862-18P", "View People Online")</f>
        <v>View People Online</v>
      </c>
    </row>
    <row r="86" spans="1:40" x14ac:dyDescent="0.2">
      <c r="A86" s="3" t="s">
        <v>975</v>
      </c>
      <c r="B86" s="3" t="s">
        <v>976</v>
      </c>
      <c r="C86" s="3" t="s">
        <v>42</v>
      </c>
      <c r="D86" s="3" t="s">
        <v>42</v>
      </c>
      <c r="E86" s="3" t="s">
        <v>975</v>
      </c>
      <c r="F86" s="3" t="s">
        <v>977</v>
      </c>
      <c r="G86" s="3" t="s">
        <v>978</v>
      </c>
      <c r="H86" s="3" t="s">
        <v>42</v>
      </c>
      <c r="I86" s="3" t="s">
        <v>46</v>
      </c>
      <c r="J86" s="3" t="s">
        <v>47</v>
      </c>
      <c r="K86" s="3" t="s">
        <v>169</v>
      </c>
      <c r="L86" s="3" t="s">
        <v>81</v>
      </c>
      <c r="M86" s="9" t="str">
        <f>HYPERLINK("http://www.alkhabeer.com", "www.alkhabeer.com")</f>
        <v>www.alkhabeer.com</v>
      </c>
      <c r="N86" s="3" t="s">
        <v>979</v>
      </c>
      <c r="O86" s="3" t="s">
        <v>42</v>
      </c>
      <c r="P86" s="3" t="s">
        <v>980</v>
      </c>
      <c r="Q86" s="3" t="s">
        <v>981</v>
      </c>
      <c r="R86" s="17">
        <v>1</v>
      </c>
      <c r="S86" s="17">
        <v>2</v>
      </c>
      <c r="T86" s="17">
        <v>1</v>
      </c>
      <c r="U86" s="17" t="s">
        <v>42</v>
      </c>
      <c r="V86" s="17" t="s">
        <v>42</v>
      </c>
      <c r="W86" s="5" t="s">
        <v>172</v>
      </c>
      <c r="X86" s="3" t="s">
        <v>42</v>
      </c>
      <c r="Y86" s="9" t="str">
        <f>HYPERLINK("http://linkedin.com/in/saeidbinzagr/", "http://linkedin.com/in/saeidbinzagr/")</f>
        <v>http://linkedin.com/in/saeidbinzagr/</v>
      </c>
      <c r="Z86" s="3" t="s">
        <v>174</v>
      </c>
      <c r="AA86" s="3" t="s">
        <v>175</v>
      </c>
      <c r="AB86" s="3" t="s">
        <v>42</v>
      </c>
      <c r="AC86" s="3" t="s">
        <v>176</v>
      </c>
      <c r="AD86" s="3" t="s">
        <v>42</v>
      </c>
      <c r="AE86" s="5" t="s">
        <v>177</v>
      </c>
      <c r="AF86" s="3" t="s">
        <v>60</v>
      </c>
      <c r="AG86" s="5" t="s">
        <v>178</v>
      </c>
      <c r="AH86" s="3" t="s">
        <v>61</v>
      </c>
      <c r="AI86" s="3" t="s">
        <v>61</v>
      </c>
      <c r="AJ86" s="3" t="s">
        <v>42</v>
      </c>
      <c r="AK86" s="3" t="s">
        <v>42</v>
      </c>
      <c r="AL86" s="29">
        <v>46023</v>
      </c>
      <c r="AM86" s="5" t="s">
        <v>42</v>
      </c>
      <c r="AN86" s="9" t="str">
        <f>HYPERLINK("https://my.pitchbook.com?p=92381-77P", "View People Online")</f>
        <v>View People Online</v>
      </c>
    </row>
    <row r="87" spans="1:40" x14ac:dyDescent="0.2">
      <c r="A87" s="2" t="s">
        <v>982</v>
      </c>
      <c r="B87" s="2" t="s">
        <v>983</v>
      </c>
      <c r="C87" s="2" t="s">
        <v>42</v>
      </c>
      <c r="D87" s="2" t="s">
        <v>42</v>
      </c>
      <c r="E87" s="2" t="s">
        <v>982</v>
      </c>
      <c r="F87" s="2" t="s">
        <v>984</v>
      </c>
      <c r="G87" s="2" t="s">
        <v>985</v>
      </c>
      <c r="H87" s="2" t="s">
        <v>42</v>
      </c>
      <c r="I87" s="2" t="s">
        <v>46</v>
      </c>
      <c r="J87" s="2" t="s">
        <v>47</v>
      </c>
      <c r="K87" s="2" t="s">
        <v>245</v>
      </c>
      <c r="L87" s="2" t="s">
        <v>111</v>
      </c>
      <c r="M87" s="8" t="str">
        <f>HYPERLINK("http://www.luberef.com", "www.luberef.com")</f>
        <v>www.luberef.com</v>
      </c>
      <c r="N87" s="2" t="s">
        <v>534</v>
      </c>
      <c r="O87" s="2" t="s">
        <v>42</v>
      </c>
      <c r="P87" s="2" t="s">
        <v>986</v>
      </c>
      <c r="Q87" s="2" t="s">
        <v>987</v>
      </c>
      <c r="R87" s="16" t="s">
        <v>42</v>
      </c>
      <c r="S87" s="16">
        <v>2</v>
      </c>
      <c r="T87" s="16">
        <v>2</v>
      </c>
      <c r="U87" s="16" t="s">
        <v>42</v>
      </c>
      <c r="V87" s="16" t="s">
        <v>42</v>
      </c>
      <c r="W87" s="4" t="s">
        <v>249</v>
      </c>
      <c r="X87" s="2" t="s">
        <v>42</v>
      </c>
      <c r="Y87" s="8" t="str">
        <f>HYPERLINK("http://linkedin.com/in/saud-kamakhi-28027624/", "http://linkedin.com/in/saud-kamakhi-28027624/")</f>
        <v>http://linkedin.com/in/saud-kamakhi-28027624/</v>
      </c>
      <c r="Z87" s="2" t="s">
        <v>174</v>
      </c>
      <c r="AA87" s="2" t="s">
        <v>250</v>
      </c>
      <c r="AB87" s="2" t="s">
        <v>251</v>
      </c>
      <c r="AC87" s="2" t="s">
        <v>176</v>
      </c>
      <c r="AD87" s="2" t="s">
        <v>42</v>
      </c>
      <c r="AE87" s="4" t="s">
        <v>252</v>
      </c>
      <c r="AF87" s="2" t="s">
        <v>60</v>
      </c>
      <c r="AG87" s="4" t="s">
        <v>253</v>
      </c>
      <c r="AH87" s="2" t="s">
        <v>61</v>
      </c>
      <c r="AI87" s="2" t="s">
        <v>61</v>
      </c>
      <c r="AJ87" s="2" t="s">
        <v>42</v>
      </c>
      <c r="AK87" s="2" t="s">
        <v>42</v>
      </c>
      <c r="AL87" s="28">
        <v>45903</v>
      </c>
      <c r="AM87" s="4" t="s">
        <v>42</v>
      </c>
      <c r="AN87" s="8" t="str">
        <f>HYPERLINK("https://my.pitchbook.com?p=349615-18P", "View People Online")</f>
        <v>View People Online</v>
      </c>
    </row>
    <row r="88" spans="1:40" x14ac:dyDescent="0.2">
      <c r="A88" s="3" t="s">
        <v>988</v>
      </c>
      <c r="B88" s="3" t="s">
        <v>989</v>
      </c>
      <c r="C88" s="3" t="s">
        <v>42</v>
      </c>
      <c r="D88" s="3" t="s">
        <v>42</v>
      </c>
      <c r="E88" s="3" t="s">
        <v>988</v>
      </c>
      <c r="F88" s="3" t="s">
        <v>990</v>
      </c>
      <c r="G88" s="3" t="s">
        <v>991</v>
      </c>
      <c r="H88" s="3" t="s">
        <v>42</v>
      </c>
      <c r="I88" s="3" t="s">
        <v>46</v>
      </c>
      <c r="J88" s="3" t="s">
        <v>47</v>
      </c>
      <c r="K88" s="3" t="s">
        <v>992</v>
      </c>
      <c r="L88" s="3" t="s">
        <v>111</v>
      </c>
      <c r="M88" s="9" t="str">
        <f>HYPERLINK("http://www.miahona.com", "www.miahona.com")</f>
        <v>www.miahona.com</v>
      </c>
      <c r="N88" s="3" t="s">
        <v>534</v>
      </c>
      <c r="O88" s="3" t="s">
        <v>42</v>
      </c>
      <c r="P88" s="3" t="s">
        <v>993</v>
      </c>
      <c r="Q88" s="3" t="s">
        <v>42</v>
      </c>
      <c r="R88" s="17" t="s">
        <v>42</v>
      </c>
      <c r="S88" s="17">
        <v>2</v>
      </c>
      <c r="T88" s="17">
        <v>2</v>
      </c>
      <c r="U88" s="17" t="s">
        <v>42</v>
      </c>
      <c r="V88" s="17" t="s">
        <v>42</v>
      </c>
      <c r="W88" s="5" t="s">
        <v>994</v>
      </c>
      <c r="X88" s="3" t="s">
        <v>42</v>
      </c>
      <c r="Y88" s="9" t="str">
        <f>HYPERLINK("http://linkedin.com/in/msharjeel/", "http://linkedin.com/in/msharjeel/")</f>
        <v>http://linkedin.com/in/msharjeel/</v>
      </c>
      <c r="Z88" s="3" t="s">
        <v>55</v>
      </c>
      <c r="AA88" s="3" t="s">
        <v>995</v>
      </c>
      <c r="AB88" s="3" t="s">
        <v>42</v>
      </c>
      <c r="AC88" s="3" t="s">
        <v>58</v>
      </c>
      <c r="AD88" s="3" t="s">
        <v>42</v>
      </c>
      <c r="AE88" s="5" t="s">
        <v>996</v>
      </c>
      <c r="AF88" s="3" t="s">
        <v>60</v>
      </c>
      <c r="AG88" s="5" t="s">
        <v>997</v>
      </c>
      <c r="AH88" s="3" t="s">
        <v>61</v>
      </c>
      <c r="AI88" s="3" t="s">
        <v>61</v>
      </c>
      <c r="AJ88" s="3" t="s">
        <v>42</v>
      </c>
      <c r="AK88" s="3" t="s">
        <v>42</v>
      </c>
      <c r="AL88" s="29">
        <v>45838</v>
      </c>
      <c r="AM88" s="5">
        <v>1973</v>
      </c>
      <c r="AN88" s="9" t="str">
        <f>HYPERLINK("https://my.pitchbook.com?p=317663-11P", "View People Online")</f>
        <v>View People Online</v>
      </c>
    </row>
    <row r="89" spans="1:40" x14ac:dyDescent="0.2">
      <c r="A89" s="2" t="s">
        <v>998</v>
      </c>
      <c r="B89" s="2" t="s">
        <v>999</v>
      </c>
      <c r="C89" s="2" t="s">
        <v>42</v>
      </c>
      <c r="D89" s="2" t="s">
        <v>42</v>
      </c>
      <c r="E89" s="2" t="s">
        <v>998</v>
      </c>
      <c r="F89" s="2" t="s">
        <v>1000</v>
      </c>
      <c r="G89" s="2" t="s">
        <v>1001</v>
      </c>
      <c r="H89" s="2" t="s">
        <v>42</v>
      </c>
      <c r="I89" s="2" t="s">
        <v>46</v>
      </c>
      <c r="J89" s="2" t="s">
        <v>47</v>
      </c>
      <c r="K89" s="2" t="s">
        <v>1002</v>
      </c>
      <c r="L89" s="2" t="s">
        <v>125</v>
      </c>
      <c r="M89" s="8" t="str">
        <f>HYPERLINK("http://www.nomac.com", "www.nomac.com")</f>
        <v>www.nomac.com</v>
      </c>
      <c r="N89" s="2" t="s">
        <v>1003</v>
      </c>
      <c r="O89" s="2" t="s">
        <v>42</v>
      </c>
      <c r="P89" s="2" t="s">
        <v>1004</v>
      </c>
      <c r="Q89" s="2" t="s">
        <v>42</v>
      </c>
      <c r="R89" s="16" t="s">
        <v>42</v>
      </c>
      <c r="S89" s="16">
        <v>2</v>
      </c>
      <c r="T89" s="16">
        <v>2</v>
      </c>
      <c r="U89" s="16" t="s">
        <v>42</v>
      </c>
      <c r="V89" s="16" t="s">
        <v>42</v>
      </c>
      <c r="W89" s="4" t="s">
        <v>1005</v>
      </c>
      <c r="X89" s="2" t="s">
        <v>1006</v>
      </c>
      <c r="Y89" s="8" t="str">
        <f>HYPERLINK("http://linkedin.com/in/stefan-verlee-473619114/", "http://linkedin.com/in/stefan-verlee-473619114/")</f>
        <v>http://linkedin.com/in/stefan-verlee-473619114/</v>
      </c>
      <c r="Z89" s="2" t="s">
        <v>174</v>
      </c>
      <c r="AA89" s="2" t="s">
        <v>1007</v>
      </c>
      <c r="AB89" s="2" t="s">
        <v>1008</v>
      </c>
      <c r="AC89" s="2" t="s">
        <v>176</v>
      </c>
      <c r="AD89" s="2" t="s">
        <v>42</v>
      </c>
      <c r="AE89" s="4" t="s">
        <v>1009</v>
      </c>
      <c r="AF89" s="2" t="s">
        <v>60</v>
      </c>
      <c r="AG89" s="4" t="s">
        <v>42</v>
      </c>
      <c r="AH89" s="2" t="s">
        <v>61</v>
      </c>
      <c r="AI89" s="2" t="s">
        <v>61</v>
      </c>
      <c r="AJ89" s="2" t="s">
        <v>42</v>
      </c>
      <c r="AK89" s="2" t="s">
        <v>42</v>
      </c>
      <c r="AL89" s="28">
        <v>45838</v>
      </c>
      <c r="AM89" s="4">
        <v>1974</v>
      </c>
      <c r="AN89" s="8" t="str">
        <f>HYPERLINK("https://my.pitchbook.com?p=332078-23P", "View People Online")</f>
        <v>View People Online</v>
      </c>
    </row>
    <row r="90" spans="1:40" x14ac:dyDescent="0.2">
      <c r="A90" s="3" t="s">
        <v>1010</v>
      </c>
      <c r="B90" s="3" t="s">
        <v>1011</v>
      </c>
      <c r="C90" s="3" t="s">
        <v>42</v>
      </c>
      <c r="D90" s="3" t="s">
        <v>42</v>
      </c>
      <c r="E90" s="3" t="s">
        <v>1010</v>
      </c>
      <c r="F90" s="3" t="s">
        <v>1012</v>
      </c>
      <c r="G90" s="3" t="s">
        <v>1013</v>
      </c>
      <c r="H90" s="3" t="s">
        <v>1014</v>
      </c>
      <c r="I90" s="3" t="s">
        <v>196</v>
      </c>
      <c r="J90" s="3" t="s">
        <v>47</v>
      </c>
      <c r="K90" s="3" t="s">
        <v>1015</v>
      </c>
      <c r="L90" s="3" t="s">
        <v>111</v>
      </c>
      <c r="M90" s="9" t="str">
        <f>HYPERLINK("http://www.nadec.com", "www.nadec.com")</f>
        <v>www.nadec.com</v>
      </c>
      <c r="N90" s="3" t="s">
        <v>210</v>
      </c>
      <c r="O90" s="3" t="s">
        <v>42</v>
      </c>
      <c r="P90" s="3" t="s">
        <v>1016</v>
      </c>
      <c r="Q90" s="3" t="s">
        <v>42</v>
      </c>
      <c r="R90" s="17" t="s">
        <v>42</v>
      </c>
      <c r="S90" s="17">
        <v>2</v>
      </c>
      <c r="T90" s="17">
        <v>1</v>
      </c>
      <c r="U90" s="17">
        <v>1</v>
      </c>
      <c r="V90" s="17" t="s">
        <v>42</v>
      </c>
      <c r="W90" s="5" t="s">
        <v>1017</v>
      </c>
      <c r="X90" s="3" t="s">
        <v>1018</v>
      </c>
      <c r="Y90" s="9" t="str">
        <f>HYPERLINK("http://linkedin.com/in/solaiman-altwaijri-a5473093/", "http://linkedin.com/in/solaiman-altwaijri-a5473093/")</f>
        <v>http://linkedin.com/in/solaiman-altwaijri-a5473093/</v>
      </c>
      <c r="Z90" s="3" t="s">
        <v>55</v>
      </c>
      <c r="AA90" s="3" t="s">
        <v>1019</v>
      </c>
      <c r="AB90" s="3" t="s">
        <v>1020</v>
      </c>
      <c r="AC90" s="3" t="s">
        <v>58</v>
      </c>
      <c r="AD90" s="3" t="s">
        <v>42</v>
      </c>
      <c r="AE90" s="5" t="s">
        <v>1021</v>
      </c>
      <c r="AF90" s="3" t="s">
        <v>60</v>
      </c>
      <c r="AG90" s="5" t="s">
        <v>42</v>
      </c>
      <c r="AH90" s="3" t="s">
        <v>61</v>
      </c>
      <c r="AI90" s="3" t="s">
        <v>61</v>
      </c>
      <c r="AJ90" s="3" t="s">
        <v>42</v>
      </c>
      <c r="AK90" s="3" t="s">
        <v>42</v>
      </c>
      <c r="AL90" s="29">
        <v>45721</v>
      </c>
      <c r="AM90" s="5" t="s">
        <v>42</v>
      </c>
      <c r="AN90" s="9" t="str">
        <f>HYPERLINK("https://my.pitchbook.com?p=436632-85P", "View People Online")</f>
        <v>View People Online</v>
      </c>
    </row>
    <row r="91" spans="1:40" x14ac:dyDescent="0.2">
      <c r="A91" s="2" t="s">
        <v>1022</v>
      </c>
      <c r="B91" s="2" t="s">
        <v>1023</v>
      </c>
      <c r="C91" s="2" t="s">
        <v>42</v>
      </c>
      <c r="D91" s="2" t="s">
        <v>42</v>
      </c>
      <c r="E91" s="2" t="s">
        <v>1022</v>
      </c>
      <c r="F91" s="2" t="s">
        <v>1024</v>
      </c>
      <c r="G91" s="2" t="s">
        <v>1025</v>
      </c>
      <c r="H91" s="2" t="s">
        <v>622</v>
      </c>
      <c r="I91" s="2" t="s">
        <v>46</v>
      </c>
      <c r="J91" s="2" t="s">
        <v>47</v>
      </c>
      <c r="K91" s="2" t="s">
        <v>1026</v>
      </c>
      <c r="L91" s="2" t="s">
        <v>125</v>
      </c>
      <c r="M91" s="8" t="str">
        <f>HYPERLINK("http://www.d360.com", "www.d360.com")</f>
        <v>www.d360.com</v>
      </c>
      <c r="N91" s="2" t="s">
        <v>246</v>
      </c>
      <c r="O91" s="2" t="s">
        <v>42</v>
      </c>
      <c r="P91" s="2" t="s">
        <v>1027</v>
      </c>
      <c r="Q91" s="2" t="s">
        <v>1028</v>
      </c>
      <c r="R91" s="16">
        <v>2</v>
      </c>
      <c r="S91" s="16">
        <v>2</v>
      </c>
      <c r="T91" s="16">
        <v>1</v>
      </c>
      <c r="U91" s="16" t="s">
        <v>42</v>
      </c>
      <c r="V91" s="16" t="s">
        <v>42</v>
      </c>
      <c r="W91" s="4" t="s">
        <v>42</v>
      </c>
      <c r="X91" s="2" t="s">
        <v>1029</v>
      </c>
      <c r="Y91" s="2" t="s">
        <v>42</v>
      </c>
      <c r="Z91" s="2" t="s">
        <v>55</v>
      </c>
      <c r="AA91" s="2" t="s">
        <v>1030</v>
      </c>
      <c r="AB91" s="2" t="s">
        <v>1031</v>
      </c>
      <c r="AC91" s="2" t="s">
        <v>58</v>
      </c>
      <c r="AD91" s="2" t="s">
        <v>42</v>
      </c>
      <c r="AE91" s="4" t="s">
        <v>1032</v>
      </c>
      <c r="AF91" s="2" t="s">
        <v>60</v>
      </c>
      <c r="AG91" s="4" t="s">
        <v>42</v>
      </c>
      <c r="AH91" s="2" t="s">
        <v>61</v>
      </c>
      <c r="AI91" s="2" t="s">
        <v>61</v>
      </c>
      <c r="AJ91" s="2" t="s">
        <v>42</v>
      </c>
      <c r="AK91" s="2" t="s">
        <v>42</v>
      </c>
      <c r="AL91" s="28">
        <v>45976</v>
      </c>
      <c r="AM91" s="4" t="s">
        <v>42</v>
      </c>
      <c r="AN91" s="8" t="str">
        <f>HYPERLINK("https://my.pitchbook.com?p=193542-67P", "View People Online")</f>
        <v>View People Online</v>
      </c>
    </row>
    <row r="92" spans="1:40" x14ac:dyDescent="0.2">
      <c r="A92" s="3" t="s">
        <v>1033</v>
      </c>
      <c r="B92" s="3" t="s">
        <v>1034</v>
      </c>
      <c r="C92" s="3" t="s">
        <v>42</v>
      </c>
      <c r="D92" s="3" t="s">
        <v>42</v>
      </c>
      <c r="E92" s="3" t="s">
        <v>1033</v>
      </c>
      <c r="F92" s="3" t="s">
        <v>1035</v>
      </c>
      <c r="G92" s="3" t="s">
        <v>1025</v>
      </c>
      <c r="H92" s="3" t="s">
        <v>1036</v>
      </c>
      <c r="I92" s="3" t="s">
        <v>46</v>
      </c>
      <c r="J92" s="3" t="s">
        <v>47</v>
      </c>
      <c r="K92" s="3" t="s">
        <v>1037</v>
      </c>
      <c r="L92" s="3" t="s">
        <v>111</v>
      </c>
      <c r="M92" s="9" t="str">
        <f>HYPERLINK("http://zaoasis.com", "zaoasis.com")</f>
        <v>zaoasis.com</v>
      </c>
      <c r="N92" s="3" t="s">
        <v>1038</v>
      </c>
      <c r="O92" s="3" t="s">
        <v>42</v>
      </c>
      <c r="P92" s="3" t="s">
        <v>1039</v>
      </c>
      <c r="Q92" s="3" t="s">
        <v>1040</v>
      </c>
      <c r="R92" s="17">
        <v>2</v>
      </c>
      <c r="S92" s="17">
        <v>2</v>
      </c>
      <c r="T92" s="17" t="s">
        <v>42</v>
      </c>
      <c r="U92" s="17" t="s">
        <v>42</v>
      </c>
      <c r="V92" s="17" t="s">
        <v>42</v>
      </c>
      <c r="W92" s="5" t="s">
        <v>1041</v>
      </c>
      <c r="X92" s="3" t="s">
        <v>42</v>
      </c>
      <c r="Y92" s="9" t="str">
        <f>HYPERLINK("http://linkedin.com/in/taha-m-azhari-86799b2/", "http://linkedin.com/in/taha-m-azhari-86799b2/")</f>
        <v>http://linkedin.com/in/taha-m-azhari-86799b2/</v>
      </c>
      <c r="Z92" s="3" t="s">
        <v>55</v>
      </c>
      <c r="AA92" s="3" t="s">
        <v>1042</v>
      </c>
      <c r="AB92" s="3" t="s">
        <v>1043</v>
      </c>
      <c r="AC92" s="3" t="s">
        <v>58</v>
      </c>
      <c r="AD92" s="3" t="s">
        <v>42</v>
      </c>
      <c r="AE92" s="5" t="s">
        <v>1044</v>
      </c>
      <c r="AF92" s="3" t="s">
        <v>60</v>
      </c>
      <c r="AG92" s="5" t="s">
        <v>1045</v>
      </c>
      <c r="AH92" s="3" t="s">
        <v>61</v>
      </c>
      <c r="AI92" s="3" t="s">
        <v>61</v>
      </c>
      <c r="AJ92" s="3" t="s">
        <v>42</v>
      </c>
      <c r="AK92" s="3" t="s">
        <v>42</v>
      </c>
      <c r="AL92" s="29">
        <v>46034</v>
      </c>
      <c r="AM92" s="5">
        <v>1969</v>
      </c>
      <c r="AN92" s="9" t="str">
        <f>HYPERLINK("https://my.pitchbook.com?p=286558-57P", "View People Online")</f>
        <v>View People Online</v>
      </c>
    </row>
    <row r="93" spans="1:40" x14ac:dyDescent="0.2">
      <c r="A93" s="2" t="s">
        <v>1046</v>
      </c>
      <c r="B93" s="2" t="s">
        <v>1047</v>
      </c>
      <c r="C93" s="2" t="s">
        <v>42</v>
      </c>
      <c r="D93" s="2" t="s">
        <v>42</v>
      </c>
      <c r="E93" s="2" t="s">
        <v>1046</v>
      </c>
      <c r="F93" s="2" t="s">
        <v>825</v>
      </c>
      <c r="G93" s="2" t="s">
        <v>1048</v>
      </c>
      <c r="H93" s="2" t="s">
        <v>827</v>
      </c>
      <c r="I93" s="2" t="s">
        <v>46</v>
      </c>
      <c r="J93" s="2" t="s">
        <v>47</v>
      </c>
      <c r="K93" s="2" t="s">
        <v>312</v>
      </c>
      <c r="L93" s="2" t="s">
        <v>111</v>
      </c>
      <c r="M93" s="8" t="str">
        <f>HYPERLINK("http://www.bupa.com.sa", "www.bupa.com.sa")</f>
        <v>www.bupa.com.sa</v>
      </c>
      <c r="N93" s="2" t="s">
        <v>112</v>
      </c>
      <c r="O93" s="2" t="s">
        <v>42</v>
      </c>
      <c r="P93" s="2" t="s">
        <v>1049</v>
      </c>
      <c r="Q93" s="2" t="s">
        <v>1050</v>
      </c>
      <c r="R93" s="16">
        <v>1</v>
      </c>
      <c r="S93" s="16">
        <v>2</v>
      </c>
      <c r="T93" s="16">
        <v>2</v>
      </c>
      <c r="U93" s="16" t="s">
        <v>42</v>
      </c>
      <c r="V93" s="16" t="s">
        <v>42</v>
      </c>
      <c r="W93" s="4" t="s">
        <v>42</v>
      </c>
      <c r="X93" s="2" t="s">
        <v>1051</v>
      </c>
      <c r="Y93" s="8" t="str">
        <f>HYPERLINK("http://sa.linkedin.com/in/talnazer", "http://sa.linkedin.com/in/talnazer")</f>
        <v>http://sa.linkedin.com/in/talnazer</v>
      </c>
      <c r="Z93" s="2" t="s">
        <v>174</v>
      </c>
      <c r="AA93" s="2" t="s">
        <v>316</v>
      </c>
      <c r="AB93" s="2" t="s">
        <v>317</v>
      </c>
      <c r="AC93" s="2" t="s">
        <v>176</v>
      </c>
      <c r="AD93" s="2" t="s">
        <v>42</v>
      </c>
      <c r="AE93" s="4" t="s">
        <v>318</v>
      </c>
      <c r="AF93" s="2" t="s">
        <v>60</v>
      </c>
      <c r="AG93" s="4" t="s">
        <v>42</v>
      </c>
      <c r="AH93" s="2" t="s">
        <v>61</v>
      </c>
      <c r="AI93" s="2" t="s">
        <v>61</v>
      </c>
      <c r="AJ93" s="2" t="s">
        <v>42</v>
      </c>
      <c r="AK93" s="2" t="s">
        <v>42</v>
      </c>
      <c r="AL93" s="28">
        <v>46001</v>
      </c>
      <c r="AM93" s="4" t="s">
        <v>42</v>
      </c>
      <c r="AN93" s="8" t="str">
        <f>HYPERLINK("https://my.pitchbook.com?p=58292-11P", "View People Online")</f>
        <v>View People Online</v>
      </c>
    </row>
    <row r="94" spans="1:40" x14ac:dyDescent="0.2">
      <c r="A94" s="3" t="s">
        <v>1052</v>
      </c>
      <c r="B94" s="3" t="s">
        <v>1053</v>
      </c>
      <c r="C94" s="3" t="s">
        <v>42</v>
      </c>
      <c r="D94" s="3" t="s">
        <v>42</v>
      </c>
      <c r="E94" s="3" t="s">
        <v>1052</v>
      </c>
      <c r="F94" s="3" t="s">
        <v>1054</v>
      </c>
      <c r="G94" s="3" t="s">
        <v>1055</v>
      </c>
      <c r="H94" s="3" t="s">
        <v>42</v>
      </c>
      <c r="I94" s="3" t="s">
        <v>46</v>
      </c>
      <c r="J94" s="3" t="s">
        <v>47</v>
      </c>
      <c r="K94" s="3" t="s">
        <v>1056</v>
      </c>
      <c r="L94" s="3" t="s">
        <v>1057</v>
      </c>
      <c r="M94" s="9" t="str">
        <f>HYPERLINK("http://www.aljaziracapital.com.sa", "www.aljaziracapital.com.sa")</f>
        <v>www.aljaziracapital.com.sa</v>
      </c>
      <c r="N94" s="3" t="s">
        <v>1058</v>
      </c>
      <c r="O94" s="3" t="s">
        <v>42</v>
      </c>
      <c r="P94" s="3" t="s">
        <v>1059</v>
      </c>
      <c r="Q94" s="3" t="s">
        <v>128</v>
      </c>
      <c r="R94" s="17">
        <v>2</v>
      </c>
      <c r="S94" s="17">
        <v>2</v>
      </c>
      <c r="T94" s="17">
        <v>1</v>
      </c>
      <c r="U94" s="17" t="s">
        <v>42</v>
      </c>
      <c r="V94" s="17" t="s">
        <v>42</v>
      </c>
      <c r="W94" s="5" t="s">
        <v>1060</v>
      </c>
      <c r="X94" s="3" t="s">
        <v>1061</v>
      </c>
      <c r="Y94" s="9" t="str">
        <f>HYPERLINK("http://linkedin.com/in/tarek-alkasabi-54a63669/", "http://linkedin.com/in/tarek-alkasabi-54a63669/")</f>
        <v>http://linkedin.com/in/tarek-alkasabi-54a63669/</v>
      </c>
      <c r="Z94" s="3" t="s">
        <v>55</v>
      </c>
      <c r="AA94" s="3" t="s">
        <v>1062</v>
      </c>
      <c r="AB94" s="3" t="s">
        <v>1063</v>
      </c>
      <c r="AC94" s="3" t="s">
        <v>58</v>
      </c>
      <c r="AD94" s="3" t="s">
        <v>42</v>
      </c>
      <c r="AE94" s="5" t="s">
        <v>539</v>
      </c>
      <c r="AF94" s="3" t="s">
        <v>60</v>
      </c>
      <c r="AG94" s="5" t="s">
        <v>42</v>
      </c>
      <c r="AH94" s="3" t="s">
        <v>61</v>
      </c>
      <c r="AI94" s="3" t="s">
        <v>61</v>
      </c>
      <c r="AJ94" s="3" t="s">
        <v>42</v>
      </c>
      <c r="AK94" s="3" t="s">
        <v>42</v>
      </c>
      <c r="AL94" s="29">
        <v>46055</v>
      </c>
      <c r="AM94" s="5" t="s">
        <v>42</v>
      </c>
      <c r="AN94" s="9" t="str">
        <f>HYPERLINK("https://my.pitchbook.com?p=292321-09P", "View People Online")</f>
        <v>View People Online</v>
      </c>
    </row>
    <row r="95" spans="1:40" x14ac:dyDescent="0.2">
      <c r="A95" s="2" t="s">
        <v>1064</v>
      </c>
      <c r="B95" s="2" t="s">
        <v>1065</v>
      </c>
      <c r="C95" s="2" t="s">
        <v>42</v>
      </c>
      <c r="D95" s="2" t="s">
        <v>42</v>
      </c>
      <c r="E95" s="2" t="s">
        <v>1064</v>
      </c>
      <c r="F95" s="2" t="s">
        <v>1066</v>
      </c>
      <c r="G95" s="2" t="s">
        <v>1067</v>
      </c>
      <c r="H95" s="2" t="s">
        <v>42</v>
      </c>
      <c r="I95" s="2" t="s">
        <v>46</v>
      </c>
      <c r="J95" s="2" t="s">
        <v>47</v>
      </c>
      <c r="K95" s="2" t="s">
        <v>1068</v>
      </c>
      <c r="L95" s="2" t="s">
        <v>111</v>
      </c>
      <c r="M95" s="8" t="str">
        <f>HYPERLINK("http://www.sab.com", "www.sab.com")</f>
        <v>www.sab.com</v>
      </c>
      <c r="N95" s="2" t="s">
        <v>112</v>
      </c>
      <c r="O95" s="2" t="s">
        <v>42</v>
      </c>
      <c r="P95" s="2" t="s">
        <v>1069</v>
      </c>
      <c r="Q95" s="2" t="s">
        <v>42</v>
      </c>
      <c r="R95" s="16">
        <v>2</v>
      </c>
      <c r="S95" s="16">
        <v>2</v>
      </c>
      <c r="T95" s="16">
        <v>1</v>
      </c>
      <c r="U95" s="16" t="s">
        <v>42</v>
      </c>
      <c r="V95" s="16" t="s">
        <v>42</v>
      </c>
      <c r="W95" s="4" t="s">
        <v>42</v>
      </c>
      <c r="X95" s="2" t="s">
        <v>1070</v>
      </c>
      <c r="Y95" s="8" t="str">
        <f>HYPERLINK("http://linkedin.com/in/tony-cripps-6682716/", "http://linkedin.com/in/tony-cripps-6682716/")</f>
        <v>http://linkedin.com/in/tony-cripps-6682716/</v>
      </c>
      <c r="Z95" s="2" t="s">
        <v>55</v>
      </c>
      <c r="AA95" s="2" t="s">
        <v>1071</v>
      </c>
      <c r="AB95" s="2" t="s">
        <v>1072</v>
      </c>
      <c r="AC95" s="2" t="s">
        <v>58</v>
      </c>
      <c r="AD95" s="2" t="s">
        <v>42</v>
      </c>
      <c r="AE95" s="4" t="s">
        <v>1073</v>
      </c>
      <c r="AF95" s="2" t="s">
        <v>60</v>
      </c>
      <c r="AG95" s="4" t="s">
        <v>1074</v>
      </c>
      <c r="AH95" s="2" t="s">
        <v>61</v>
      </c>
      <c r="AI95" s="2" t="s">
        <v>61</v>
      </c>
      <c r="AJ95" s="2" t="s">
        <v>42</v>
      </c>
      <c r="AK95" s="2" t="s">
        <v>42</v>
      </c>
      <c r="AL95" s="28">
        <v>45868</v>
      </c>
      <c r="AM95" s="4">
        <v>1957</v>
      </c>
      <c r="AN95" s="8" t="str">
        <f>HYPERLINK("https://my.pitchbook.com?p=296080-93P", "View People Online")</f>
        <v>View People Online</v>
      </c>
    </row>
    <row r="96" spans="1:40" x14ac:dyDescent="0.2">
      <c r="A96" s="3" t="s">
        <v>1075</v>
      </c>
      <c r="B96" s="3" t="s">
        <v>1076</v>
      </c>
      <c r="C96" s="3" t="s">
        <v>42</v>
      </c>
      <c r="D96" s="3" t="s">
        <v>42</v>
      </c>
      <c r="E96" s="3" t="s">
        <v>1075</v>
      </c>
      <c r="F96" s="3" t="s">
        <v>1077</v>
      </c>
      <c r="G96" s="3" t="s">
        <v>1078</v>
      </c>
      <c r="H96" s="3" t="s">
        <v>161</v>
      </c>
      <c r="I96" s="3" t="s">
        <v>46</v>
      </c>
      <c r="J96" s="3" t="s">
        <v>47</v>
      </c>
      <c r="K96" s="3" t="s">
        <v>1079</v>
      </c>
      <c r="L96" s="3" t="s">
        <v>111</v>
      </c>
      <c r="M96" s="9" t="str">
        <f>HYPERLINK("http://www.mbc.net", "www.mbc.net")</f>
        <v>www.mbc.net</v>
      </c>
      <c r="N96" s="3" t="s">
        <v>1080</v>
      </c>
      <c r="O96" s="3" t="s">
        <v>42</v>
      </c>
      <c r="P96" s="3" t="s">
        <v>1081</v>
      </c>
      <c r="Q96" s="3" t="s">
        <v>42</v>
      </c>
      <c r="R96" s="17">
        <v>1</v>
      </c>
      <c r="S96" s="17">
        <v>2</v>
      </c>
      <c r="T96" s="17">
        <v>1</v>
      </c>
      <c r="U96" s="17">
        <v>1</v>
      </c>
      <c r="V96" s="17" t="s">
        <v>42</v>
      </c>
      <c r="W96" s="5" t="s">
        <v>1082</v>
      </c>
      <c r="X96" s="3" t="s">
        <v>1083</v>
      </c>
      <c r="Y96" s="3" t="s">
        <v>42</v>
      </c>
      <c r="Z96" s="3" t="s">
        <v>55</v>
      </c>
      <c r="AA96" s="3" t="s">
        <v>1084</v>
      </c>
      <c r="AB96" s="3" t="s">
        <v>1085</v>
      </c>
      <c r="AC96" s="3" t="s">
        <v>58</v>
      </c>
      <c r="AD96" s="3" t="s">
        <v>42</v>
      </c>
      <c r="AE96" s="5" t="s">
        <v>1086</v>
      </c>
      <c r="AF96" s="3" t="s">
        <v>60</v>
      </c>
      <c r="AG96" s="5" t="s">
        <v>1087</v>
      </c>
      <c r="AH96" s="3" t="s">
        <v>61</v>
      </c>
      <c r="AI96" s="3" t="s">
        <v>61</v>
      </c>
      <c r="AJ96" s="3" t="s">
        <v>42</v>
      </c>
      <c r="AK96" s="3" t="s">
        <v>42</v>
      </c>
      <c r="AL96" s="29">
        <v>45785</v>
      </c>
      <c r="AM96" s="5" t="s">
        <v>42</v>
      </c>
      <c r="AN96" s="9" t="str">
        <f>HYPERLINK("https://my.pitchbook.com?p=179521-48P", "View People Online")</f>
        <v>View People Online</v>
      </c>
    </row>
    <row r="97" spans="1:40" x14ac:dyDescent="0.2">
      <c r="A97" s="2" t="s">
        <v>1088</v>
      </c>
      <c r="B97" s="2" t="s">
        <v>1089</v>
      </c>
      <c r="C97" s="2" t="s">
        <v>42</v>
      </c>
      <c r="D97" s="2" t="s">
        <v>42</v>
      </c>
      <c r="E97" s="2" t="s">
        <v>1088</v>
      </c>
      <c r="F97" s="2" t="s">
        <v>1090</v>
      </c>
      <c r="G97" s="2" t="s">
        <v>1091</v>
      </c>
      <c r="H97" s="2" t="s">
        <v>356</v>
      </c>
      <c r="I97" s="2" t="s">
        <v>46</v>
      </c>
      <c r="J97" s="2" t="s">
        <v>47</v>
      </c>
      <c r="K97" s="2" t="s">
        <v>886</v>
      </c>
      <c r="L97" s="2" t="s">
        <v>97</v>
      </c>
      <c r="M97" s="8" t="str">
        <f>HYPERLINK("http://www.mefic.com.sa", "www.mefic.com.sa")</f>
        <v>www.mefic.com.sa</v>
      </c>
      <c r="N97" s="2" t="s">
        <v>1092</v>
      </c>
      <c r="O97" s="2" t="s">
        <v>42</v>
      </c>
      <c r="P97" s="2" t="s">
        <v>1093</v>
      </c>
      <c r="Q97" s="2" t="s">
        <v>128</v>
      </c>
      <c r="R97" s="16" t="s">
        <v>42</v>
      </c>
      <c r="S97" s="16">
        <v>2</v>
      </c>
      <c r="T97" s="16">
        <v>1</v>
      </c>
      <c r="U97" s="16">
        <v>1</v>
      </c>
      <c r="V97" s="16" t="s">
        <v>42</v>
      </c>
      <c r="W97" s="4" t="s">
        <v>888</v>
      </c>
      <c r="X97" s="2" t="s">
        <v>1094</v>
      </c>
      <c r="Y97" s="8" t="str">
        <f>HYPERLINK("http://linkedin.com/in/yasseralhedaithy/", "http://linkedin.com/in/yasseralhedaithy/")</f>
        <v>http://linkedin.com/in/yasseralhedaithy/</v>
      </c>
      <c r="Z97" s="2" t="s">
        <v>55</v>
      </c>
      <c r="AA97" s="2" t="s">
        <v>890</v>
      </c>
      <c r="AB97" s="2" t="s">
        <v>891</v>
      </c>
      <c r="AC97" s="2" t="s">
        <v>58</v>
      </c>
      <c r="AD97" s="2" t="s">
        <v>42</v>
      </c>
      <c r="AE97" s="4" t="s">
        <v>892</v>
      </c>
      <c r="AF97" s="2" t="s">
        <v>60</v>
      </c>
      <c r="AG97" s="4" t="s">
        <v>893</v>
      </c>
      <c r="AH97" s="2" t="s">
        <v>61</v>
      </c>
      <c r="AI97" s="2" t="s">
        <v>61</v>
      </c>
      <c r="AJ97" s="2" t="s">
        <v>42</v>
      </c>
      <c r="AK97" s="2" t="s">
        <v>42</v>
      </c>
      <c r="AL97" s="28">
        <v>45999</v>
      </c>
      <c r="AM97" s="4">
        <v>1972</v>
      </c>
      <c r="AN97" s="8" t="str">
        <f>HYPERLINK("https://my.pitchbook.com?p=324273-61P", "View People Online")</f>
        <v>View People Online</v>
      </c>
    </row>
    <row r="98" spans="1:40" x14ac:dyDescent="0.2">
      <c r="A98" s="3" t="s">
        <v>1095</v>
      </c>
      <c r="B98" s="3" t="s">
        <v>1096</v>
      </c>
      <c r="C98" s="3" t="s">
        <v>42</v>
      </c>
      <c r="D98" s="3" t="s">
        <v>42</v>
      </c>
      <c r="E98" s="3" t="s">
        <v>1095</v>
      </c>
      <c r="F98" s="3" t="s">
        <v>1097</v>
      </c>
      <c r="G98" s="3" t="s">
        <v>1098</v>
      </c>
      <c r="H98" s="3" t="s">
        <v>66</v>
      </c>
      <c r="I98" s="3" t="s">
        <v>46</v>
      </c>
      <c r="J98" s="3" t="s">
        <v>47</v>
      </c>
      <c r="K98" s="3" t="s">
        <v>1099</v>
      </c>
      <c r="L98" s="3" t="s">
        <v>111</v>
      </c>
      <c r="M98" s="9" t="str">
        <f>HYPERLINK("http://www.sisco.com.sa", "www.sisco.com.sa")</f>
        <v>www.sisco.com.sa</v>
      </c>
      <c r="N98" s="3" t="s">
        <v>69</v>
      </c>
      <c r="O98" s="3" t="s">
        <v>42</v>
      </c>
      <c r="P98" s="3" t="s">
        <v>1100</v>
      </c>
      <c r="Q98" s="3" t="s">
        <v>42</v>
      </c>
      <c r="R98" s="17">
        <v>1</v>
      </c>
      <c r="S98" s="17">
        <v>1</v>
      </c>
      <c r="T98" s="17" t="s">
        <v>42</v>
      </c>
      <c r="U98" s="17" t="s">
        <v>42</v>
      </c>
      <c r="V98" s="17" t="s">
        <v>42</v>
      </c>
      <c r="W98" s="5" t="s">
        <v>1101</v>
      </c>
      <c r="X98" s="3" t="s">
        <v>1102</v>
      </c>
      <c r="Y98" s="3" t="s">
        <v>42</v>
      </c>
      <c r="Z98" s="3" t="s">
        <v>174</v>
      </c>
      <c r="AA98" s="3" t="s">
        <v>1103</v>
      </c>
      <c r="AB98" s="3" t="s">
        <v>1104</v>
      </c>
      <c r="AC98" s="3" t="s">
        <v>176</v>
      </c>
      <c r="AD98" s="3" t="s">
        <v>42</v>
      </c>
      <c r="AE98" s="5" t="s">
        <v>1105</v>
      </c>
      <c r="AF98" s="3" t="s">
        <v>60</v>
      </c>
      <c r="AG98" s="5" t="s">
        <v>42</v>
      </c>
      <c r="AH98" s="3" t="s">
        <v>61</v>
      </c>
      <c r="AI98" s="3" t="s">
        <v>61</v>
      </c>
      <c r="AJ98" s="3" t="s">
        <v>42</v>
      </c>
      <c r="AK98" s="3" t="s">
        <v>42</v>
      </c>
      <c r="AL98" s="29">
        <v>45870</v>
      </c>
      <c r="AM98" s="5" t="s">
        <v>42</v>
      </c>
      <c r="AN98" s="9" t="str">
        <f>HYPERLINK("https://my.pitchbook.com?p=400583-80P", "View People Online")</f>
        <v>View People Online</v>
      </c>
    </row>
    <row r="99" spans="1:40" x14ac:dyDescent="0.2">
      <c r="A99" s="2" t="s">
        <v>1106</v>
      </c>
      <c r="B99" s="2" t="s">
        <v>1107</v>
      </c>
      <c r="C99" s="2" t="s">
        <v>42</v>
      </c>
      <c r="D99" s="2" t="s">
        <v>42</v>
      </c>
      <c r="E99" s="2" t="s">
        <v>1106</v>
      </c>
      <c r="F99" s="2" t="s">
        <v>1108</v>
      </c>
      <c r="G99" s="2" t="s">
        <v>1109</v>
      </c>
      <c r="H99" s="2" t="s">
        <v>42</v>
      </c>
      <c r="I99" s="2" t="s">
        <v>46</v>
      </c>
      <c r="J99" s="2" t="s">
        <v>47</v>
      </c>
      <c r="K99" s="2" t="s">
        <v>1110</v>
      </c>
      <c r="L99" s="2" t="s">
        <v>111</v>
      </c>
      <c r="M99" s="8" t="str">
        <f>HYPERLINK("http://www.ngdc.com.sa", "www.ngdc.com.sa")</f>
        <v>www.ngdc.com.sa</v>
      </c>
      <c r="N99" s="2" t="s">
        <v>534</v>
      </c>
      <c r="O99" s="2" t="s">
        <v>42</v>
      </c>
      <c r="P99" s="2" t="s">
        <v>1111</v>
      </c>
      <c r="Q99" s="2" t="s">
        <v>1112</v>
      </c>
      <c r="R99" s="16" t="s">
        <v>42</v>
      </c>
      <c r="S99" s="16">
        <v>1</v>
      </c>
      <c r="T99" s="16">
        <v>1</v>
      </c>
      <c r="U99" s="16" t="s">
        <v>42</v>
      </c>
      <c r="V99" s="16" t="s">
        <v>42</v>
      </c>
      <c r="W99" s="4" t="s">
        <v>42</v>
      </c>
      <c r="X99" s="2" t="s">
        <v>42</v>
      </c>
      <c r="Y99" s="2" t="s">
        <v>42</v>
      </c>
      <c r="Z99" s="2" t="s">
        <v>55</v>
      </c>
      <c r="AA99" s="2" t="s">
        <v>1113</v>
      </c>
      <c r="AB99" s="2" t="s">
        <v>1114</v>
      </c>
      <c r="AC99" s="2" t="s">
        <v>58</v>
      </c>
      <c r="AD99" s="2" t="s">
        <v>42</v>
      </c>
      <c r="AE99" s="4" t="s">
        <v>42</v>
      </c>
      <c r="AF99" s="2" t="s">
        <v>60</v>
      </c>
      <c r="AG99" s="4" t="s">
        <v>42</v>
      </c>
      <c r="AH99" s="2" t="s">
        <v>61</v>
      </c>
      <c r="AI99" s="2" t="s">
        <v>61</v>
      </c>
      <c r="AJ99" s="2" t="s">
        <v>42</v>
      </c>
      <c r="AK99" s="2" t="s">
        <v>42</v>
      </c>
      <c r="AL99" s="28">
        <v>45551</v>
      </c>
      <c r="AM99" s="4" t="s">
        <v>42</v>
      </c>
      <c r="AN99" s="8" t="str">
        <f>HYPERLINK("https://my.pitchbook.com?p=303195-61P", "View People Online")</f>
        <v>View People Online</v>
      </c>
    </row>
    <row r="100" spans="1:40" x14ac:dyDescent="0.2">
      <c r="A100" s="3" t="s">
        <v>1115</v>
      </c>
      <c r="B100" s="3" t="s">
        <v>1116</v>
      </c>
      <c r="C100" s="3" t="s">
        <v>42</v>
      </c>
      <c r="D100" s="3" t="s">
        <v>42</v>
      </c>
      <c r="E100" s="3" t="s">
        <v>1115</v>
      </c>
      <c r="F100" s="3" t="s">
        <v>1117</v>
      </c>
      <c r="G100" s="3" t="s">
        <v>1118</v>
      </c>
      <c r="H100" s="3" t="s">
        <v>1119</v>
      </c>
      <c r="I100" s="3" t="s">
        <v>46</v>
      </c>
      <c r="J100" s="3" t="s">
        <v>47</v>
      </c>
      <c r="K100" s="3" t="s">
        <v>1120</v>
      </c>
      <c r="L100" s="3" t="s">
        <v>111</v>
      </c>
      <c r="M100" s="9" t="str">
        <f>HYPERLINK("http://www.saco.sa", "www.saco.sa")</f>
        <v>www.saco.sa</v>
      </c>
      <c r="N100" s="3" t="s">
        <v>210</v>
      </c>
      <c r="O100" s="3" t="s">
        <v>42</v>
      </c>
      <c r="P100" s="3" t="s">
        <v>1121</v>
      </c>
      <c r="Q100" s="3" t="s">
        <v>42</v>
      </c>
      <c r="R100" s="17" t="s">
        <v>42</v>
      </c>
      <c r="S100" s="17">
        <v>1</v>
      </c>
      <c r="T100" s="17">
        <v>1</v>
      </c>
      <c r="U100" s="17" t="s">
        <v>42</v>
      </c>
      <c r="V100" s="17" t="s">
        <v>42</v>
      </c>
      <c r="W100" s="5" t="s">
        <v>1122</v>
      </c>
      <c r="X100" s="3" t="s">
        <v>1123</v>
      </c>
      <c r="Y100" s="9" t="str">
        <f>HYPERLINK("http://linkedin.com/in/abdel-salam-bdeir-asb-88647b11/", "http://linkedin.com/in/abdel-salam-bdeir-asb-88647b11/")</f>
        <v>http://linkedin.com/in/abdel-salam-bdeir-asb-88647b11/</v>
      </c>
      <c r="Z100" s="3" t="s">
        <v>55</v>
      </c>
      <c r="AA100" s="3" t="s">
        <v>1124</v>
      </c>
      <c r="AB100" s="3" t="s">
        <v>1125</v>
      </c>
      <c r="AC100" s="3" t="s">
        <v>58</v>
      </c>
      <c r="AD100" s="3" t="s">
        <v>42</v>
      </c>
      <c r="AE100" s="5" t="s">
        <v>1126</v>
      </c>
      <c r="AF100" s="3" t="s">
        <v>60</v>
      </c>
      <c r="AG100" s="5" t="s">
        <v>1127</v>
      </c>
      <c r="AH100" s="3" t="s">
        <v>61</v>
      </c>
      <c r="AI100" s="3" t="s">
        <v>61</v>
      </c>
      <c r="AJ100" s="3" t="s">
        <v>42</v>
      </c>
      <c r="AK100" s="3" t="s">
        <v>42</v>
      </c>
      <c r="AL100" s="29">
        <v>45716</v>
      </c>
      <c r="AM100" s="5" t="s">
        <v>42</v>
      </c>
      <c r="AN100" s="9" t="str">
        <f>HYPERLINK("https://my.pitchbook.com?p=331338-70P", "View People Online")</f>
        <v>View People Online</v>
      </c>
    </row>
    <row r="101" spans="1:40" x14ac:dyDescent="0.2">
      <c r="A101" s="2" t="s">
        <v>1128</v>
      </c>
      <c r="B101" s="2" t="s">
        <v>1129</v>
      </c>
      <c r="C101" s="2" t="s">
        <v>42</v>
      </c>
      <c r="D101" s="2" t="s">
        <v>42</v>
      </c>
      <c r="E101" s="2" t="s">
        <v>1128</v>
      </c>
      <c r="F101" s="2" t="s">
        <v>1130</v>
      </c>
      <c r="G101" s="2" t="s">
        <v>1131</v>
      </c>
      <c r="H101" s="2" t="s">
        <v>391</v>
      </c>
      <c r="I101" s="2" t="s">
        <v>42</v>
      </c>
      <c r="J101" s="2" t="s">
        <v>47</v>
      </c>
      <c r="K101" s="2" t="s">
        <v>1132</v>
      </c>
      <c r="L101" s="2" t="s">
        <v>111</v>
      </c>
      <c r="M101" s="8" t="str">
        <f>HYPERLINK("http://www.al-arabia.com", "www.al-arabia.com")</f>
        <v>www.al-arabia.com</v>
      </c>
      <c r="N101" s="2" t="s">
        <v>69</v>
      </c>
      <c r="O101" s="2" t="s">
        <v>42</v>
      </c>
      <c r="P101" s="2" t="s">
        <v>1133</v>
      </c>
      <c r="Q101" s="2" t="s">
        <v>42</v>
      </c>
      <c r="R101" s="16">
        <v>1</v>
      </c>
      <c r="S101" s="16">
        <v>1</v>
      </c>
      <c r="T101" s="16" t="s">
        <v>42</v>
      </c>
      <c r="U101" s="16" t="s">
        <v>42</v>
      </c>
      <c r="V101" s="16" t="s">
        <v>42</v>
      </c>
      <c r="W101" s="4" t="s">
        <v>1134</v>
      </c>
      <c r="X101" s="2" t="s">
        <v>42</v>
      </c>
      <c r="Y101" s="2" t="s">
        <v>42</v>
      </c>
      <c r="Z101" s="2" t="s">
        <v>55</v>
      </c>
      <c r="AA101" s="2" t="s">
        <v>1135</v>
      </c>
      <c r="AB101" s="2" t="s">
        <v>1136</v>
      </c>
      <c r="AC101" s="2" t="s">
        <v>58</v>
      </c>
      <c r="AD101" s="2" t="s">
        <v>42</v>
      </c>
      <c r="AE101" s="4" t="s">
        <v>1137</v>
      </c>
      <c r="AF101" s="2" t="s">
        <v>60</v>
      </c>
      <c r="AG101" s="4" t="s">
        <v>42</v>
      </c>
      <c r="AH101" s="2" t="s">
        <v>61</v>
      </c>
      <c r="AI101" s="2" t="s">
        <v>61</v>
      </c>
      <c r="AJ101" s="2" t="s">
        <v>42</v>
      </c>
      <c r="AK101" s="2" t="s">
        <v>42</v>
      </c>
      <c r="AL101" s="28">
        <v>45824</v>
      </c>
      <c r="AM101" s="4" t="s">
        <v>42</v>
      </c>
      <c r="AN101" s="8" t="str">
        <f>HYPERLINK("https://my.pitchbook.com?p=320488-39P", "View People Online")</f>
        <v>View People Online</v>
      </c>
    </row>
    <row r="102" spans="1:40" x14ac:dyDescent="0.2">
      <c r="A102" s="3" t="s">
        <v>1138</v>
      </c>
      <c r="B102" s="3" t="s">
        <v>1139</v>
      </c>
      <c r="C102" s="3" t="s">
        <v>42</v>
      </c>
      <c r="D102" s="3" t="s">
        <v>42</v>
      </c>
      <c r="E102" s="3" t="s">
        <v>1138</v>
      </c>
      <c r="F102" s="3" t="s">
        <v>1140</v>
      </c>
      <c r="G102" s="3" t="s">
        <v>1141</v>
      </c>
      <c r="H102" s="3" t="s">
        <v>1142</v>
      </c>
      <c r="I102" s="3" t="s">
        <v>46</v>
      </c>
      <c r="J102" s="3" t="s">
        <v>47</v>
      </c>
      <c r="K102" s="3" t="s">
        <v>1143</v>
      </c>
      <c r="L102" s="3" t="s">
        <v>111</v>
      </c>
      <c r="M102" s="9" t="str">
        <f>HYPERLINK("http://www.munawlacargo.com.sa", "www.munawlacargo.com.sa")</f>
        <v>www.munawlacargo.com.sa</v>
      </c>
      <c r="N102" s="3" t="s">
        <v>534</v>
      </c>
      <c r="O102" s="3" t="s">
        <v>42</v>
      </c>
      <c r="P102" s="3" t="s">
        <v>1144</v>
      </c>
      <c r="Q102" s="3" t="s">
        <v>42</v>
      </c>
      <c r="R102" s="17" t="s">
        <v>42</v>
      </c>
      <c r="S102" s="17">
        <v>1</v>
      </c>
      <c r="T102" s="17">
        <v>1</v>
      </c>
      <c r="U102" s="17" t="s">
        <v>42</v>
      </c>
      <c r="V102" s="17" t="s">
        <v>42</v>
      </c>
      <c r="W102" s="5" t="s">
        <v>1145</v>
      </c>
      <c r="X102" s="3" t="s">
        <v>42</v>
      </c>
      <c r="Y102" s="3" t="s">
        <v>42</v>
      </c>
      <c r="Z102" s="3" t="s">
        <v>383</v>
      </c>
      <c r="AA102" s="3" t="s">
        <v>1146</v>
      </c>
      <c r="AB102" s="3" t="s">
        <v>1147</v>
      </c>
      <c r="AC102" s="3" t="s">
        <v>385</v>
      </c>
      <c r="AD102" s="3" t="s">
        <v>42</v>
      </c>
      <c r="AE102" s="5" t="s">
        <v>1148</v>
      </c>
      <c r="AF102" s="3" t="s">
        <v>60</v>
      </c>
      <c r="AG102" s="5" t="s">
        <v>1149</v>
      </c>
      <c r="AH102" s="3" t="s">
        <v>61</v>
      </c>
      <c r="AI102" s="3" t="s">
        <v>61</v>
      </c>
      <c r="AJ102" s="3" t="s">
        <v>42</v>
      </c>
      <c r="AK102" s="3" t="s">
        <v>42</v>
      </c>
      <c r="AL102" s="29">
        <v>45882</v>
      </c>
      <c r="AM102" s="5" t="s">
        <v>42</v>
      </c>
      <c r="AN102" s="9" t="str">
        <f>HYPERLINK("https://my.pitchbook.com?p=364781-62P", "View People Online")</f>
        <v>View People Online</v>
      </c>
    </row>
    <row r="103" spans="1:40" x14ac:dyDescent="0.2">
      <c r="A103" s="2" t="s">
        <v>1150</v>
      </c>
      <c r="B103" s="2" t="s">
        <v>1151</v>
      </c>
      <c r="C103" s="2" t="s">
        <v>42</v>
      </c>
      <c r="D103" s="2" t="s">
        <v>42</v>
      </c>
      <c r="E103" s="2" t="s">
        <v>1150</v>
      </c>
      <c r="F103" s="2" t="s">
        <v>1152</v>
      </c>
      <c r="G103" s="2" t="s">
        <v>1153</v>
      </c>
      <c r="H103" s="2" t="s">
        <v>379</v>
      </c>
      <c r="I103" s="2" t="s">
        <v>46</v>
      </c>
      <c r="J103" s="2" t="s">
        <v>47</v>
      </c>
      <c r="K103" s="2" t="s">
        <v>1154</v>
      </c>
      <c r="L103" s="2" t="s">
        <v>111</v>
      </c>
      <c r="M103" s="8" t="str">
        <f>HYPERLINK("http://www.svcp-sa.com", "www.svcp-sa.com")</f>
        <v>www.svcp-sa.com</v>
      </c>
      <c r="N103" s="2" t="s">
        <v>534</v>
      </c>
      <c r="O103" s="2" t="s">
        <v>42</v>
      </c>
      <c r="P103" s="2" t="s">
        <v>1155</v>
      </c>
      <c r="Q103" s="2" t="s">
        <v>42</v>
      </c>
      <c r="R103" s="16" t="s">
        <v>42</v>
      </c>
      <c r="S103" s="16">
        <v>1</v>
      </c>
      <c r="T103" s="16">
        <v>1</v>
      </c>
      <c r="U103" s="16" t="s">
        <v>42</v>
      </c>
      <c r="V103" s="16" t="s">
        <v>42</v>
      </c>
      <c r="W103" s="4" t="s">
        <v>1156</v>
      </c>
      <c r="X103" s="2" t="s">
        <v>42</v>
      </c>
      <c r="Y103" s="2" t="s">
        <v>42</v>
      </c>
      <c r="Z103" s="2" t="s">
        <v>55</v>
      </c>
      <c r="AA103" s="2" t="s">
        <v>1157</v>
      </c>
      <c r="AB103" s="2" t="s">
        <v>42</v>
      </c>
      <c r="AC103" s="2" t="s">
        <v>58</v>
      </c>
      <c r="AD103" s="2" t="s">
        <v>42</v>
      </c>
      <c r="AE103" s="4" t="s">
        <v>1158</v>
      </c>
      <c r="AF103" s="2" t="s">
        <v>60</v>
      </c>
      <c r="AG103" s="4" t="s">
        <v>1159</v>
      </c>
      <c r="AH103" s="2" t="s">
        <v>61</v>
      </c>
      <c r="AI103" s="2" t="s">
        <v>61</v>
      </c>
      <c r="AJ103" s="2" t="s">
        <v>42</v>
      </c>
      <c r="AK103" s="2" t="s">
        <v>42</v>
      </c>
      <c r="AL103" s="28">
        <v>45525</v>
      </c>
      <c r="AM103" s="4" t="s">
        <v>42</v>
      </c>
      <c r="AN103" s="8" t="str">
        <f>HYPERLINK("https://my.pitchbook.com?p=409747-42P", "View People Online")</f>
        <v>View People Online</v>
      </c>
    </row>
    <row r="104" spans="1:40" x14ac:dyDescent="0.2">
      <c r="A104" s="3" t="s">
        <v>1160</v>
      </c>
      <c r="B104" s="3" t="s">
        <v>1161</v>
      </c>
      <c r="C104" s="3" t="s">
        <v>42</v>
      </c>
      <c r="D104" s="3" t="s">
        <v>42</v>
      </c>
      <c r="E104" s="3" t="s">
        <v>1160</v>
      </c>
      <c r="F104" s="3" t="s">
        <v>1162</v>
      </c>
      <c r="G104" s="3" t="s">
        <v>344</v>
      </c>
      <c r="H104" s="3" t="s">
        <v>1163</v>
      </c>
      <c r="I104" s="3" t="s">
        <v>46</v>
      </c>
      <c r="J104" s="3" t="s">
        <v>47</v>
      </c>
      <c r="K104" s="3" t="s">
        <v>1164</v>
      </c>
      <c r="L104" s="3" t="s">
        <v>111</v>
      </c>
      <c r="M104" s="9" t="str">
        <f>HYPERLINK("http://www.najrancement.com", "www.najrancement.com")</f>
        <v>www.najrancement.com</v>
      </c>
      <c r="N104" s="3" t="s">
        <v>210</v>
      </c>
      <c r="O104" s="3" t="s">
        <v>42</v>
      </c>
      <c r="P104" s="3" t="s">
        <v>1165</v>
      </c>
      <c r="Q104" s="3" t="s">
        <v>42</v>
      </c>
      <c r="R104" s="17" t="s">
        <v>42</v>
      </c>
      <c r="S104" s="17">
        <v>1</v>
      </c>
      <c r="T104" s="17">
        <v>1</v>
      </c>
      <c r="U104" s="17" t="s">
        <v>42</v>
      </c>
      <c r="V104" s="17" t="s">
        <v>42</v>
      </c>
      <c r="W104" s="5" t="s">
        <v>1166</v>
      </c>
      <c r="X104" s="3" t="s">
        <v>1167</v>
      </c>
      <c r="Y104" s="3" t="s">
        <v>42</v>
      </c>
      <c r="Z104" s="3" t="s">
        <v>1168</v>
      </c>
      <c r="AA104" s="3" t="s">
        <v>1169</v>
      </c>
      <c r="AB104" s="3" t="s">
        <v>1170</v>
      </c>
      <c r="AC104" s="3" t="s">
        <v>1171</v>
      </c>
      <c r="AD104" s="3" t="s">
        <v>42</v>
      </c>
      <c r="AE104" s="5" t="s">
        <v>1172</v>
      </c>
      <c r="AF104" s="3" t="s">
        <v>60</v>
      </c>
      <c r="AG104" s="5" t="s">
        <v>1173</v>
      </c>
      <c r="AH104" s="3" t="s">
        <v>61</v>
      </c>
      <c r="AI104" s="3" t="s">
        <v>61</v>
      </c>
      <c r="AJ104" s="3" t="s">
        <v>42</v>
      </c>
      <c r="AK104" s="3" t="s">
        <v>42</v>
      </c>
      <c r="AL104" s="29">
        <v>45729</v>
      </c>
      <c r="AM104" s="5" t="s">
        <v>42</v>
      </c>
      <c r="AN104" s="9" t="str">
        <f>HYPERLINK("https://my.pitchbook.com?p=341113-87P", "View People Online")</f>
        <v>View People Online</v>
      </c>
    </row>
    <row r="105" spans="1:40" x14ac:dyDescent="0.2">
      <c r="A105" s="2" t="s">
        <v>1174</v>
      </c>
      <c r="B105" s="2" t="s">
        <v>1175</v>
      </c>
      <c r="C105" s="2" t="s">
        <v>42</v>
      </c>
      <c r="D105" s="2" t="s">
        <v>42</v>
      </c>
      <c r="E105" s="2" t="s">
        <v>1174</v>
      </c>
      <c r="F105" s="2" t="s">
        <v>1176</v>
      </c>
      <c r="G105" s="2" t="s">
        <v>344</v>
      </c>
      <c r="H105" s="2" t="s">
        <v>1177</v>
      </c>
      <c r="I105" s="2" t="s">
        <v>46</v>
      </c>
      <c r="J105" s="2" t="s">
        <v>47</v>
      </c>
      <c r="K105" s="2" t="s">
        <v>1178</v>
      </c>
      <c r="L105" s="2" t="s">
        <v>111</v>
      </c>
      <c r="M105" s="8" t="str">
        <f>HYPERLINK("http://www.alwasail.com", "www.alwasail.com")</f>
        <v>www.alwasail.com</v>
      </c>
      <c r="N105" s="2" t="s">
        <v>112</v>
      </c>
      <c r="O105" s="2" t="s">
        <v>42</v>
      </c>
      <c r="P105" s="2" t="s">
        <v>1179</v>
      </c>
      <c r="Q105" s="2" t="s">
        <v>42</v>
      </c>
      <c r="R105" s="16">
        <v>1</v>
      </c>
      <c r="S105" s="16">
        <v>1</v>
      </c>
      <c r="T105" s="16">
        <v>1</v>
      </c>
      <c r="U105" s="16" t="s">
        <v>42</v>
      </c>
      <c r="V105" s="16" t="s">
        <v>42</v>
      </c>
      <c r="W105" s="4" t="s">
        <v>1180</v>
      </c>
      <c r="X105" s="2" t="s">
        <v>42</v>
      </c>
      <c r="Y105" s="2" t="s">
        <v>42</v>
      </c>
      <c r="Z105" s="2" t="s">
        <v>1181</v>
      </c>
      <c r="AA105" s="2" t="s">
        <v>1182</v>
      </c>
      <c r="AB105" s="2" t="s">
        <v>1183</v>
      </c>
      <c r="AC105" s="2" t="s">
        <v>1184</v>
      </c>
      <c r="AD105" s="2" t="s">
        <v>42</v>
      </c>
      <c r="AE105" s="4" t="s">
        <v>1185</v>
      </c>
      <c r="AF105" s="2" t="s">
        <v>60</v>
      </c>
      <c r="AG105" s="4" t="s">
        <v>42</v>
      </c>
      <c r="AH105" s="2" t="s">
        <v>61</v>
      </c>
      <c r="AI105" s="2" t="s">
        <v>61</v>
      </c>
      <c r="AJ105" s="2" t="s">
        <v>42</v>
      </c>
      <c r="AK105" s="2" t="s">
        <v>42</v>
      </c>
      <c r="AL105" s="28">
        <v>45931</v>
      </c>
      <c r="AM105" s="4" t="s">
        <v>42</v>
      </c>
      <c r="AN105" s="8" t="str">
        <f>HYPERLINK("https://my.pitchbook.com?p=326041-93P", "View People Online")</f>
        <v>View People Online</v>
      </c>
    </row>
    <row r="106" spans="1:40" x14ac:dyDescent="0.2">
      <c r="A106" s="3" t="s">
        <v>1186</v>
      </c>
      <c r="B106" s="3" t="s">
        <v>1187</v>
      </c>
      <c r="C106" s="3" t="s">
        <v>42</v>
      </c>
      <c r="D106" s="3" t="s">
        <v>42</v>
      </c>
      <c r="E106" s="3" t="s">
        <v>1186</v>
      </c>
      <c r="F106" s="3" t="s">
        <v>1188</v>
      </c>
      <c r="G106" s="3" t="s">
        <v>344</v>
      </c>
      <c r="H106" s="3" t="s">
        <v>42</v>
      </c>
      <c r="I106" s="3" t="s">
        <v>46</v>
      </c>
      <c r="J106" s="3" t="s">
        <v>47</v>
      </c>
      <c r="K106" s="3" t="s">
        <v>1189</v>
      </c>
      <c r="L106" s="3" t="s">
        <v>111</v>
      </c>
      <c r="M106" s="9" t="str">
        <f>HYPERLINK("http://www.ucic.com.sa", "www.ucic.com.sa")</f>
        <v>www.ucic.com.sa</v>
      </c>
      <c r="N106" s="3" t="s">
        <v>1190</v>
      </c>
      <c r="O106" s="3" t="s">
        <v>42</v>
      </c>
      <c r="P106" s="3" t="s">
        <v>1191</v>
      </c>
      <c r="Q106" s="3" t="s">
        <v>42</v>
      </c>
      <c r="R106" s="17" t="s">
        <v>42</v>
      </c>
      <c r="S106" s="17">
        <v>1</v>
      </c>
      <c r="T106" s="17">
        <v>1</v>
      </c>
      <c r="U106" s="17" t="s">
        <v>42</v>
      </c>
      <c r="V106" s="17" t="s">
        <v>42</v>
      </c>
      <c r="W106" s="5" t="s">
        <v>1192</v>
      </c>
      <c r="X106" s="3" t="s">
        <v>42</v>
      </c>
      <c r="Y106" s="9" t="str">
        <f>HYPERLINK("http://linkedin.com/in/abdulghanibawany/?locale=ar_ae", "http://linkedin.com/in/abdulghanibawany/?locale=ar_ae")</f>
        <v>http://linkedin.com/in/abdulghanibawany/?locale=ar_ae</v>
      </c>
      <c r="Z106" s="3" t="s">
        <v>174</v>
      </c>
      <c r="AA106" s="3" t="s">
        <v>1193</v>
      </c>
      <c r="AB106" s="3" t="s">
        <v>1194</v>
      </c>
      <c r="AC106" s="3" t="s">
        <v>176</v>
      </c>
      <c r="AD106" s="3" t="s">
        <v>42</v>
      </c>
      <c r="AE106" s="5" t="s">
        <v>1195</v>
      </c>
      <c r="AF106" s="3" t="s">
        <v>60</v>
      </c>
      <c r="AG106" s="5" t="s">
        <v>42</v>
      </c>
      <c r="AH106" s="3" t="s">
        <v>61</v>
      </c>
      <c r="AI106" s="3" t="s">
        <v>61</v>
      </c>
      <c r="AJ106" s="3" t="s">
        <v>42</v>
      </c>
      <c r="AK106" s="3" t="s">
        <v>42</v>
      </c>
      <c r="AL106" s="29">
        <v>45762</v>
      </c>
      <c r="AM106" s="5" t="s">
        <v>42</v>
      </c>
      <c r="AN106" s="9" t="str">
        <f>HYPERLINK("https://my.pitchbook.com?p=442809-28P", "View People Online")</f>
        <v>View People Online</v>
      </c>
    </row>
    <row r="107" spans="1:40" x14ac:dyDescent="0.2">
      <c r="A107" s="2" t="s">
        <v>1196</v>
      </c>
      <c r="B107" s="2" t="s">
        <v>1197</v>
      </c>
      <c r="C107" s="2" t="s">
        <v>42</v>
      </c>
      <c r="D107" s="2" t="s">
        <v>42</v>
      </c>
      <c r="E107" s="2" t="s">
        <v>1196</v>
      </c>
      <c r="F107" s="2" t="s">
        <v>1198</v>
      </c>
      <c r="G107" s="2" t="s">
        <v>1199</v>
      </c>
      <c r="H107" s="2" t="s">
        <v>42</v>
      </c>
      <c r="I107" s="2" t="s">
        <v>46</v>
      </c>
      <c r="J107" s="2" t="s">
        <v>47</v>
      </c>
      <c r="K107" s="2" t="s">
        <v>1200</v>
      </c>
      <c r="L107" s="2" t="s">
        <v>111</v>
      </c>
      <c r="M107" s="8" t="str">
        <f>HYPERLINK("http://www.alomranco.com", "www.alomranco.com")</f>
        <v>www.alomranco.com</v>
      </c>
      <c r="N107" s="2" t="s">
        <v>1201</v>
      </c>
      <c r="O107" s="2" t="s">
        <v>42</v>
      </c>
      <c r="P107" s="2" t="s">
        <v>1202</v>
      </c>
      <c r="Q107" s="2" t="s">
        <v>42</v>
      </c>
      <c r="R107" s="16">
        <v>1</v>
      </c>
      <c r="S107" s="16">
        <v>1</v>
      </c>
      <c r="T107" s="16">
        <v>1</v>
      </c>
      <c r="U107" s="16" t="s">
        <v>42</v>
      </c>
      <c r="V107" s="16" t="s">
        <v>42</v>
      </c>
      <c r="W107" s="4" t="s">
        <v>1203</v>
      </c>
      <c r="X107" s="2" t="s">
        <v>42</v>
      </c>
      <c r="Y107" s="2" t="s">
        <v>42</v>
      </c>
      <c r="Z107" s="2" t="s">
        <v>55</v>
      </c>
      <c r="AA107" s="2" t="s">
        <v>1204</v>
      </c>
      <c r="AB107" s="2" t="s">
        <v>1205</v>
      </c>
      <c r="AC107" s="2" t="s">
        <v>58</v>
      </c>
      <c r="AD107" s="2" t="s">
        <v>42</v>
      </c>
      <c r="AE107" s="4" t="s">
        <v>1206</v>
      </c>
      <c r="AF107" s="2" t="s">
        <v>60</v>
      </c>
      <c r="AG107" s="4" t="s">
        <v>1207</v>
      </c>
      <c r="AH107" s="2" t="s">
        <v>61</v>
      </c>
      <c r="AI107" s="2" t="s">
        <v>61</v>
      </c>
      <c r="AJ107" s="2" t="s">
        <v>42</v>
      </c>
      <c r="AK107" s="2" t="s">
        <v>42</v>
      </c>
      <c r="AL107" s="28">
        <v>45853</v>
      </c>
      <c r="AM107" s="4" t="s">
        <v>42</v>
      </c>
      <c r="AN107" s="8" t="str">
        <f>HYPERLINK("https://my.pitchbook.com?p=329569-75P", "View People Online")</f>
        <v>View People Online</v>
      </c>
    </row>
    <row r="108" spans="1:40" x14ac:dyDescent="0.2">
      <c r="A108" s="3" t="s">
        <v>1208</v>
      </c>
      <c r="B108" s="3" t="s">
        <v>1209</v>
      </c>
      <c r="C108" s="3" t="s">
        <v>42</v>
      </c>
      <c r="D108" s="3" t="s">
        <v>42</v>
      </c>
      <c r="E108" s="3" t="s">
        <v>1208</v>
      </c>
      <c r="F108" s="3" t="s">
        <v>1210</v>
      </c>
      <c r="G108" s="3" t="s">
        <v>1199</v>
      </c>
      <c r="H108" s="3" t="s">
        <v>42</v>
      </c>
      <c r="I108" s="3" t="s">
        <v>46</v>
      </c>
      <c r="J108" s="3" t="s">
        <v>47</v>
      </c>
      <c r="K108" s="3" t="s">
        <v>1211</v>
      </c>
      <c r="L108" s="3" t="s">
        <v>111</v>
      </c>
      <c r="M108" s="9" t="str">
        <f>HYPERLINK("http://www.alahlireit.com", "www.alahlireit.com")</f>
        <v>www.alahlireit.com</v>
      </c>
      <c r="N108" s="3" t="s">
        <v>1058</v>
      </c>
      <c r="O108" s="3" t="s">
        <v>42</v>
      </c>
      <c r="P108" s="3" t="s">
        <v>1212</v>
      </c>
      <c r="Q108" s="3" t="s">
        <v>128</v>
      </c>
      <c r="R108" s="17">
        <v>1</v>
      </c>
      <c r="S108" s="17">
        <v>1</v>
      </c>
      <c r="T108" s="17" t="s">
        <v>42</v>
      </c>
      <c r="U108" s="17" t="s">
        <v>42</v>
      </c>
      <c r="V108" s="17" t="s">
        <v>42</v>
      </c>
      <c r="W108" s="5" t="s">
        <v>1213</v>
      </c>
      <c r="X108" s="3" t="s">
        <v>42</v>
      </c>
      <c r="Y108" s="3" t="s">
        <v>42</v>
      </c>
      <c r="Z108" s="3" t="s">
        <v>55</v>
      </c>
      <c r="AA108" s="3" t="s">
        <v>1214</v>
      </c>
      <c r="AB108" s="3" t="s">
        <v>1215</v>
      </c>
      <c r="AC108" s="3" t="s">
        <v>58</v>
      </c>
      <c r="AD108" s="3" t="s">
        <v>42</v>
      </c>
      <c r="AE108" s="5" t="s">
        <v>1216</v>
      </c>
      <c r="AF108" s="3" t="s">
        <v>60</v>
      </c>
      <c r="AG108" s="5" t="s">
        <v>42</v>
      </c>
      <c r="AH108" s="3" t="s">
        <v>61</v>
      </c>
      <c r="AI108" s="3" t="s">
        <v>61</v>
      </c>
      <c r="AJ108" s="3" t="s">
        <v>42</v>
      </c>
      <c r="AK108" s="3" t="s">
        <v>42</v>
      </c>
      <c r="AL108" s="29">
        <v>45694</v>
      </c>
      <c r="AM108" s="5" t="s">
        <v>42</v>
      </c>
      <c r="AN108" s="9" t="str">
        <f>HYPERLINK("https://my.pitchbook.com?p=329040-73P", "View People Online")</f>
        <v>View People Online</v>
      </c>
    </row>
    <row r="109" spans="1:40" x14ac:dyDescent="0.2">
      <c r="A109" s="2" t="s">
        <v>1217</v>
      </c>
      <c r="B109" s="2" t="s">
        <v>1218</v>
      </c>
      <c r="C109" s="2" t="s">
        <v>42</v>
      </c>
      <c r="D109" s="2" t="s">
        <v>42</v>
      </c>
      <c r="E109" s="2" t="s">
        <v>1217</v>
      </c>
      <c r="F109" s="2" t="s">
        <v>1219</v>
      </c>
      <c r="G109" s="2" t="s">
        <v>344</v>
      </c>
      <c r="H109" s="2" t="s">
        <v>1220</v>
      </c>
      <c r="I109" s="2" t="s">
        <v>46</v>
      </c>
      <c r="J109" s="2" t="s">
        <v>47</v>
      </c>
      <c r="K109" s="2" t="s">
        <v>1221</v>
      </c>
      <c r="L109" s="2" t="s">
        <v>111</v>
      </c>
      <c r="M109" s="8" t="str">
        <f>HYPERLINK("http://www.ashamco.net.sa", "www.ashamco.net.sa")</f>
        <v>www.ashamco.net.sa</v>
      </c>
      <c r="N109" s="2" t="s">
        <v>447</v>
      </c>
      <c r="O109" s="2" t="s">
        <v>42</v>
      </c>
      <c r="P109" s="2" t="s">
        <v>1222</v>
      </c>
      <c r="Q109" s="2" t="s">
        <v>42</v>
      </c>
      <c r="R109" s="16" t="s">
        <v>42</v>
      </c>
      <c r="S109" s="16">
        <v>1</v>
      </c>
      <c r="T109" s="16">
        <v>1</v>
      </c>
      <c r="U109" s="16" t="s">
        <v>42</v>
      </c>
      <c r="V109" s="16" t="s">
        <v>42</v>
      </c>
      <c r="W109" s="4" t="s">
        <v>1223</v>
      </c>
      <c r="X109" s="2" t="s">
        <v>1224</v>
      </c>
      <c r="Y109" s="2" t="s">
        <v>42</v>
      </c>
      <c r="Z109" s="2" t="s">
        <v>1225</v>
      </c>
      <c r="AA109" s="2" t="s">
        <v>1226</v>
      </c>
      <c r="AB109" s="2" t="s">
        <v>1227</v>
      </c>
      <c r="AC109" s="2" t="s">
        <v>1228</v>
      </c>
      <c r="AD109" s="2" t="s">
        <v>1229</v>
      </c>
      <c r="AE109" s="4" t="s">
        <v>1230</v>
      </c>
      <c r="AF109" s="2" t="s">
        <v>60</v>
      </c>
      <c r="AG109" s="4" t="s">
        <v>1231</v>
      </c>
      <c r="AH109" s="2" t="s">
        <v>61</v>
      </c>
      <c r="AI109" s="2" t="s">
        <v>61</v>
      </c>
      <c r="AJ109" s="2" t="s">
        <v>42</v>
      </c>
      <c r="AK109" s="2" t="s">
        <v>42</v>
      </c>
      <c r="AL109" s="28">
        <v>45757</v>
      </c>
      <c r="AM109" s="4" t="s">
        <v>42</v>
      </c>
      <c r="AN109" s="8" t="str">
        <f>HYPERLINK("https://my.pitchbook.com?p=399617-74P", "View People Online")</f>
        <v>View People Online</v>
      </c>
    </row>
    <row r="110" spans="1:40" x14ac:dyDescent="0.2">
      <c r="A110" s="3" t="s">
        <v>1232</v>
      </c>
      <c r="B110" s="3" t="s">
        <v>1233</v>
      </c>
      <c r="C110" s="3" t="s">
        <v>42</v>
      </c>
      <c r="D110" s="3" t="s">
        <v>42</v>
      </c>
      <c r="E110" s="3" t="s">
        <v>1232</v>
      </c>
      <c r="F110" s="3" t="s">
        <v>1025</v>
      </c>
      <c r="G110" s="3" t="s">
        <v>344</v>
      </c>
      <c r="H110" s="3" t="s">
        <v>1234</v>
      </c>
      <c r="I110" s="3" t="s">
        <v>46</v>
      </c>
      <c r="J110" s="3" t="s">
        <v>47</v>
      </c>
      <c r="K110" s="3" t="s">
        <v>1235</v>
      </c>
      <c r="L110" s="3" t="s">
        <v>111</v>
      </c>
      <c r="M110" s="9" t="str">
        <f>HYPERLINK("http://time-entertainment.com", "time-entertainment.com")</f>
        <v>time-entertainment.com</v>
      </c>
      <c r="N110" s="3" t="s">
        <v>534</v>
      </c>
      <c r="O110" s="3" t="s">
        <v>42</v>
      </c>
      <c r="P110" s="3" t="s">
        <v>1236</v>
      </c>
      <c r="Q110" s="3" t="s">
        <v>42</v>
      </c>
      <c r="R110" s="17" t="s">
        <v>42</v>
      </c>
      <c r="S110" s="17">
        <v>1</v>
      </c>
      <c r="T110" s="17">
        <v>1</v>
      </c>
      <c r="U110" s="17" t="s">
        <v>42</v>
      </c>
      <c r="V110" s="17" t="s">
        <v>42</v>
      </c>
      <c r="W110" s="5" t="s">
        <v>42</v>
      </c>
      <c r="X110" s="3" t="s">
        <v>42</v>
      </c>
      <c r="Y110" s="3" t="s">
        <v>42</v>
      </c>
      <c r="Z110" s="3" t="s">
        <v>55</v>
      </c>
      <c r="AA110" s="3" t="s">
        <v>1237</v>
      </c>
      <c r="AB110" s="3" t="s">
        <v>1238</v>
      </c>
      <c r="AC110" s="3" t="s">
        <v>58</v>
      </c>
      <c r="AD110" s="3" t="s">
        <v>42</v>
      </c>
      <c r="AE110" s="5" t="s">
        <v>1239</v>
      </c>
      <c r="AF110" s="3" t="s">
        <v>60</v>
      </c>
      <c r="AG110" s="5" t="s">
        <v>42</v>
      </c>
      <c r="AH110" s="3" t="s">
        <v>61</v>
      </c>
      <c r="AI110" s="3" t="s">
        <v>61</v>
      </c>
      <c r="AJ110" s="3" t="s">
        <v>42</v>
      </c>
      <c r="AK110" s="3" t="s">
        <v>42</v>
      </c>
      <c r="AL110" s="29">
        <v>45790</v>
      </c>
      <c r="AM110" s="5" t="s">
        <v>42</v>
      </c>
      <c r="AN110" s="9" t="str">
        <f>HYPERLINK("https://my.pitchbook.com?p=446247-19P", "View People Online")</f>
        <v>View People Online</v>
      </c>
    </row>
    <row r="111" spans="1:40" x14ac:dyDescent="0.2">
      <c r="A111" s="2" t="s">
        <v>1240</v>
      </c>
      <c r="B111" s="2" t="s">
        <v>1241</v>
      </c>
      <c r="C111" s="2" t="s">
        <v>42</v>
      </c>
      <c r="D111" s="2" t="s">
        <v>42</v>
      </c>
      <c r="E111" s="2" t="s">
        <v>1240</v>
      </c>
      <c r="F111" s="2" t="s">
        <v>1242</v>
      </c>
      <c r="G111" s="2" t="s">
        <v>1243</v>
      </c>
      <c r="H111" s="2" t="s">
        <v>1244</v>
      </c>
      <c r="I111" s="2" t="s">
        <v>46</v>
      </c>
      <c r="J111" s="2" t="s">
        <v>47</v>
      </c>
      <c r="K111" s="2" t="s">
        <v>1245</v>
      </c>
      <c r="L111" s="2" t="s">
        <v>111</v>
      </c>
      <c r="M111" s="8" t="str">
        <f>HYPERLINK("http://www.sidc.com.sa", "www.sidc.com.sa")</f>
        <v>www.sidc.com.sa</v>
      </c>
      <c r="N111" s="2" t="s">
        <v>246</v>
      </c>
      <c r="O111" s="2" t="s">
        <v>42</v>
      </c>
      <c r="P111" s="2" t="s">
        <v>1246</v>
      </c>
      <c r="Q111" s="2" t="s">
        <v>42</v>
      </c>
      <c r="R111" s="16">
        <v>1</v>
      </c>
      <c r="S111" s="16">
        <v>1</v>
      </c>
      <c r="T111" s="16" t="s">
        <v>42</v>
      </c>
      <c r="U111" s="16" t="s">
        <v>42</v>
      </c>
      <c r="V111" s="16" t="s">
        <v>42</v>
      </c>
      <c r="W111" s="4" t="s">
        <v>1247</v>
      </c>
      <c r="X111" s="2" t="s">
        <v>42</v>
      </c>
      <c r="Y111" s="8" t="str">
        <f>HYPERLINK("http://linkedin.com/in/abdullah1alsaif/?originalsubdomain=sa", "http://linkedin.com/in/abdullah1alsaif/?originalsubdomain=sa")</f>
        <v>http://linkedin.com/in/abdullah1alsaif/?originalsubdomain=sa</v>
      </c>
      <c r="Z111" s="2" t="s">
        <v>174</v>
      </c>
      <c r="AA111" s="2" t="s">
        <v>1248</v>
      </c>
      <c r="AB111" s="2" t="s">
        <v>1249</v>
      </c>
      <c r="AC111" s="2" t="s">
        <v>176</v>
      </c>
      <c r="AD111" s="2" t="s">
        <v>42</v>
      </c>
      <c r="AE111" s="4" t="s">
        <v>1250</v>
      </c>
      <c r="AF111" s="2" t="s">
        <v>60</v>
      </c>
      <c r="AG111" s="4" t="s">
        <v>1251</v>
      </c>
      <c r="AH111" s="2" t="s">
        <v>61</v>
      </c>
      <c r="AI111" s="2" t="s">
        <v>61</v>
      </c>
      <c r="AJ111" s="2" t="s">
        <v>42</v>
      </c>
      <c r="AK111" s="2" t="s">
        <v>42</v>
      </c>
      <c r="AL111" s="28">
        <v>45688</v>
      </c>
      <c r="AM111" s="4" t="s">
        <v>42</v>
      </c>
      <c r="AN111" s="8" t="str">
        <f>HYPERLINK("https://my.pitchbook.com?p=329941-72P", "View People Online")</f>
        <v>View People Online</v>
      </c>
    </row>
    <row r="112" spans="1:40" x14ac:dyDescent="0.2">
      <c r="A112" s="3" t="s">
        <v>1252</v>
      </c>
      <c r="B112" s="3" t="s">
        <v>1253</v>
      </c>
      <c r="C112" s="3" t="s">
        <v>42</v>
      </c>
      <c r="D112" s="3" t="s">
        <v>42</v>
      </c>
      <c r="E112" s="3" t="s">
        <v>1252</v>
      </c>
      <c r="F112" s="3" t="s">
        <v>1254</v>
      </c>
      <c r="G112" s="3" t="s">
        <v>1243</v>
      </c>
      <c r="H112" s="3" t="s">
        <v>42</v>
      </c>
      <c r="I112" s="3" t="s">
        <v>46</v>
      </c>
      <c r="J112" s="3" t="s">
        <v>47</v>
      </c>
      <c r="K112" s="3" t="s">
        <v>1255</v>
      </c>
      <c r="L112" s="3" t="s">
        <v>111</v>
      </c>
      <c r="M112" s="9" t="str">
        <f>HYPERLINK("http://www.alsaifgallery.com", "www.alsaifgallery.com")</f>
        <v>www.alsaifgallery.com</v>
      </c>
      <c r="N112" s="3" t="s">
        <v>534</v>
      </c>
      <c r="O112" s="3" t="s">
        <v>42</v>
      </c>
      <c r="P112" s="3" t="s">
        <v>1256</v>
      </c>
      <c r="Q112" s="3" t="s">
        <v>1257</v>
      </c>
      <c r="R112" s="17" t="s">
        <v>42</v>
      </c>
      <c r="S112" s="17">
        <v>1</v>
      </c>
      <c r="T112" s="17">
        <v>1</v>
      </c>
      <c r="U112" s="17" t="s">
        <v>42</v>
      </c>
      <c r="V112" s="17" t="s">
        <v>42</v>
      </c>
      <c r="W112" s="5" t="s">
        <v>1258</v>
      </c>
      <c r="X112" s="3" t="s">
        <v>1259</v>
      </c>
      <c r="Y112" s="3" t="s">
        <v>42</v>
      </c>
      <c r="Z112" s="3" t="s">
        <v>55</v>
      </c>
      <c r="AA112" s="3" t="s">
        <v>1260</v>
      </c>
      <c r="AB112" s="3" t="s">
        <v>1261</v>
      </c>
      <c r="AC112" s="3" t="s">
        <v>58</v>
      </c>
      <c r="AD112" s="3" t="s">
        <v>42</v>
      </c>
      <c r="AE112" s="5" t="s">
        <v>1262</v>
      </c>
      <c r="AF112" s="3" t="s">
        <v>60</v>
      </c>
      <c r="AG112" s="5" t="s">
        <v>1263</v>
      </c>
      <c r="AH112" s="3" t="s">
        <v>61</v>
      </c>
      <c r="AI112" s="3" t="s">
        <v>61</v>
      </c>
      <c r="AJ112" s="3" t="s">
        <v>42</v>
      </c>
      <c r="AK112" s="3" t="s">
        <v>42</v>
      </c>
      <c r="AL112" s="29">
        <v>45457</v>
      </c>
      <c r="AM112" s="5" t="s">
        <v>42</v>
      </c>
      <c r="AN112" s="9" t="str">
        <f>HYPERLINK("https://my.pitchbook.com?p=329683-87P", "View People Online")</f>
        <v>View People Online</v>
      </c>
    </row>
    <row r="113" spans="1:40" x14ac:dyDescent="0.2">
      <c r="A113" s="2" t="s">
        <v>1264</v>
      </c>
      <c r="B113" s="2" t="s">
        <v>1265</v>
      </c>
      <c r="C113" s="2" t="s">
        <v>42</v>
      </c>
      <c r="D113" s="2" t="s">
        <v>42</v>
      </c>
      <c r="E113" s="2" t="s">
        <v>1264</v>
      </c>
      <c r="F113" s="2" t="s">
        <v>1266</v>
      </c>
      <c r="G113" s="2" t="s">
        <v>1267</v>
      </c>
      <c r="H113" s="2" t="s">
        <v>1268</v>
      </c>
      <c r="I113" s="2" t="s">
        <v>196</v>
      </c>
      <c r="J113" s="2" t="s">
        <v>47</v>
      </c>
      <c r="K113" s="2" t="s">
        <v>699</v>
      </c>
      <c r="L113" s="2" t="s">
        <v>111</v>
      </c>
      <c r="M113" s="8" t="str">
        <f>HYPERLINK("http://www.hmg.com", "www.hmg.com")</f>
        <v>www.hmg.com</v>
      </c>
      <c r="N113" s="2" t="s">
        <v>370</v>
      </c>
      <c r="O113" s="2" t="s">
        <v>42</v>
      </c>
      <c r="P113" s="2" t="s">
        <v>1269</v>
      </c>
      <c r="Q113" s="2" t="s">
        <v>1270</v>
      </c>
      <c r="R113" s="16" t="s">
        <v>42</v>
      </c>
      <c r="S113" s="16">
        <v>1</v>
      </c>
      <c r="T113" s="16">
        <v>1</v>
      </c>
      <c r="U113" s="16" t="s">
        <v>42</v>
      </c>
      <c r="V113" s="16" t="s">
        <v>42</v>
      </c>
      <c r="W113" s="4" t="s">
        <v>42</v>
      </c>
      <c r="X113" s="2" t="s">
        <v>1271</v>
      </c>
      <c r="Y113" s="8" t="str">
        <f>HYPERLINK("http://sa.linkedin.com/in/abdulwahab-al-abdulwahab-84928b173", "http://sa.linkedin.com/in/abdulwahab-al-abdulwahab-84928b173")</f>
        <v>http://sa.linkedin.com/in/abdulwahab-al-abdulwahab-84928b173</v>
      </c>
      <c r="Z113" s="2" t="s">
        <v>55</v>
      </c>
      <c r="AA113" s="2" t="s">
        <v>703</v>
      </c>
      <c r="AB113" s="2" t="s">
        <v>42</v>
      </c>
      <c r="AC113" s="2" t="s">
        <v>58</v>
      </c>
      <c r="AD113" s="2" t="s">
        <v>42</v>
      </c>
      <c r="AE113" s="4" t="s">
        <v>704</v>
      </c>
      <c r="AF113" s="2" t="s">
        <v>60</v>
      </c>
      <c r="AG113" s="4" t="s">
        <v>42</v>
      </c>
      <c r="AH113" s="2" t="s">
        <v>61</v>
      </c>
      <c r="AI113" s="2" t="s">
        <v>61</v>
      </c>
      <c r="AJ113" s="2" t="s">
        <v>42</v>
      </c>
      <c r="AK113" s="2" t="s">
        <v>42</v>
      </c>
      <c r="AL113" s="28">
        <v>46052</v>
      </c>
      <c r="AM113" s="4" t="s">
        <v>42</v>
      </c>
      <c r="AN113" s="8" t="str">
        <f>HYPERLINK("https://my.pitchbook.com?p=245388-79P", "View People Online")</f>
        <v>View People Online</v>
      </c>
    </row>
    <row r="114" spans="1:40" x14ac:dyDescent="0.2">
      <c r="A114" s="3" t="s">
        <v>1272</v>
      </c>
      <c r="B114" s="3" t="s">
        <v>1273</v>
      </c>
      <c r="C114" s="3" t="s">
        <v>42</v>
      </c>
      <c r="D114" s="3" t="s">
        <v>42</v>
      </c>
      <c r="E114" s="3" t="s">
        <v>1272</v>
      </c>
      <c r="F114" s="3" t="s">
        <v>1274</v>
      </c>
      <c r="G114" s="3" t="s">
        <v>65</v>
      </c>
      <c r="H114" s="3" t="s">
        <v>42</v>
      </c>
      <c r="I114" s="3" t="s">
        <v>46</v>
      </c>
      <c r="J114" s="3" t="s">
        <v>47</v>
      </c>
      <c r="K114" s="3" t="s">
        <v>710</v>
      </c>
      <c r="L114" s="3" t="s">
        <v>481</v>
      </c>
      <c r="M114" s="9" t="str">
        <f>HYPERLINK("http://www.saib.com.sa", "www.saib.com.sa")</f>
        <v>www.saib.com.sa</v>
      </c>
      <c r="N114" s="3" t="s">
        <v>370</v>
      </c>
      <c r="O114" s="3" t="s">
        <v>42</v>
      </c>
      <c r="P114" s="3" t="s">
        <v>1275</v>
      </c>
      <c r="Q114" s="3" t="s">
        <v>42</v>
      </c>
      <c r="R114" s="17" t="s">
        <v>42</v>
      </c>
      <c r="S114" s="17">
        <v>1</v>
      </c>
      <c r="T114" s="17">
        <v>1</v>
      </c>
      <c r="U114" s="17" t="s">
        <v>42</v>
      </c>
      <c r="V114" s="17" t="s">
        <v>42</v>
      </c>
      <c r="W114" s="5" t="s">
        <v>42</v>
      </c>
      <c r="X114" s="3" t="s">
        <v>1276</v>
      </c>
      <c r="Y114" s="9" t="str">
        <f>HYPERLINK("http://linkedin.com/in/abdulazizalafaleg/?originalsubdomain=sa", "http://linkedin.com/in/abdulazizalafaleg/?originalsubdomain=sa")</f>
        <v>http://linkedin.com/in/abdulazizalafaleg/?originalsubdomain=sa</v>
      </c>
      <c r="Z114" s="3" t="s">
        <v>55</v>
      </c>
      <c r="AA114" s="3" t="s">
        <v>713</v>
      </c>
      <c r="AB114" s="3" t="s">
        <v>714</v>
      </c>
      <c r="AC114" s="3" t="s">
        <v>58</v>
      </c>
      <c r="AD114" s="3" t="s">
        <v>42</v>
      </c>
      <c r="AE114" s="5" t="s">
        <v>715</v>
      </c>
      <c r="AF114" s="3" t="s">
        <v>60</v>
      </c>
      <c r="AG114" s="5" t="s">
        <v>42</v>
      </c>
      <c r="AH114" s="3" t="s">
        <v>61</v>
      </c>
      <c r="AI114" s="3" t="s">
        <v>61</v>
      </c>
      <c r="AJ114" s="3" t="s">
        <v>42</v>
      </c>
      <c r="AK114" s="3" t="s">
        <v>42</v>
      </c>
      <c r="AL114" s="29">
        <v>45838</v>
      </c>
      <c r="AM114" s="5">
        <v>1984</v>
      </c>
      <c r="AN114" s="9" t="str">
        <f>HYPERLINK("https://my.pitchbook.com?p=409414-69P", "View People Online")</f>
        <v>View People Online</v>
      </c>
    </row>
    <row r="115" spans="1:40" x14ac:dyDescent="0.2">
      <c r="A115" s="2" t="s">
        <v>1277</v>
      </c>
      <c r="B115" s="2" t="s">
        <v>1278</v>
      </c>
      <c r="C115" s="2" t="s">
        <v>42</v>
      </c>
      <c r="D115" s="2" t="s">
        <v>42</v>
      </c>
      <c r="E115" s="2" t="s">
        <v>1277</v>
      </c>
      <c r="F115" s="2" t="s">
        <v>1279</v>
      </c>
      <c r="G115" s="2" t="s">
        <v>65</v>
      </c>
      <c r="H115" s="2" t="s">
        <v>42</v>
      </c>
      <c r="I115" s="2" t="s">
        <v>46</v>
      </c>
      <c r="J115" s="2" t="s">
        <v>47</v>
      </c>
      <c r="K115" s="2" t="s">
        <v>1280</v>
      </c>
      <c r="L115" s="2" t="s">
        <v>111</v>
      </c>
      <c r="M115" s="8" t="str">
        <f>HYPERLINK("http://ladun.sa", "ladun.sa")</f>
        <v>ladun.sa</v>
      </c>
      <c r="N115" s="2" t="s">
        <v>1281</v>
      </c>
      <c r="O115" s="2" t="s">
        <v>42</v>
      </c>
      <c r="P115" s="2" t="s">
        <v>1282</v>
      </c>
      <c r="Q115" s="2" t="s">
        <v>128</v>
      </c>
      <c r="R115" s="16" t="s">
        <v>42</v>
      </c>
      <c r="S115" s="16">
        <v>1</v>
      </c>
      <c r="T115" s="16">
        <v>1</v>
      </c>
      <c r="U115" s="16" t="s">
        <v>42</v>
      </c>
      <c r="V115" s="16" t="s">
        <v>42</v>
      </c>
      <c r="W115" s="4" t="s">
        <v>1283</v>
      </c>
      <c r="X115" s="2" t="s">
        <v>1284</v>
      </c>
      <c r="Y115" s="8" t="str">
        <f>HYPERLINK("http://linkedin.com/in/abdulaziz-al-rashidi-socpa-cma-213892108/?originalsubdomain=sa", "http://linkedin.com/in/abdulaziz-al-rashidi-socpa-cma-213892108/?originalsubdomain=sa")</f>
        <v>http://linkedin.com/in/abdulaziz-al-rashidi-socpa-cma-213892108/?originalsubdomain=sa</v>
      </c>
      <c r="Z115" s="2" t="s">
        <v>55</v>
      </c>
      <c r="AA115" s="2" t="s">
        <v>1285</v>
      </c>
      <c r="AB115" s="2" t="s">
        <v>1286</v>
      </c>
      <c r="AC115" s="2" t="s">
        <v>58</v>
      </c>
      <c r="AD115" s="2" t="s">
        <v>42</v>
      </c>
      <c r="AE115" s="4" t="s">
        <v>599</v>
      </c>
      <c r="AF115" s="2" t="s">
        <v>60</v>
      </c>
      <c r="AG115" s="4" t="s">
        <v>1287</v>
      </c>
      <c r="AH115" s="2" t="s">
        <v>61</v>
      </c>
      <c r="AI115" s="2" t="s">
        <v>61</v>
      </c>
      <c r="AJ115" s="2" t="s">
        <v>42</v>
      </c>
      <c r="AK115" s="2" t="s">
        <v>42</v>
      </c>
      <c r="AL115" s="28">
        <v>45838</v>
      </c>
      <c r="AM115" s="4">
        <v>1977</v>
      </c>
      <c r="AN115" s="8" t="str">
        <f>HYPERLINK("https://my.pitchbook.com?p=316668-07P", "View People Online")</f>
        <v>View People Online</v>
      </c>
    </row>
    <row r="116" spans="1:40" x14ac:dyDescent="0.2">
      <c r="A116" s="3" t="s">
        <v>1288</v>
      </c>
      <c r="B116" s="3" t="s">
        <v>1289</v>
      </c>
      <c r="C116" s="3" t="s">
        <v>42</v>
      </c>
      <c r="D116" s="3" t="s">
        <v>42</v>
      </c>
      <c r="E116" s="3" t="s">
        <v>1288</v>
      </c>
      <c r="F116" s="3" t="s">
        <v>1290</v>
      </c>
      <c r="G116" s="3" t="s">
        <v>65</v>
      </c>
      <c r="H116" s="3" t="s">
        <v>391</v>
      </c>
      <c r="I116" s="3" t="s">
        <v>46</v>
      </c>
      <c r="J116" s="3" t="s">
        <v>47</v>
      </c>
      <c r="K116" s="3" t="s">
        <v>1291</v>
      </c>
      <c r="L116" s="3" t="s">
        <v>111</v>
      </c>
      <c r="M116" s="9" t="str">
        <f>HYPERLINK("http://www.molansteel.com", "www.molansteel.com")</f>
        <v>www.molansteel.com</v>
      </c>
      <c r="N116" s="3" t="s">
        <v>210</v>
      </c>
      <c r="O116" s="3" t="s">
        <v>42</v>
      </c>
      <c r="P116" s="3" t="s">
        <v>1292</v>
      </c>
      <c r="Q116" s="3" t="s">
        <v>42</v>
      </c>
      <c r="R116" s="17" t="s">
        <v>42</v>
      </c>
      <c r="S116" s="17">
        <v>1</v>
      </c>
      <c r="T116" s="17">
        <v>1</v>
      </c>
      <c r="U116" s="17" t="s">
        <v>42</v>
      </c>
      <c r="V116" s="17" t="s">
        <v>42</v>
      </c>
      <c r="W116" s="5" t="s">
        <v>1293</v>
      </c>
      <c r="X116" s="3" t="s">
        <v>42</v>
      </c>
      <c r="Y116" s="9" t="str">
        <f>HYPERLINK("http://linkedin.com/in/abdulaziz-aldiab/", "http://linkedin.com/in/abdulaziz-aldiab/")</f>
        <v>http://linkedin.com/in/abdulaziz-aldiab/</v>
      </c>
      <c r="Z116" s="3" t="s">
        <v>55</v>
      </c>
      <c r="AA116" s="3" t="s">
        <v>1294</v>
      </c>
      <c r="AB116" s="3" t="s">
        <v>1295</v>
      </c>
      <c r="AC116" s="3" t="s">
        <v>58</v>
      </c>
      <c r="AD116" s="3" t="s">
        <v>42</v>
      </c>
      <c r="AE116" s="5" t="s">
        <v>1296</v>
      </c>
      <c r="AF116" s="3" t="s">
        <v>60</v>
      </c>
      <c r="AG116" s="5" t="s">
        <v>1297</v>
      </c>
      <c r="AH116" s="3" t="s">
        <v>61</v>
      </c>
      <c r="AI116" s="3" t="s">
        <v>61</v>
      </c>
      <c r="AJ116" s="3" t="s">
        <v>42</v>
      </c>
      <c r="AK116" s="3" t="s">
        <v>42</v>
      </c>
      <c r="AL116" s="29">
        <v>45685</v>
      </c>
      <c r="AM116" s="5" t="s">
        <v>42</v>
      </c>
      <c r="AN116" s="9" t="str">
        <f>HYPERLINK("https://my.pitchbook.com?p=329116-24P", "View People Online")</f>
        <v>View People Online</v>
      </c>
    </row>
    <row r="117" spans="1:40" x14ac:dyDescent="0.2">
      <c r="A117" s="2" t="s">
        <v>1298</v>
      </c>
      <c r="B117" s="2" t="s">
        <v>1299</v>
      </c>
      <c r="C117" s="2" t="s">
        <v>42</v>
      </c>
      <c r="D117" s="2" t="s">
        <v>42</v>
      </c>
      <c r="E117" s="2" t="s">
        <v>1298</v>
      </c>
      <c r="F117" s="2" t="s">
        <v>1300</v>
      </c>
      <c r="G117" s="2" t="s">
        <v>65</v>
      </c>
      <c r="H117" s="2" t="s">
        <v>161</v>
      </c>
      <c r="I117" s="2" t="s">
        <v>42</v>
      </c>
      <c r="J117" s="2" t="s">
        <v>47</v>
      </c>
      <c r="K117" s="2" t="s">
        <v>687</v>
      </c>
      <c r="L117" s="2" t="s">
        <v>111</v>
      </c>
      <c r="M117" s="8" t="str">
        <f>HYPERLINK("http://tawuniya.com", "tawuniya.com")</f>
        <v>tawuniya.com</v>
      </c>
      <c r="N117" s="2" t="s">
        <v>69</v>
      </c>
      <c r="O117" s="2" t="s">
        <v>42</v>
      </c>
      <c r="P117" s="2" t="s">
        <v>1301</v>
      </c>
      <c r="Q117" s="2" t="s">
        <v>42</v>
      </c>
      <c r="R117" s="16">
        <v>1</v>
      </c>
      <c r="S117" s="16">
        <v>1</v>
      </c>
      <c r="T117" s="16" t="s">
        <v>42</v>
      </c>
      <c r="U117" s="16" t="s">
        <v>42</v>
      </c>
      <c r="V117" s="16" t="s">
        <v>42</v>
      </c>
      <c r="W117" s="4" t="s">
        <v>690</v>
      </c>
      <c r="X117" s="2" t="s">
        <v>42</v>
      </c>
      <c r="Y117" s="2" t="s">
        <v>42</v>
      </c>
      <c r="Z117" s="2" t="s">
        <v>55</v>
      </c>
      <c r="AA117" s="2" t="s">
        <v>691</v>
      </c>
      <c r="AB117" s="2" t="s">
        <v>692</v>
      </c>
      <c r="AC117" s="2" t="s">
        <v>58</v>
      </c>
      <c r="AD117" s="2" t="s">
        <v>42</v>
      </c>
      <c r="AE117" s="4" t="s">
        <v>693</v>
      </c>
      <c r="AF117" s="2" t="s">
        <v>60</v>
      </c>
      <c r="AG117" s="4" t="s">
        <v>694</v>
      </c>
      <c r="AH117" s="2" t="s">
        <v>61</v>
      </c>
      <c r="AI117" s="2" t="s">
        <v>61</v>
      </c>
      <c r="AJ117" s="2" t="s">
        <v>42</v>
      </c>
      <c r="AK117" s="2" t="s">
        <v>42</v>
      </c>
      <c r="AL117" s="28">
        <v>45751</v>
      </c>
      <c r="AM117" s="4" t="s">
        <v>42</v>
      </c>
      <c r="AN117" s="8" t="str">
        <f>HYPERLINK("https://my.pitchbook.com?p=282940-12P", "View People Online")</f>
        <v>View People Online</v>
      </c>
    </row>
    <row r="118" spans="1:40" x14ac:dyDescent="0.2">
      <c r="A118" s="3" t="s">
        <v>1302</v>
      </c>
      <c r="B118" s="3" t="s">
        <v>1303</v>
      </c>
      <c r="C118" s="3" t="s">
        <v>42</v>
      </c>
      <c r="D118" s="3" t="s">
        <v>42</v>
      </c>
      <c r="E118" s="3" t="s">
        <v>1302</v>
      </c>
      <c r="F118" s="3" t="s">
        <v>1304</v>
      </c>
      <c r="G118" s="3" t="s">
        <v>65</v>
      </c>
      <c r="H118" s="3" t="s">
        <v>42</v>
      </c>
      <c r="I118" s="3" t="s">
        <v>46</v>
      </c>
      <c r="J118" s="3" t="s">
        <v>47</v>
      </c>
      <c r="K118" s="3" t="s">
        <v>1305</v>
      </c>
      <c r="L118" s="3" t="s">
        <v>111</v>
      </c>
      <c r="M118" s="9" t="str">
        <f>HYPERLINK("http://www.tihama.com", "www.tihama.com")</f>
        <v>www.tihama.com</v>
      </c>
      <c r="N118" s="3" t="s">
        <v>447</v>
      </c>
      <c r="O118" s="3" t="s">
        <v>42</v>
      </c>
      <c r="P118" s="3" t="s">
        <v>1306</v>
      </c>
      <c r="Q118" s="3" t="s">
        <v>42</v>
      </c>
      <c r="R118" s="17" t="s">
        <v>42</v>
      </c>
      <c r="S118" s="17">
        <v>1</v>
      </c>
      <c r="T118" s="17">
        <v>1</v>
      </c>
      <c r="U118" s="17" t="s">
        <v>42</v>
      </c>
      <c r="V118" s="17" t="s">
        <v>42</v>
      </c>
      <c r="W118" s="5" t="s">
        <v>1307</v>
      </c>
      <c r="X118" s="3" t="s">
        <v>42</v>
      </c>
      <c r="Y118" s="9" t="str">
        <f>HYPERLINK("http://linkedin.com/in/abdulaziz-alsuwailem-918023155/", "http://linkedin.com/in/abdulaziz-alsuwailem-918023155/")</f>
        <v>http://linkedin.com/in/abdulaziz-alsuwailem-918023155/</v>
      </c>
      <c r="Z118" s="3" t="s">
        <v>55</v>
      </c>
      <c r="AA118" s="3" t="s">
        <v>1308</v>
      </c>
      <c r="AB118" s="3" t="s">
        <v>1309</v>
      </c>
      <c r="AC118" s="3" t="s">
        <v>58</v>
      </c>
      <c r="AD118" s="3" t="s">
        <v>42</v>
      </c>
      <c r="AE118" s="5" t="s">
        <v>879</v>
      </c>
      <c r="AF118" s="3" t="s">
        <v>60</v>
      </c>
      <c r="AG118" s="5" t="s">
        <v>1310</v>
      </c>
      <c r="AH118" s="3" t="s">
        <v>61</v>
      </c>
      <c r="AI118" s="3" t="s">
        <v>61</v>
      </c>
      <c r="AJ118" s="3" t="s">
        <v>42</v>
      </c>
      <c r="AK118" s="3" t="s">
        <v>42</v>
      </c>
      <c r="AL118" s="29">
        <v>45603</v>
      </c>
      <c r="AM118" s="5" t="s">
        <v>42</v>
      </c>
      <c r="AN118" s="9" t="str">
        <f>HYPERLINK("https://my.pitchbook.com?p=385833-79P", "View People Online")</f>
        <v>View People Online</v>
      </c>
    </row>
    <row r="119" spans="1:40" x14ac:dyDescent="0.2">
      <c r="A119" s="2" t="s">
        <v>1311</v>
      </c>
      <c r="B119" s="2" t="s">
        <v>1312</v>
      </c>
      <c r="C119" s="2" t="s">
        <v>42</v>
      </c>
      <c r="D119" s="2" t="s">
        <v>42</v>
      </c>
      <c r="E119" s="2" t="s">
        <v>1311</v>
      </c>
      <c r="F119" s="2" t="s">
        <v>1313</v>
      </c>
      <c r="G119" s="2" t="s">
        <v>65</v>
      </c>
      <c r="H119" s="2" t="s">
        <v>1314</v>
      </c>
      <c r="I119" s="2" t="s">
        <v>196</v>
      </c>
      <c r="J119" s="2" t="s">
        <v>47</v>
      </c>
      <c r="K119" s="2" t="s">
        <v>1315</v>
      </c>
      <c r="L119" s="2" t="s">
        <v>1316</v>
      </c>
      <c r="M119" s="8" t="str">
        <f>HYPERLINK("http://www.acig.com.sa", "www.acig.com.sa")</f>
        <v>www.acig.com.sa</v>
      </c>
      <c r="N119" s="2" t="s">
        <v>139</v>
      </c>
      <c r="O119" s="2" t="s">
        <v>42</v>
      </c>
      <c r="P119" s="2" t="s">
        <v>1317</v>
      </c>
      <c r="Q119" s="2" t="s">
        <v>42</v>
      </c>
      <c r="R119" s="16">
        <v>1</v>
      </c>
      <c r="S119" s="16">
        <v>1</v>
      </c>
      <c r="T119" s="16" t="s">
        <v>42</v>
      </c>
      <c r="U119" s="16" t="s">
        <v>42</v>
      </c>
      <c r="V119" s="16" t="s">
        <v>42</v>
      </c>
      <c r="W119" s="4" t="s">
        <v>1318</v>
      </c>
      <c r="X119" s="2" t="s">
        <v>42</v>
      </c>
      <c r="Y119" s="2" t="s">
        <v>42</v>
      </c>
      <c r="Z119" s="2" t="s">
        <v>55</v>
      </c>
      <c r="AA119" s="2" t="s">
        <v>1319</v>
      </c>
      <c r="AB119" s="2" t="s">
        <v>42</v>
      </c>
      <c r="AC119" s="2" t="s">
        <v>58</v>
      </c>
      <c r="AD119" s="2" t="s">
        <v>42</v>
      </c>
      <c r="AE119" s="4" t="s">
        <v>1206</v>
      </c>
      <c r="AF119" s="2" t="s">
        <v>60</v>
      </c>
      <c r="AG119" s="4" t="s">
        <v>1320</v>
      </c>
      <c r="AH119" s="2" t="s">
        <v>61</v>
      </c>
      <c r="AI119" s="2" t="s">
        <v>61</v>
      </c>
      <c r="AJ119" s="2" t="s">
        <v>42</v>
      </c>
      <c r="AK119" s="2" t="s">
        <v>42</v>
      </c>
      <c r="AL119" s="28">
        <v>45895</v>
      </c>
      <c r="AM119" s="4" t="s">
        <v>42</v>
      </c>
      <c r="AN119" s="8" t="str">
        <f>HYPERLINK("https://my.pitchbook.com?p=461846-98P", "View People Online")</f>
        <v>View People Online</v>
      </c>
    </row>
    <row r="120" spans="1:40" x14ac:dyDescent="0.2">
      <c r="A120" s="3" t="s">
        <v>1321</v>
      </c>
      <c r="B120" s="3" t="s">
        <v>1322</v>
      </c>
      <c r="C120" s="3" t="s">
        <v>42</v>
      </c>
      <c r="D120" s="3" t="s">
        <v>42</v>
      </c>
      <c r="E120" s="3" t="s">
        <v>1321</v>
      </c>
      <c r="F120" s="3" t="s">
        <v>1323</v>
      </c>
      <c r="G120" s="3" t="s">
        <v>65</v>
      </c>
      <c r="H120" s="3" t="s">
        <v>42</v>
      </c>
      <c r="I120" s="3" t="s">
        <v>46</v>
      </c>
      <c r="J120" s="3" t="s">
        <v>47</v>
      </c>
      <c r="K120" s="3" t="s">
        <v>751</v>
      </c>
      <c r="L120" s="3" t="s">
        <v>111</v>
      </c>
      <c r="M120" s="9" t="str">
        <f>HYPERLINK("http://www.jahezgroup.com", "www.jahezgroup.com")</f>
        <v>www.jahezgroup.com</v>
      </c>
      <c r="N120" s="3" t="s">
        <v>370</v>
      </c>
      <c r="O120" s="3" t="s">
        <v>42</v>
      </c>
      <c r="P120" s="3" t="s">
        <v>1324</v>
      </c>
      <c r="Q120" s="3" t="s">
        <v>1325</v>
      </c>
      <c r="R120" s="17" t="s">
        <v>42</v>
      </c>
      <c r="S120" s="17">
        <v>1</v>
      </c>
      <c r="T120" s="17">
        <v>1</v>
      </c>
      <c r="U120" s="17" t="s">
        <v>42</v>
      </c>
      <c r="V120" s="17" t="s">
        <v>42</v>
      </c>
      <c r="W120" s="5" t="s">
        <v>42</v>
      </c>
      <c r="X120" s="3" t="s">
        <v>1326</v>
      </c>
      <c r="Y120" s="9" t="str">
        <f>HYPERLINK("http://linkedin.com/in/abdulazizalfaris/", "http://linkedin.com/in/abdulazizalfaris/")</f>
        <v>http://linkedin.com/in/abdulazizalfaris/</v>
      </c>
      <c r="Z120" s="3" t="s">
        <v>55</v>
      </c>
      <c r="AA120" s="3" t="s">
        <v>755</v>
      </c>
      <c r="AB120" s="3" t="s">
        <v>756</v>
      </c>
      <c r="AC120" s="3" t="s">
        <v>58</v>
      </c>
      <c r="AD120" s="3" t="s">
        <v>42</v>
      </c>
      <c r="AE120" s="5" t="s">
        <v>757</v>
      </c>
      <c r="AF120" s="3" t="s">
        <v>60</v>
      </c>
      <c r="AG120" s="5" t="s">
        <v>42</v>
      </c>
      <c r="AH120" s="3" t="s">
        <v>61</v>
      </c>
      <c r="AI120" s="3" t="s">
        <v>61</v>
      </c>
      <c r="AJ120" s="3" t="s">
        <v>42</v>
      </c>
      <c r="AK120" s="3" t="s">
        <v>42</v>
      </c>
      <c r="AL120" s="29">
        <v>46055</v>
      </c>
      <c r="AM120" s="5" t="s">
        <v>42</v>
      </c>
      <c r="AN120" s="9" t="str">
        <f>HYPERLINK("https://my.pitchbook.com?p=248518-99P", "View People Online")</f>
        <v>View People Online</v>
      </c>
    </row>
    <row r="121" spans="1:40" x14ac:dyDescent="0.2">
      <c r="A121" s="2" t="s">
        <v>1327</v>
      </c>
      <c r="B121" s="2" t="s">
        <v>1328</v>
      </c>
      <c r="C121" s="2" t="s">
        <v>42</v>
      </c>
      <c r="D121" s="2" t="s">
        <v>42</v>
      </c>
      <c r="E121" s="2" t="s">
        <v>1327</v>
      </c>
      <c r="F121" s="2" t="s">
        <v>1329</v>
      </c>
      <c r="G121" s="2" t="s">
        <v>65</v>
      </c>
      <c r="H121" s="2" t="s">
        <v>66</v>
      </c>
      <c r="I121" s="2" t="s">
        <v>46</v>
      </c>
      <c r="J121" s="2" t="s">
        <v>47</v>
      </c>
      <c r="K121" s="2" t="s">
        <v>1330</v>
      </c>
      <c r="L121" s="2" t="s">
        <v>1057</v>
      </c>
      <c r="M121" s="8" t="str">
        <f>HYPERLINK("http://www.yaqeen.sa", "www.yaqeen.sa")</f>
        <v>www.yaqeen.sa</v>
      </c>
      <c r="N121" s="2" t="s">
        <v>534</v>
      </c>
      <c r="O121" s="2" t="s">
        <v>42</v>
      </c>
      <c r="P121" s="2" t="s">
        <v>1331</v>
      </c>
      <c r="Q121" s="2" t="s">
        <v>128</v>
      </c>
      <c r="R121" s="16" t="s">
        <v>42</v>
      </c>
      <c r="S121" s="16">
        <v>1</v>
      </c>
      <c r="T121" s="16">
        <v>1</v>
      </c>
      <c r="U121" s="16" t="s">
        <v>42</v>
      </c>
      <c r="V121" s="16" t="s">
        <v>42</v>
      </c>
      <c r="W121" s="4" t="s">
        <v>42</v>
      </c>
      <c r="X121" s="2" t="s">
        <v>1332</v>
      </c>
      <c r="Y121" s="8" t="str">
        <f>HYPERLINK("http://linkedin.com/in/abdulaziz-almohareb-17bbb814", "http://linkedin.com/in/abdulaziz-almohareb-17bbb814")</f>
        <v>http://linkedin.com/in/abdulaziz-almohareb-17bbb814</v>
      </c>
      <c r="Z121" s="2" t="s">
        <v>55</v>
      </c>
      <c r="AA121" s="2" t="s">
        <v>1333</v>
      </c>
      <c r="AB121" s="2" t="s">
        <v>1334</v>
      </c>
      <c r="AC121" s="2" t="s">
        <v>58</v>
      </c>
      <c r="AD121" s="2" t="s">
        <v>42</v>
      </c>
      <c r="AE121" s="4" t="s">
        <v>1021</v>
      </c>
      <c r="AF121" s="2" t="s">
        <v>60</v>
      </c>
      <c r="AG121" s="4" t="s">
        <v>1335</v>
      </c>
      <c r="AH121" s="2" t="s">
        <v>61</v>
      </c>
      <c r="AI121" s="2" t="s">
        <v>61</v>
      </c>
      <c r="AJ121" s="2" t="s">
        <v>42</v>
      </c>
      <c r="AK121" s="2" t="s">
        <v>42</v>
      </c>
      <c r="AL121" s="28">
        <v>45727</v>
      </c>
      <c r="AM121" s="4" t="s">
        <v>42</v>
      </c>
      <c r="AN121" s="8" t="str">
        <f>HYPERLINK("https://my.pitchbook.com?p=437494-24P", "View People Online")</f>
        <v>View People Online</v>
      </c>
    </row>
    <row r="122" spans="1:40" x14ac:dyDescent="0.2">
      <c r="A122" s="3" t="s">
        <v>1336</v>
      </c>
      <c r="B122" s="3" t="s">
        <v>1337</v>
      </c>
      <c r="C122" s="3" t="s">
        <v>42</v>
      </c>
      <c r="D122" s="3" t="s">
        <v>42</v>
      </c>
      <c r="E122" s="3" t="s">
        <v>1336</v>
      </c>
      <c r="F122" s="3" t="s">
        <v>1338</v>
      </c>
      <c r="G122" s="3" t="s">
        <v>65</v>
      </c>
      <c r="H122" s="3" t="s">
        <v>1339</v>
      </c>
      <c r="I122" s="3" t="s">
        <v>46</v>
      </c>
      <c r="J122" s="3" t="s">
        <v>47</v>
      </c>
      <c r="K122" s="3" t="s">
        <v>1340</v>
      </c>
      <c r="L122" s="3" t="s">
        <v>111</v>
      </c>
      <c r="M122" s="9" t="str">
        <f>HYPERLINK("http://www.se.com.sa", "www.se.com.sa")</f>
        <v>www.se.com.sa</v>
      </c>
      <c r="N122" s="3" t="s">
        <v>1341</v>
      </c>
      <c r="O122" s="3" t="s">
        <v>42</v>
      </c>
      <c r="P122" s="3" t="s">
        <v>1342</v>
      </c>
      <c r="Q122" s="3" t="s">
        <v>1343</v>
      </c>
      <c r="R122" s="17" t="s">
        <v>42</v>
      </c>
      <c r="S122" s="17">
        <v>1</v>
      </c>
      <c r="T122" s="17">
        <v>1</v>
      </c>
      <c r="U122" s="17" t="s">
        <v>42</v>
      </c>
      <c r="V122" s="17" t="s">
        <v>42</v>
      </c>
      <c r="W122" s="5" t="s">
        <v>1344</v>
      </c>
      <c r="X122" s="3" t="s">
        <v>1345</v>
      </c>
      <c r="Y122" s="9" t="str">
        <f>HYPERLINK("http://linkedin.com/in/abdulazizalmuahiza/?originalsubdomain=sa", "http://linkedin.com/in/abdulazizalmuahiza/?originalsubdomain=sa")</f>
        <v>http://linkedin.com/in/abdulazizalmuahiza/?originalsubdomain=sa</v>
      </c>
      <c r="Z122" s="3" t="s">
        <v>55</v>
      </c>
      <c r="AA122" s="3" t="s">
        <v>1346</v>
      </c>
      <c r="AB122" s="3" t="s">
        <v>1347</v>
      </c>
      <c r="AC122" s="3" t="s">
        <v>58</v>
      </c>
      <c r="AD122" s="3" t="s">
        <v>42</v>
      </c>
      <c r="AE122" s="5" t="s">
        <v>279</v>
      </c>
      <c r="AF122" s="3" t="s">
        <v>60</v>
      </c>
      <c r="AG122" s="5" t="s">
        <v>1348</v>
      </c>
      <c r="AH122" s="3" t="s">
        <v>61</v>
      </c>
      <c r="AI122" s="3" t="s">
        <v>61</v>
      </c>
      <c r="AJ122" s="3" t="s">
        <v>42</v>
      </c>
      <c r="AK122" s="3" t="s">
        <v>42</v>
      </c>
      <c r="AL122" s="29">
        <v>45743</v>
      </c>
      <c r="AM122" s="5" t="s">
        <v>42</v>
      </c>
      <c r="AN122" s="9" t="str">
        <f>HYPERLINK("https://my.pitchbook.com?p=385705-27P", "View People Online")</f>
        <v>View People Online</v>
      </c>
    </row>
    <row r="123" spans="1:40" x14ac:dyDescent="0.2">
      <c r="A123" s="2" t="s">
        <v>1349</v>
      </c>
      <c r="B123" s="2" t="s">
        <v>1350</v>
      </c>
      <c r="C123" s="2" t="s">
        <v>42</v>
      </c>
      <c r="D123" s="2" t="s">
        <v>42</v>
      </c>
      <c r="E123" s="2" t="s">
        <v>1349</v>
      </c>
      <c r="F123" s="2" t="s">
        <v>1351</v>
      </c>
      <c r="G123" s="2" t="s">
        <v>65</v>
      </c>
      <c r="H123" s="2" t="s">
        <v>1352</v>
      </c>
      <c r="I123" s="2" t="s">
        <v>196</v>
      </c>
      <c r="J123" s="2" t="s">
        <v>47</v>
      </c>
      <c r="K123" s="2" t="s">
        <v>469</v>
      </c>
      <c r="L123" s="2" t="s">
        <v>111</v>
      </c>
      <c r="M123" s="8" t="str">
        <f>HYPERLINK("http://care.med.sa", "care.med.sa")</f>
        <v>care.med.sa</v>
      </c>
      <c r="N123" s="2" t="s">
        <v>210</v>
      </c>
      <c r="O123" s="2" t="s">
        <v>42</v>
      </c>
      <c r="P123" s="2" t="s">
        <v>1353</v>
      </c>
      <c r="Q123" s="2" t="s">
        <v>1354</v>
      </c>
      <c r="R123" s="16" t="s">
        <v>42</v>
      </c>
      <c r="S123" s="16">
        <v>1</v>
      </c>
      <c r="T123" s="16">
        <v>1</v>
      </c>
      <c r="U123" s="16" t="s">
        <v>42</v>
      </c>
      <c r="V123" s="16" t="s">
        <v>42</v>
      </c>
      <c r="W123" s="4" t="s">
        <v>471</v>
      </c>
      <c r="X123" s="2" t="s">
        <v>1355</v>
      </c>
      <c r="Y123" s="2" t="s">
        <v>42</v>
      </c>
      <c r="Z123" s="2" t="s">
        <v>55</v>
      </c>
      <c r="AA123" s="2" t="s">
        <v>472</v>
      </c>
      <c r="AB123" s="2" t="s">
        <v>473</v>
      </c>
      <c r="AC123" s="2" t="s">
        <v>58</v>
      </c>
      <c r="AD123" s="2" t="s">
        <v>474</v>
      </c>
      <c r="AE123" s="4" t="s">
        <v>475</v>
      </c>
      <c r="AF123" s="2" t="s">
        <v>60</v>
      </c>
      <c r="AG123" s="4" t="s">
        <v>42</v>
      </c>
      <c r="AH123" s="2" t="s">
        <v>61</v>
      </c>
      <c r="AI123" s="2" t="s">
        <v>61</v>
      </c>
      <c r="AJ123" s="2" t="s">
        <v>42</v>
      </c>
      <c r="AK123" s="2" t="s">
        <v>42</v>
      </c>
      <c r="AL123" s="28">
        <v>45741</v>
      </c>
      <c r="AM123" s="4" t="s">
        <v>42</v>
      </c>
      <c r="AN123" s="8" t="str">
        <f>HYPERLINK("https://my.pitchbook.com?p=234927-82P", "View People Online")</f>
        <v>View People Online</v>
      </c>
    </row>
    <row r="124" spans="1:40" x14ac:dyDescent="0.2">
      <c r="A124" s="3" t="s">
        <v>1356</v>
      </c>
      <c r="B124" s="3" t="s">
        <v>1357</v>
      </c>
      <c r="C124" s="3" t="s">
        <v>42</v>
      </c>
      <c r="D124" s="3" t="s">
        <v>42</v>
      </c>
      <c r="E124" s="3" t="s">
        <v>1356</v>
      </c>
      <c r="F124" s="3" t="s">
        <v>1358</v>
      </c>
      <c r="G124" s="3" t="s">
        <v>65</v>
      </c>
      <c r="H124" s="3" t="s">
        <v>284</v>
      </c>
      <c r="I124" s="3" t="s">
        <v>46</v>
      </c>
      <c r="J124" s="3" t="s">
        <v>47</v>
      </c>
      <c r="K124" s="3" t="s">
        <v>1359</v>
      </c>
      <c r="L124" s="3" t="s">
        <v>481</v>
      </c>
      <c r="M124" s="9" t="str">
        <f>HYPERLINK("http://www.bankalbilad.com", "www.bankalbilad.com")</f>
        <v>www.bankalbilad.com</v>
      </c>
      <c r="N124" s="3" t="s">
        <v>112</v>
      </c>
      <c r="O124" s="3" t="s">
        <v>42</v>
      </c>
      <c r="P124" s="3" t="s">
        <v>1360</v>
      </c>
      <c r="Q124" s="3" t="s">
        <v>42</v>
      </c>
      <c r="R124" s="17">
        <v>1</v>
      </c>
      <c r="S124" s="17">
        <v>1</v>
      </c>
      <c r="T124" s="17">
        <v>1</v>
      </c>
      <c r="U124" s="17" t="s">
        <v>42</v>
      </c>
      <c r="V124" s="17" t="s">
        <v>42</v>
      </c>
      <c r="W124" s="5" t="s">
        <v>1361</v>
      </c>
      <c r="X124" s="3" t="s">
        <v>1362</v>
      </c>
      <c r="Y124" s="3" t="s">
        <v>42</v>
      </c>
      <c r="Z124" s="3" t="s">
        <v>55</v>
      </c>
      <c r="AA124" s="3" t="s">
        <v>1363</v>
      </c>
      <c r="AB124" s="3" t="s">
        <v>1364</v>
      </c>
      <c r="AC124" s="3" t="s">
        <v>58</v>
      </c>
      <c r="AD124" s="3" t="s">
        <v>42</v>
      </c>
      <c r="AE124" s="5" t="s">
        <v>1365</v>
      </c>
      <c r="AF124" s="3" t="s">
        <v>60</v>
      </c>
      <c r="AG124" s="5" t="s">
        <v>1366</v>
      </c>
      <c r="AH124" s="3" t="s">
        <v>61</v>
      </c>
      <c r="AI124" s="3" t="s">
        <v>61</v>
      </c>
      <c r="AJ124" s="3" t="s">
        <v>42</v>
      </c>
      <c r="AK124" s="3" t="s">
        <v>42</v>
      </c>
      <c r="AL124" s="29">
        <v>45847</v>
      </c>
      <c r="AM124" s="5" t="s">
        <v>42</v>
      </c>
      <c r="AN124" s="9" t="str">
        <f>HYPERLINK("https://my.pitchbook.com?p=329802-76P", "View People Online")</f>
        <v>View People Online</v>
      </c>
    </row>
    <row r="125" spans="1:40" x14ac:dyDescent="0.2">
      <c r="A125" s="2" t="s">
        <v>1367</v>
      </c>
      <c r="B125" s="2" t="s">
        <v>1368</v>
      </c>
      <c r="C125" s="2" t="s">
        <v>42</v>
      </c>
      <c r="D125" s="2" t="s">
        <v>42</v>
      </c>
      <c r="E125" s="2" t="s">
        <v>1367</v>
      </c>
      <c r="F125" s="2" t="s">
        <v>1369</v>
      </c>
      <c r="G125" s="2" t="s">
        <v>65</v>
      </c>
      <c r="H125" s="2" t="s">
        <v>161</v>
      </c>
      <c r="I125" s="2" t="s">
        <v>46</v>
      </c>
      <c r="J125" s="2" t="s">
        <v>47</v>
      </c>
      <c r="K125" s="2" t="s">
        <v>1370</v>
      </c>
      <c r="L125" s="2" t="s">
        <v>1316</v>
      </c>
      <c r="M125" s="8" t="str">
        <f>HYPERLINK("http://www.saico.com.sa", "www.saico.com.sa")</f>
        <v>www.saico.com.sa</v>
      </c>
      <c r="N125" s="2" t="s">
        <v>534</v>
      </c>
      <c r="O125" s="2" t="s">
        <v>42</v>
      </c>
      <c r="P125" s="2" t="s">
        <v>1371</v>
      </c>
      <c r="Q125" s="2" t="s">
        <v>42</v>
      </c>
      <c r="R125" s="16" t="s">
        <v>42</v>
      </c>
      <c r="S125" s="16">
        <v>1</v>
      </c>
      <c r="T125" s="16">
        <v>1</v>
      </c>
      <c r="U125" s="16" t="s">
        <v>42</v>
      </c>
      <c r="V125" s="16" t="s">
        <v>42</v>
      </c>
      <c r="W125" s="4" t="s">
        <v>1372</v>
      </c>
      <c r="X125" s="2" t="s">
        <v>1373</v>
      </c>
      <c r="Y125" s="8" t="str">
        <f>HYPERLINK("http://sa.linkedin.com/in/abdulaziz-alruqaie-50195641", "http://sa.linkedin.com/in/abdulaziz-alruqaie-50195641")</f>
        <v>http://sa.linkedin.com/in/abdulaziz-alruqaie-50195641</v>
      </c>
      <c r="Z125" s="2" t="s">
        <v>55</v>
      </c>
      <c r="AA125" s="2" t="s">
        <v>1374</v>
      </c>
      <c r="AB125" s="2" t="s">
        <v>1375</v>
      </c>
      <c r="AC125" s="2" t="s">
        <v>58</v>
      </c>
      <c r="AD125" s="2" t="s">
        <v>42</v>
      </c>
      <c r="AE125" s="4" t="s">
        <v>1376</v>
      </c>
      <c r="AF125" s="2" t="s">
        <v>60</v>
      </c>
      <c r="AG125" s="4" t="s">
        <v>1377</v>
      </c>
      <c r="AH125" s="2" t="s">
        <v>61</v>
      </c>
      <c r="AI125" s="2" t="s">
        <v>61</v>
      </c>
      <c r="AJ125" s="2" t="s">
        <v>42</v>
      </c>
      <c r="AK125" s="2" t="s">
        <v>42</v>
      </c>
      <c r="AL125" s="28">
        <v>45904</v>
      </c>
      <c r="AM125" s="4" t="s">
        <v>42</v>
      </c>
      <c r="AN125" s="8" t="str">
        <f>HYPERLINK("https://my.pitchbook.com?p=341617-51P", "View People Online")</f>
        <v>View People Online</v>
      </c>
    </row>
    <row r="126" spans="1:40" x14ac:dyDescent="0.2">
      <c r="A126" s="3" t="s">
        <v>1378</v>
      </c>
      <c r="B126" s="3" t="s">
        <v>1379</v>
      </c>
      <c r="C126" s="3" t="s">
        <v>42</v>
      </c>
      <c r="D126" s="3" t="s">
        <v>42</v>
      </c>
      <c r="E126" s="3" t="s">
        <v>1378</v>
      </c>
      <c r="F126" s="3" t="s">
        <v>1380</v>
      </c>
      <c r="G126" s="3" t="s">
        <v>65</v>
      </c>
      <c r="H126" s="3" t="s">
        <v>1381</v>
      </c>
      <c r="I126" s="3" t="s">
        <v>46</v>
      </c>
      <c r="J126" s="3" t="s">
        <v>47</v>
      </c>
      <c r="K126" s="3" t="s">
        <v>1382</v>
      </c>
      <c r="L126" s="3" t="s">
        <v>111</v>
      </c>
      <c r="M126" s="9" t="str">
        <f>HYPERLINK("http://naqiwater.com", "naqiwater.com")</f>
        <v>naqiwater.com</v>
      </c>
      <c r="N126" s="3" t="s">
        <v>447</v>
      </c>
      <c r="O126" s="3" t="s">
        <v>42</v>
      </c>
      <c r="P126" s="3" t="s">
        <v>1383</v>
      </c>
      <c r="Q126" s="3" t="s">
        <v>42</v>
      </c>
      <c r="R126" s="17" t="s">
        <v>42</v>
      </c>
      <c r="S126" s="17">
        <v>1</v>
      </c>
      <c r="T126" s="17">
        <v>1</v>
      </c>
      <c r="U126" s="17" t="s">
        <v>42</v>
      </c>
      <c r="V126" s="17" t="s">
        <v>42</v>
      </c>
      <c r="W126" s="5" t="s">
        <v>1384</v>
      </c>
      <c r="X126" s="3" t="s">
        <v>1385</v>
      </c>
      <c r="Y126" s="3" t="s">
        <v>42</v>
      </c>
      <c r="Z126" s="3" t="s">
        <v>1386</v>
      </c>
      <c r="AA126" s="3" t="s">
        <v>1387</v>
      </c>
      <c r="AB126" s="3" t="s">
        <v>1388</v>
      </c>
      <c r="AC126" s="3" t="s">
        <v>1389</v>
      </c>
      <c r="AD126" s="3" t="s">
        <v>42</v>
      </c>
      <c r="AE126" s="5" t="s">
        <v>1390</v>
      </c>
      <c r="AF126" s="3" t="s">
        <v>60</v>
      </c>
      <c r="AG126" s="5" t="s">
        <v>42</v>
      </c>
      <c r="AH126" s="3" t="s">
        <v>61</v>
      </c>
      <c r="AI126" s="3" t="s">
        <v>61</v>
      </c>
      <c r="AJ126" s="3" t="s">
        <v>42</v>
      </c>
      <c r="AK126" s="3" t="s">
        <v>42</v>
      </c>
      <c r="AL126" s="29">
        <v>46041</v>
      </c>
      <c r="AM126" s="5" t="s">
        <v>42</v>
      </c>
      <c r="AN126" s="9" t="str">
        <f>HYPERLINK("https://my.pitchbook.com?p=313480-18P", "View People Online")</f>
        <v>View People Online</v>
      </c>
    </row>
    <row r="127" spans="1:40" x14ac:dyDescent="0.2">
      <c r="A127" s="2" t="s">
        <v>1391</v>
      </c>
      <c r="B127" s="2" t="s">
        <v>1392</v>
      </c>
      <c r="C127" s="2" t="s">
        <v>42</v>
      </c>
      <c r="D127" s="2" t="s">
        <v>42</v>
      </c>
      <c r="E127" s="2" t="s">
        <v>1391</v>
      </c>
      <c r="F127" s="2" t="s">
        <v>1393</v>
      </c>
      <c r="G127" s="2" t="s">
        <v>65</v>
      </c>
      <c r="H127" s="2" t="s">
        <v>42</v>
      </c>
      <c r="I127" s="2" t="s">
        <v>46</v>
      </c>
      <c r="J127" s="2" t="s">
        <v>47</v>
      </c>
      <c r="K127" s="2" t="s">
        <v>1394</v>
      </c>
      <c r="L127" s="2" t="s">
        <v>111</v>
      </c>
      <c r="M127" s="8" t="str">
        <f>HYPERLINK("http://www.cherry.com.sa", "www.cherry.com.sa")</f>
        <v>www.cherry.com.sa</v>
      </c>
      <c r="N127" s="2" t="s">
        <v>210</v>
      </c>
      <c r="O127" s="2" t="s">
        <v>42</v>
      </c>
      <c r="P127" s="2" t="s">
        <v>1395</v>
      </c>
      <c r="Q127" s="2" t="s">
        <v>42</v>
      </c>
      <c r="R127" s="16" t="s">
        <v>42</v>
      </c>
      <c r="S127" s="16">
        <v>1</v>
      </c>
      <c r="T127" s="16">
        <v>1</v>
      </c>
      <c r="U127" s="16" t="s">
        <v>42</v>
      </c>
      <c r="V127" s="16" t="s">
        <v>42</v>
      </c>
      <c r="W127" s="4" t="s">
        <v>1396</v>
      </c>
      <c r="X127" s="2" t="s">
        <v>1397</v>
      </c>
      <c r="Y127" s="8" t="str">
        <f>HYPERLINK("http://linkedin.com/in/abdulaziz-alsowail-b14762326/", "http://linkedin.com/in/abdulaziz-alsowail-b14762326/")</f>
        <v>http://linkedin.com/in/abdulaziz-alsowail-b14762326/</v>
      </c>
      <c r="Z127" s="2" t="s">
        <v>55</v>
      </c>
      <c r="AA127" s="2" t="s">
        <v>1398</v>
      </c>
      <c r="AB127" s="2" t="s">
        <v>1399</v>
      </c>
      <c r="AC127" s="2" t="s">
        <v>58</v>
      </c>
      <c r="AD127" s="2" t="s">
        <v>42</v>
      </c>
      <c r="AE127" s="4" t="s">
        <v>1400</v>
      </c>
      <c r="AF127" s="2" t="s">
        <v>60</v>
      </c>
      <c r="AG127" s="4" t="s">
        <v>42</v>
      </c>
      <c r="AH127" s="2" t="s">
        <v>61</v>
      </c>
      <c r="AI127" s="2" t="s">
        <v>61</v>
      </c>
      <c r="AJ127" s="2" t="s">
        <v>42</v>
      </c>
      <c r="AK127" s="2" t="s">
        <v>42</v>
      </c>
      <c r="AL127" s="28">
        <v>45992</v>
      </c>
      <c r="AM127" s="4" t="s">
        <v>42</v>
      </c>
      <c r="AN127" s="8" t="str">
        <f>HYPERLINK("https://my.pitchbook.com?p=435114-46P", "View People Online")</f>
        <v>View People Online</v>
      </c>
    </row>
    <row r="128" spans="1:40" x14ac:dyDescent="0.2">
      <c r="A128" s="3" t="s">
        <v>1401</v>
      </c>
      <c r="B128" s="3" t="s">
        <v>1402</v>
      </c>
      <c r="C128" s="3" t="s">
        <v>42</v>
      </c>
      <c r="D128" s="3" t="s">
        <v>42</v>
      </c>
      <c r="E128" s="3" t="s">
        <v>1401</v>
      </c>
      <c r="F128" s="3" t="s">
        <v>1403</v>
      </c>
      <c r="G128" s="3" t="s">
        <v>65</v>
      </c>
      <c r="H128" s="3" t="s">
        <v>42</v>
      </c>
      <c r="I128" s="3" t="s">
        <v>46</v>
      </c>
      <c r="J128" s="3" t="s">
        <v>47</v>
      </c>
      <c r="K128" s="3" t="s">
        <v>1404</v>
      </c>
      <c r="L128" s="3" t="s">
        <v>111</v>
      </c>
      <c r="M128" s="9" t="str">
        <f>HYPERLINK("http://www.h-saedan.sa", "www.h-saedan.sa")</f>
        <v>www.h-saedan.sa</v>
      </c>
      <c r="N128" s="3" t="s">
        <v>112</v>
      </c>
      <c r="O128" s="3" t="s">
        <v>42</v>
      </c>
      <c r="P128" s="3" t="s">
        <v>1405</v>
      </c>
      <c r="Q128" s="3" t="s">
        <v>42</v>
      </c>
      <c r="R128" s="17">
        <v>1</v>
      </c>
      <c r="S128" s="17">
        <v>1</v>
      </c>
      <c r="T128" s="17">
        <v>1</v>
      </c>
      <c r="U128" s="17" t="s">
        <v>42</v>
      </c>
      <c r="V128" s="17" t="s">
        <v>42</v>
      </c>
      <c r="W128" s="5" t="s">
        <v>42</v>
      </c>
      <c r="X128" s="3" t="s">
        <v>42</v>
      </c>
      <c r="Y128" s="3" t="s">
        <v>42</v>
      </c>
      <c r="Z128" s="3" t="s">
        <v>55</v>
      </c>
      <c r="AA128" s="3" t="s">
        <v>1406</v>
      </c>
      <c r="AB128" s="3" t="s">
        <v>1407</v>
      </c>
      <c r="AC128" s="3" t="s">
        <v>58</v>
      </c>
      <c r="AD128" s="3" t="s">
        <v>42</v>
      </c>
      <c r="AE128" s="5" t="s">
        <v>42</v>
      </c>
      <c r="AF128" s="3" t="s">
        <v>60</v>
      </c>
      <c r="AG128" s="5" t="s">
        <v>42</v>
      </c>
      <c r="AH128" s="3" t="s">
        <v>61</v>
      </c>
      <c r="AI128" s="3" t="s">
        <v>61</v>
      </c>
      <c r="AJ128" s="3" t="s">
        <v>42</v>
      </c>
      <c r="AK128" s="3" t="s">
        <v>42</v>
      </c>
      <c r="AL128" s="29">
        <v>46043</v>
      </c>
      <c r="AM128" s="5" t="s">
        <v>42</v>
      </c>
      <c r="AN128" s="9" t="str">
        <f>HYPERLINK("https://my.pitchbook.com?p=460624-78P", "View People Online")</f>
        <v>View People Online</v>
      </c>
    </row>
    <row r="129" spans="1:40" x14ac:dyDescent="0.2">
      <c r="A129" s="2" t="s">
        <v>1408</v>
      </c>
      <c r="B129" s="2" t="s">
        <v>1409</v>
      </c>
      <c r="C129" s="2" t="s">
        <v>42</v>
      </c>
      <c r="D129" s="2" t="s">
        <v>42</v>
      </c>
      <c r="E129" s="2" t="s">
        <v>1408</v>
      </c>
      <c r="F129" s="2" t="s">
        <v>1410</v>
      </c>
      <c r="G129" s="2" t="s">
        <v>1411</v>
      </c>
      <c r="H129" s="2" t="s">
        <v>42</v>
      </c>
      <c r="I129" s="2" t="s">
        <v>46</v>
      </c>
      <c r="J129" s="2" t="s">
        <v>47</v>
      </c>
      <c r="K129" s="2" t="s">
        <v>1412</v>
      </c>
      <c r="L129" s="2" t="s">
        <v>111</v>
      </c>
      <c r="M129" s="8" t="str">
        <f>HYPERLINK("http://www.kaec.net", "www.kaec.net")</f>
        <v>www.kaec.net</v>
      </c>
      <c r="N129" s="2" t="s">
        <v>210</v>
      </c>
      <c r="O129" s="2" t="s">
        <v>42</v>
      </c>
      <c r="P129" s="2" t="s">
        <v>1413</v>
      </c>
      <c r="Q129" s="2" t="s">
        <v>42</v>
      </c>
      <c r="R129" s="16" t="s">
        <v>42</v>
      </c>
      <c r="S129" s="16">
        <v>1</v>
      </c>
      <c r="T129" s="16">
        <v>1</v>
      </c>
      <c r="U129" s="16" t="s">
        <v>42</v>
      </c>
      <c r="V129" s="16" t="s">
        <v>42</v>
      </c>
      <c r="W129" s="4" t="s">
        <v>1414</v>
      </c>
      <c r="X129" s="2" t="s">
        <v>1415</v>
      </c>
      <c r="Y129" s="8" t="str">
        <f>HYPERLINK("http://sa.linkedin.com/in/abdulaziz-alnowaiser-757a65102", "http://sa.linkedin.com/in/abdulaziz-alnowaiser-757a65102")</f>
        <v>http://sa.linkedin.com/in/abdulaziz-alnowaiser-757a65102</v>
      </c>
      <c r="Z129" s="2" t="s">
        <v>1416</v>
      </c>
      <c r="AA129" s="2" t="s">
        <v>1417</v>
      </c>
      <c r="AB129" s="2" t="s">
        <v>1418</v>
      </c>
      <c r="AC129" s="2" t="s">
        <v>1419</v>
      </c>
      <c r="AD129" s="2" t="s">
        <v>42</v>
      </c>
      <c r="AE129" s="4" t="s">
        <v>1009</v>
      </c>
      <c r="AF129" s="2" t="s">
        <v>60</v>
      </c>
      <c r="AG129" s="4" t="s">
        <v>42</v>
      </c>
      <c r="AH129" s="2" t="s">
        <v>61</v>
      </c>
      <c r="AI129" s="2" t="s">
        <v>61</v>
      </c>
      <c r="AJ129" s="2" t="s">
        <v>42</v>
      </c>
      <c r="AK129" s="2" t="s">
        <v>42</v>
      </c>
      <c r="AL129" s="28">
        <v>45838</v>
      </c>
      <c r="AM129" s="4">
        <v>1974</v>
      </c>
      <c r="AN129" s="8" t="str">
        <f>HYPERLINK("https://my.pitchbook.com?p=426324-16P", "View People Online")</f>
        <v>View People Online</v>
      </c>
    </row>
    <row r="130" spans="1:40" x14ac:dyDescent="0.2">
      <c r="A130" s="3" t="s">
        <v>1420</v>
      </c>
      <c r="B130" s="3" t="s">
        <v>1421</v>
      </c>
      <c r="C130" s="3" t="s">
        <v>42</v>
      </c>
      <c r="D130" s="3" t="s">
        <v>42</v>
      </c>
      <c r="E130" s="3" t="s">
        <v>1420</v>
      </c>
      <c r="F130" s="3" t="s">
        <v>1422</v>
      </c>
      <c r="G130" s="3" t="s">
        <v>1423</v>
      </c>
      <c r="H130" s="3" t="s">
        <v>42</v>
      </c>
      <c r="I130" s="3" t="s">
        <v>46</v>
      </c>
      <c r="J130" s="3" t="s">
        <v>47</v>
      </c>
      <c r="K130" s="3" t="s">
        <v>1424</v>
      </c>
      <c r="L130" s="3" t="s">
        <v>111</v>
      </c>
      <c r="M130" s="9" t="str">
        <f>HYPERLINK("http://www.almujtama.com.sa", "www.almujtama.com.sa")</f>
        <v>www.almujtama.com.sa</v>
      </c>
      <c r="N130" s="3" t="s">
        <v>1425</v>
      </c>
      <c r="O130" s="3" t="s">
        <v>42</v>
      </c>
      <c r="P130" s="3" t="s">
        <v>1426</v>
      </c>
      <c r="Q130" s="3" t="s">
        <v>42</v>
      </c>
      <c r="R130" s="17">
        <v>1</v>
      </c>
      <c r="S130" s="17">
        <v>1</v>
      </c>
      <c r="T130" s="17">
        <v>1</v>
      </c>
      <c r="U130" s="17" t="s">
        <v>42</v>
      </c>
      <c r="V130" s="17" t="s">
        <v>42</v>
      </c>
      <c r="W130" s="5" t="s">
        <v>1427</v>
      </c>
      <c r="X130" s="3" t="s">
        <v>1428</v>
      </c>
      <c r="Y130" s="3" t="s">
        <v>42</v>
      </c>
      <c r="Z130" s="3" t="s">
        <v>174</v>
      </c>
      <c r="AA130" s="3" t="s">
        <v>1429</v>
      </c>
      <c r="AB130" s="3" t="s">
        <v>1430</v>
      </c>
      <c r="AC130" s="3" t="s">
        <v>176</v>
      </c>
      <c r="AD130" s="3" t="s">
        <v>42</v>
      </c>
      <c r="AE130" s="5" t="s">
        <v>1431</v>
      </c>
      <c r="AF130" s="3" t="s">
        <v>60</v>
      </c>
      <c r="AG130" s="5" t="s">
        <v>42</v>
      </c>
      <c r="AH130" s="3" t="s">
        <v>61</v>
      </c>
      <c r="AI130" s="3" t="s">
        <v>61</v>
      </c>
      <c r="AJ130" s="3" t="s">
        <v>42</v>
      </c>
      <c r="AK130" s="3" t="s">
        <v>42</v>
      </c>
      <c r="AL130" s="29">
        <v>45944</v>
      </c>
      <c r="AM130" s="5" t="s">
        <v>42</v>
      </c>
      <c r="AN130" s="9" t="str">
        <f>HYPERLINK("https://my.pitchbook.com?p=376418-89P", "View People Online")</f>
        <v>View People Online</v>
      </c>
    </row>
    <row r="131" spans="1:40" x14ac:dyDescent="0.2">
      <c r="A131" s="2" t="s">
        <v>1432</v>
      </c>
      <c r="B131" s="2" t="s">
        <v>1433</v>
      </c>
      <c r="C131" s="2" t="s">
        <v>42</v>
      </c>
      <c r="D131" s="2" t="s">
        <v>42</v>
      </c>
      <c r="E131" s="2" t="s">
        <v>1432</v>
      </c>
      <c r="F131" s="2" t="s">
        <v>1434</v>
      </c>
      <c r="G131" s="2" t="s">
        <v>65</v>
      </c>
      <c r="H131" s="2" t="s">
        <v>1435</v>
      </c>
      <c r="I131" s="2" t="s">
        <v>46</v>
      </c>
      <c r="J131" s="2" t="s">
        <v>47</v>
      </c>
      <c r="K131" s="2" t="s">
        <v>1436</v>
      </c>
      <c r="L131" s="2" t="s">
        <v>111</v>
      </c>
      <c r="M131" s="8" t="str">
        <f>HYPERLINK("http://www.samawaterco.com", "www.samawaterco.com")</f>
        <v>www.samawaterco.com</v>
      </c>
      <c r="N131" s="2" t="s">
        <v>112</v>
      </c>
      <c r="O131" s="2" t="s">
        <v>42</v>
      </c>
      <c r="P131" s="2" t="s">
        <v>1437</v>
      </c>
      <c r="Q131" s="2" t="s">
        <v>42</v>
      </c>
      <c r="R131" s="16">
        <v>1</v>
      </c>
      <c r="S131" s="16">
        <v>1</v>
      </c>
      <c r="T131" s="16">
        <v>1</v>
      </c>
      <c r="U131" s="16" t="s">
        <v>42</v>
      </c>
      <c r="V131" s="16" t="s">
        <v>42</v>
      </c>
      <c r="W131" s="4" t="s">
        <v>1438</v>
      </c>
      <c r="X131" s="2" t="s">
        <v>1439</v>
      </c>
      <c r="Y131" s="2" t="s">
        <v>42</v>
      </c>
      <c r="Z131" s="2" t="s">
        <v>1440</v>
      </c>
      <c r="AA131" s="2" t="s">
        <v>1441</v>
      </c>
      <c r="AB131" s="2" t="s">
        <v>42</v>
      </c>
      <c r="AC131" s="2" t="s">
        <v>1442</v>
      </c>
      <c r="AD131" s="2" t="s">
        <v>42</v>
      </c>
      <c r="AE131" s="4" t="s">
        <v>1443</v>
      </c>
      <c r="AF131" s="2" t="s">
        <v>60</v>
      </c>
      <c r="AG131" s="4" t="s">
        <v>1444</v>
      </c>
      <c r="AH131" s="2" t="s">
        <v>61</v>
      </c>
      <c r="AI131" s="2" t="s">
        <v>61</v>
      </c>
      <c r="AJ131" s="2" t="s">
        <v>42</v>
      </c>
      <c r="AK131" s="2" t="s">
        <v>42</v>
      </c>
      <c r="AL131" s="28">
        <v>45546</v>
      </c>
      <c r="AM131" s="4" t="s">
        <v>42</v>
      </c>
      <c r="AN131" s="8" t="str">
        <f>HYPERLINK("https://my.pitchbook.com?p=412458-67P", "View People Online")</f>
        <v>View People Online</v>
      </c>
    </row>
    <row r="132" spans="1:40" x14ac:dyDescent="0.2">
      <c r="A132" s="3" t="s">
        <v>1445</v>
      </c>
      <c r="B132" s="3" t="s">
        <v>1446</v>
      </c>
      <c r="C132" s="3" t="s">
        <v>42</v>
      </c>
      <c r="D132" s="3" t="s">
        <v>42</v>
      </c>
      <c r="E132" s="3" t="s">
        <v>1445</v>
      </c>
      <c r="F132" s="3" t="s">
        <v>270</v>
      </c>
      <c r="G132" s="3" t="s">
        <v>1447</v>
      </c>
      <c r="H132" s="3" t="s">
        <v>66</v>
      </c>
      <c r="I132" s="3" t="s">
        <v>46</v>
      </c>
      <c r="J132" s="3" t="s">
        <v>47</v>
      </c>
      <c r="K132" s="3" t="s">
        <v>438</v>
      </c>
      <c r="L132" s="3" t="s">
        <v>111</v>
      </c>
      <c r="M132" s="9" t="str">
        <f>HYPERLINK("http://www.shaker.com.sa", "www.shaker.com.sa")</f>
        <v>www.shaker.com.sa</v>
      </c>
      <c r="N132" s="3" t="s">
        <v>1448</v>
      </c>
      <c r="O132" s="3" t="s">
        <v>42</v>
      </c>
      <c r="P132" s="3" t="s">
        <v>1449</v>
      </c>
      <c r="Q132" s="3" t="s">
        <v>128</v>
      </c>
      <c r="R132" s="17">
        <v>1</v>
      </c>
      <c r="S132" s="17">
        <v>1</v>
      </c>
      <c r="T132" s="17" t="s">
        <v>42</v>
      </c>
      <c r="U132" s="17" t="s">
        <v>42</v>
      </c>
      <c r="V132" s="17" t="s">
        <v>42</v>
      </c>
      <c r="W132" s="5" t="s">
        <v>1450</v>
      </c>
      <c r="X132" s="3" t="s">
        <v>1451</v>
      </c>
      <c r="Y132" s="9" t="str">
        <f>HYPERLINK("http://linkedin.com/in/abdulelah-abunayyan-82171574/", "http://linkedin.com/in/abdulelah-abunayyan-82171574/")</f>
        <v>http://linkedin.com/in/abdulelah-abunayyan-82171574/</v>
      </c>
      <c r="Z132" s="3" t="s">
        <v>174</v>
      </c>
      <c r="AA132" s="3" t="s">
        <v>1452</v>
      </c>
      <c r="AB132" s="3" t="s">
        <v>1453</v>
      </c>
      <c r="AC132" s="3" t="s">
        <v>176</v>
      </c>
      <c r="AD132" s="3" t="s">
        <v>42</v>
      </c>
      <c r="AE132" s="5" t="s">
        <v>1454</v>
      </c>
      <c r="AF132" s="3" t="s">
        <v>60</v>
      </c>
      <c r="AG132" s="5" t="s">
        <v>1455</v>
      </c>
      <c r="AH132" s="3" t="s">
        <v>61</v>
      </c>
      <c r="AI132" s="3" t="s">
        <v>61</v>
      </c>
      <c r="AJ132" s="3" t="s">
        <v>42</v>
      </c>
      <c r="AK132" s="3" t="s">
        <v>42</v>
      </c>
      <c r="AL132" s="29">
        <v>45910</v>
      </c>
      <c r="AM132" s="5" t="s">
        <v>42</v>
      </c>
      <c r="AN132" s="9" t="str">
        <f>HYPERLINK("https://my.pitchbook.com?p=183678-13P", "View People Online")</f>
        <v>View People Online</v>
      </c>
    </row>
    <row r="133" spans="1:40" x14ac:dyDescent="0.2">
      <c r="A133" s="2" t="s">
        <v>1456</v>
      </c>
      <c r="B133" s="2" t="s">
        <v>1457</v>
      </c>
      <c r="C133" s="2" t="s">
        <v>42</v>
      </c>
      <c r="D133" s="2" t="s">
        <v>42</v>
      </c>
      <c r="E133" s="2" t="s">
        <v>1456</v>
      </c>
      <c r="F133" s="2" t="s">
        <v>1458</v>
      </c>
      <c r="G133" s="2" t="s">
        <v>1459</v>
      </c>
      <c r="H133" s="2" t="s">
        <v>42</v>
      </c>
      <c r="I133" s="2" t="s">
        <v>46</v>
      </c>
      <c r="J133" s="2" t="s">
        <v>47</v>
      </c>
      <c r="K133" s="2" t="s">
        <v>1460</v>
      </c>
      <c r="L133" s="2" t="s">
        <v>111</v>
      </c>
      <c r="M133" s="8" t="str">
        <f>HYPERLINK("http://www.enmaalrwabi.com", "www.enmaalrwabi.com")</f>
        <v>www.enmaalrwabi.com</v>
      </c>
      <c r="N133" s="2" t="s">
        <v>210</v>
      </c>
      <c r="O133" s="2" t="s">
        <v>42</v>
      </c>
      <c r="P133" s="2" t="s">
        <v>1461</v>
      </c>
      <c r="Q133" s="2" t="s">
        <v>1462</v>
      </c>
      <c r="R133" s="16" t="s">
        <v>42</v>
      </c>
      <c r="S133" s="16">
        <v>1</v>
      </c>
      <c r="T133" s="16">
        <v>1</v>
      </c>
      <c r="U133" s="16" t="s">
        <v>42</v>
      </c>
      <c r="V133" s="16" t="s">
        <v>42</v>
      </c>
      <c r="W133" s="4" t="s">
        <v>1463</v>
      </c>
      <c r="X133" s="2" t="s">
        <v>1464</v>
      </c>
      <c r="Y133" s="2" t="s">
        <v>42</v>
      </c>
      <c r="Z133" s="2" t="s">
        <v>55</v>
      </c>
      <c r="AA133" s="2" t="s">
        <v>1465</v>
      </c>
      <c r="AB133" s="2" t="s">
        <v>1466</v>
      </c>
      <c r="AC133" s="2" t="s">
        <v>58</v>
      </c>
      <c r="AD133" s="2" t="s">
        <v>42</v>
      </c>
      <c r="AE133" s="4" t="s">
        <v>42</v>
      </c>
      <c r="AF133" s="2" t="s">
        <v>60</v>
      </c>
      <c r="AG133" s="4" t="s">
        <v>1467</v>
      </c>
      <c r="AH133" s="2" t="s">
        <v>61</v>
      </c>
      <c r="AI133" s="2" t="s">
        <v>61</v>
      </c>
      <c r="AJ133" s="2" t="s">
        <v>42</v>
      </c>
      <c r="AK133" s="2" t="s">
        <v>42</v>
      </c>
      <c r="AL133" s="28">
        <v>45776</v>
      </c>
      <c r="AM133" s="4" t="s">
        <v>42</v>
      </c>
      <c r="AN133" s="8" t="str">
        <f>HYPERLINK("https://my.pitchbook.com?p=444072-70P", "View People Online")</f>
        <v>View People Online</v>
      </c>
    </row>
    <row r="134" spans="1:40" x14ac:dyDescent="0.2">
      <c r="A134" s="3" t="s">
        <v>1468</v>
      </c>
      <c r="B134" s="3" t="s">
        <v>1469</v>
      </c>
      <c r="C134" s="3" t="s">
        <v>42</v>
      </c>
      <c r="D134" s="3" t="s">
        <v>42</v>
      </c>
      <c r="E134" s="3" t="s">
        <v>1468</v>
      </c>
      <c r="F134" s="3" t="s">
        <v>167</v>
      </c>
      <c r="G134" s="3" t="s">
        <v>1470</v>
      </c>
      <c r="H134" s="3" t="s">
        <v>1471</v>
      </c>
      <c r="I134" s="3" t="s">
        <v>196</v>
      </c>
      <c r="J134" s="3" t="s">
        <v>47</v>
      </c>
      <c r="K134" s="3" t="s">
        <v>1472</v>
      </c>
      <c r="L134" s="3" t="s">
        <v>111</v>
      </c>
      <c r="M134" s="9" t="str">
        <f>HYPERLINK("http://www.ame.med.sa", "www.ame.med.sa")</f>
        <v>www.ame.med.sa</v>
      </c>
      <c r="N134" s="3" t="s">
        <v>210</v>
      </c>
      <c r="O134" s="3" t="s">
        <v>42</v>
      </c>
      <c r="P134" s="3" t="s">
        <v>1473</v>
      </c>
      <c r="Q134" s="3" t="s">
        <v>42</v>
      </c>
      <c r="R134" s="17" t="s">
        <v>42</v>
      </c>
      <c r="S134" s="17">
        <v>1</v>
      </c>
      <c r="T134" s="17">
        <v>1</v>
      </c>
      <c r="U134" s="17" t="s">
        <v>42</v>
      </c>
      <c r="V134" s="17" t="s">
        <v>42</v>
      </c>
      <c r="W134" s="5" t="s">
        <v>1474</v>
      </c>
      <c r="X134" s="3" t="s">
        <v>1475</v>
      </c>
      <c r="Y134" s="9" t="str">
        <f>HYPERLINK("http://linkedin.com/in/abdelfatah-ahmed-a0128167/", "http://linkedin.com/in/abdelfatah-ahmed-a0128167/")</f>
        <v>http://linkedin.com/in/abdelfatah-ahmed-a0128167/</v>
      </c>
      <c r="Z134" s="3" t="s">
        <v>174</v>
      </c>
      <c r="AA134" s="3" t="s">
        <v>1476</v>
      </c>
      <c r="AB134" s="3" t="s">
        <v>1477</v>
      </c>
      <c r="AC134" s="3" t="s">
        <v>176</v>
      </c>
      <c r="AD134" s="3" t="s">
        <v>42</v>
      </c>
      <c r="AE134" s="5" t="s">
        <v>1478</v>
      </c>
      <c r="AF134" s="3" t="s">
        <v>60</v>
      </c>
      <c r="AG134" s="5" t="s">
        <v>42</v>
      </c>
      <c r="AH134" s="3" t="s">
        <v>61</v>
      </c>
      <c r="AI134" s="3" t="s">
        <v>61</v>
      </c>
      <c r="AJ134" s="3" t="s">
        <v>42</v>
      </c>
      <c r="AK134" s="3" t="s">
        <v>42</v>
      </c>
      <c r="AL134" s="29">
        <v>45513</v>
      </c>
      <c r="AM134" s="5" t="s">
        <v>42</v>
      </c>
      <c r="AN134" s="9" t="str">
        <f>HYPERLINK("https://my.pitchbook.com?p=295876-63P", "View People Online")</f>
        <v>View People Online</v>
      </c>
    </row>
    <row r="135" spans="1:40" x14ac:dyDescent="0.2">
      <c r="A135" s="2" t="s">
        <v>1479</v>
      </c>
      <c r="B135" s="2" t="s">
        <v>1480</v>
      </c>
      <c r="C135" s="2" t="s">
        <v>42</v>
      </c>
      <c r="D135" s="2" t="s">
        <v>42</v>
      </c>
      <c r="E135" s="2" t="s">
        <v>1479</v>
      </c>
      <c r="F135" s="2" t="s">
        <v>1481</v>
      </c>
      <c r="G135" s="2" t="s">
        <v>1482</v>
      </c>
      <c r="H135" s="2" t="s">
        <v>42</v>
      </c>
      <c r="I135" s="2" t="s">
        <v>46</v>
      </c>
      <c r="J135" s="2" t="s">
        <v>47</v>
      </c>
      <c r="K135" s="2" t="s">
        <v>272</v>
      </c>
      <c r="L135" s="2" t="s">
        <v>111</v>
      </c>
      <c r="M135" s="8" t="str">
        <f>HYPERLINK("http://www.acwapower.com", "www.acwapower.com")</f>
        <v>www.acwapower.com</v>
      </c>
      <c r="N135" s="2" t="s">
        <v>534</v>
      </c>
      <c r="O135" s="2" t="s">
        <v>42</v>
      </c>
      <c r="P135" s="2" t="s">
        <v>1483</v>
      </c>
      <c r="Q135" s="2" t="s">
        <v>1484</v>
      </c>
      <c r="R135" s="16" t="s">
        <v>42</v>
      </c>
      <c r="S135" s="16">
        <v>1</v>
      </c>
      <c r="T135" s="16">
        <v>1</v>
      </c>
      <c r="U135" s="16" t="s">
        <v>42</v>
      </c>
      <c r="V135" s="16" t="s">
        <v>42</v>
      </c>
      <c r="W135" s="4" t="s">
        <v>274</v>
      </c>
      <c r="X135" s="2" t="s">
        <v>42</v>
      </c>
      <c r="Y135" s="8" t="str">
        <f>HYPERLINK("http://linkedin.com/in/abdulhameed-almuhaidib-5455275a/?originalsubdomain=ae", "http://linkedin.com/in/abdulhameed-almuhaidib-5455275a/?originalsubdomain=ae")</f>
        <v>http://linkedin.com/in/abdulhameed-almuhaidib-5455275a/?originalsubdomain=ae</v>
      </c>
      <c r="Z135" s="2" t="s">
        <v>55</v>
      </c>
      <c r="AA135" s="2" t="s">
        <v>276</v>
      </c>
      <c r="AB135" s="2" t="s">
        <v>277</v>
      </c>
      <c r="AC135" s="2" t="s">
        <v>58</v>
      </c>
      <c r="AD135" s="2" t="s">
        <v>278</v>
      </c>
      <c r="AE135" s="4" t="s">
        <v>279</v>
      </c>
      <c r="AF135" s="2" t="s">
        <v>60</v>
      </c>
      <c r="AG135" s="4" t="s">
        <v>280</v>
      </c>
      <c r="AH135" s="2" t="s">
        <v>61</v>
      </c>
      <c r="AI135" s="2" t="s">
        <v>61</v>
      </c>
      <c r="AJ135" s="2" t="s">
        <v>42</v>
      </c>
      <c r="AK135" s="2" t="s">
        <v>42</v>
      </c>
      <c r="AL135" s="28">
        <v>45826</v>
      </c>
      <c r="AM135" s="4" t="s">
        <v>42</v>
      </c>
      <c r="AN135" s="8" t="str">
        <f>HYPERLINK("https://my.pitchbook.com?p=297081-64P", "View People Online")</f>
        <v>View People Online</v>
      </c>
    </row>
    <row r="136" spans="1:40" x14ac:dyDescent="0.2">
      <c r="A136" s="3" t="s">
        <v>1485</v>
      </c>
      <c r="B136" s="3" t="s">
        <v>1486</v>
      </c>
      <c r="C136" s="3" t="s">
        <v>42</v>
      </c>
      <c r="D136" s="3" t="s">
        <v>42</v>
      </c>
      <c r="E136" s="3" t="s">
        <v>1485</v>
      </c>
      <c r="F136" s="3" t="s">
        <v>1487</v>
      </c>
      <c r="G136" s="3" t="s">
        <v>1488</v>
      </c>
      <c r="H136" s="3" t="s">
        <v>467</v>
      </c>
      <c r="I136" s="3" t="s">
        <v>46</v>
      </c>
      <c r="J136" s="3" t="s">
        <v>47</v>
      </c>
      <c r="K136" s="3" t="s">
        <v>1489</v>
      </c>
      <c r="L136" s="3" t="s">
        <v>111</v>
      </c>
      <c r="M136" s="9" t="str">
        <f>HYPERLINK("http://www.aldrees.com", "www.aldrees.com")</f>
        <v>www.aldrees.com</v>
      </c>
      <c r="N136" s="3" t="s">
        <v>210</v>
      </c>
      <c r="O136" s="3" t="s">
        <v>42</v>
      </c>
      <c r="P136" s="3" t="s">
        <v>1490</v>
      </c>
      <c r="Q136" s="3" t="s">
        <v>42</v>
      </c>
      <c r="R136" s="17" t="s">
        <v>42</v>
      </c>
      <c r="S136" s="17">
        <v>1</v>
      </c>
      <c r="T136" s="17">
        <v>1</v>
      </c>
      <c r="U136" s="17" t="s">
        <v>42</v>
      </c>
      <c r="V136" s="17" t="s">
        <v>42</v>
      </c>
      <c r="W136" s="5" t="s">
        <v>1491</v>
      </c>
      <c r="X136" s="3" t="s">
        <v>42</v>
      </c>
      <c r="Y136" s="3" t="s">
        <v>42</v>
      </c>
      <c r="Z136" s="3" t="s">
        <v>55</v>
      </c>
      <c r="AA136" s="3" t="s">
        <v>1492</v>
      </c>
      <c r="AB136" s="3" t="s">
        <v>42</v>
      </c>
      <c r="AC136" s="3" t="s">
        <v>58</v>
      </c>
      <c r="AD136" s="3" t="s">
        <v>42</v>
      </c>
      <c r="AE136" s="5" t="s">
        <v>1493</v>
      </c>
      <c r="AF136" s="3" t="s">
        <v>60</v>
      </c>
      <c r="AG136" s="5" t="s">
        <v>1494</v>
      </c>
      <c r="AH136" s="3" t="s">
        <v>61</v>
      </c>
      <c r="AI136" s="3" t="s">
        <v>61</v>
      </c>
      <c r="AJ136" s="3" t="s">
        <v>42</v>
      </c>
      <c r="AK136" s="3" t="s">
        <v>42</v>
      </c>
      <c r="AL136" s="29">
        <v>45980</v>
      </c>
      <c r="AM136" s="5" t="s">
        <v>42</v>
      </c>
      <c r="AN136" s="9" t="str">
        <f>HYPERLINK("https://my.pitchbook.com?p=339591-25P", "View People Online")</f>
        <v>View People Online</v>
      </c>
    </row>
    <row r="137" spans="1:40" x14ac:dyDescent="0.2">
      <c r="A137" s="2" t="s">
        <v>1495</v>
      </c>
      <c r="B137" s="2" t="s">
        <v>1496</v>
      </c>
      <c r="C137" s="2" t="s">
        <v>42</v>
      </c>
      <c r="D137" s="2" t="s">
        <v>42</v>
      </c>
      <c r="E137" s="2" t="s">
        <v>1495</v>
      </c>
      <c r="F137" s="2" t="s">
        <v>1497</v>
      </c>
      <c r="G137" s="2" t="s">
        <v>1498</v>
      </c>
      <c r="H137" s="2" t="s">
        <v>42</v>
      </c>
      <c r="I137" s="2" t="s">
        <v>46</v>
      </c>
      <c r="J137" s="2" t="s">
        <v>47</v>
      </c>
      <c r="K137" s="2" t="s">
        <v>1499</v>
      </c>
      <c r="L137" s="2" t="s">
        <v>111</v>
      </c>
      <c r="M137" s="8" t="str">
        <f>HYPERLINK("http://www.jarir.com", "www.jarir.com")</f>
        <v>www.jarir.com</v>
      </c>
      <c r="N137" s="2" t="s">
        <v>1500</v>
      </c>
      <c r="O137" s="2" t="s">
        <v>42</v>
      </c>
      <c r="P137" s="2" t="s">
        <v>1501</v>
      </c>
      <c r="Q137" s="2" t="s">
        <v>42</v>
      </c>
      <c r="R137" s="16" t="s">
        <v>42</v>
      </c>
      <c r="S137" s="16">
        <v>1</v>
      </c>
      <c r="T137" s="16">
        <v>1</v>
      </c>
      <c r="U137" s="16" t="s">
        <v>42</v>
      </c>
      <c r="V137" s="16" t="s">
        <v>42</v>
      </c>
      <c r="W137" s="4" t="s">
        <v>1502</v>
      </c>
      <c r="X137" s="2" t="s">
        <v>1503</v>
      </c>
      <c r="Y137" s="2" t="s">
        <v>42</v>
      </c>
      <c r="Z137" s="2" t="s">
        <v>55</v>
      </c>
      <c r="AA137" s="2" t="s">
        <v>1504</v>
      </c>
      <c r="AB137" s="2" t="s">
        <v>42</v>
      </c>
      <c r="AC137" s="2" t="s">
        <v>58</v>
      </c>
      <c r="AD137" s="2" t="s">
        <v>42</v>
      </c>
      <c r="AE137" s="4" t="s">
        <v>1505</v>
      </c>
      <c r="AF137" s="2" t="s">
        <v>60</v>
      </c>
      <c r="AG137" s="4" t="s">
        <v>1506</v>
      </c>
      <c r="AH137" s="2" t="s">
        <v>61</v>
      </c>
      <c r="AI137" s="2" t="s">
        <v>61</v>
      </c>
      <c r="AJ137" s="2" t="s">
        <v>42</v>
      </c>
      <c r="AK137" s="2" t="s">
        <v>42</v>
      </c>
      <c r="AL137" s="28">
        <v>45728</v>
      </c>
      <c r="AM137" s="4" t="s">
        <v>42</v>
      </c>
      <c r="AN137" s="8" t="str">
        <f>HYPERLINK("https://my.pitchbook.com?p=340447-69P", "View People Online")</f>
        <v>View People Online</v>
      </c>
    </row>
    <row r="138" spans="1:40" x14ac:dyDescent="0.2">
      <c r="A138" s="3" t="s">
        <v>1507</v>
      </c>
      <c r="B138" s="3" t="s">
        <v>1508</v>
      </c>
      <c r="C138" s="3" t="s">
        <v>42</v>
      </c>
      <c r="D138" s="3" t="s">
        <v>42</v>
      </c>
      <c r="E138" s="3" t="s">
        <v>1507</v>
      </c>
      <c r="F138" s="3" t="s">
        <v>1509</v>
      </c>
      <c r="G138" s="3" t="s">
        <v>379</v>
      </c>
      <c r="H138" s="3" t="s">
        <v>543</v>
      </c>
      <c r="I138" s="3" t="s">
        <v>46</v>
      </c>
      <c r="J138" s="3" t="s">
        <v>47</v>
      </c>
      <c r="K138" s="3" t="s">
        <v>1510</v>
      </c>
      <c r="L138" s="3" t="s">
        <v>111</v>
      </c>
      <c r="M138" s="9" t="str">
        <f>HYPERLINK("http://www.firstmills.com", "www.firstmills.com")</f>
        <v>www.firstmills.com</v>
      </c>
      <c r="N138" s="3" t="s">
        <v>210</v>
      </c>
      <c r="O138" s="3" t="s">
        <v>42</v>
      </c>
      <c r="P138" s="3" t="s">
        <v>1511</v>
      </c>
      <c r="Q138" s="3" t="s">
        <v>42</v>
      </c>
      <c r="R138" s="17" t="s">
        <v>42</v>
      </c>
      <c r="S138" s="17">
        <v>1</v>
      </c>
      <c r="T138" s="17">
        <v>1</v>
      </c>
      <c r="U138" s="17" t="s">
        <v>42</v>
      </c>
      <c r="V138" s="17" t="s">
        <v>42</v>
      </c>
      <c r="W138" s="5" t="s">
        <v>1512</v>
      </c>
      <c r="X138" s="3" t="s">
        <v>42</v>
      </c>
      <c r="Y138" s="9" t="str">
        <f>HYPERLINK("http://linkedin.com/in/eng-abdullah-ababtain-12747b20b/?originalsubdomain=sa", "http://linkedin.com/in/eng-abdullah-ababtain-12747b20b/?originalsubdomain=sa")</f>
        <v>http://linkedin.com/in/eng-abdullah-ababtain-12747b20b/?originalsubdomain=sa</v>
      </c>
      <c r="Z138" s="3" t="s">
        <v>174</v>
      </c>
      <c r="AA138" s="3" t="s">
        <v>1513</v>
      </c>
      <c r="AB138" s="3" t="s">
        <v>1514</v>
      </c>
      <c r="AC138" s="3" t="s">
        <v>176</v>
      </c>
      <c r="AD138" s="3" t="s">
        <v>42</v>
      </c>
      <c r="AE138" s="5" t="s">
        <v>1515</v>
      </c>
      <c r="AF138" s="3" t="s">
        <v>60</v>
      </c>
      <c r="AG138" s="5" t="s">
        <v>1516</v>
      </c>
      <c r="AH138" s="3" t="s">
        <v>61</v>
      </c>
      <c r="AI138" s="3" t="s">
        <v>61</v>
      </c>
      <c r="AJ138" s="3" t="s">
        <v>42</v>
      </c>
      <c r="AK138" s="3" t="s">
        <v>42</v>
      </c>
      <c r="AL138" s="29">
        <v>45721</v>
      </c>
      <c r="AM138" s="5" t="s">
        <v>42</v>
      </c>
      <c r="AN138" s="9" t="str">
        <f>HYPERLINK("https://my.pitchbook.com?p=239078-80P", "View People Online")</f>
        <v>View People Online</v>
      </c>
    </row>
    <row r="139" spans="1:40" x14ac:dyDescent="0.2">
      <c r="A139" s="2" t="s">
        <v>1517</v>
      </c>
      <c r="B139" s="2" t="s">
        <v>1518</v>
      </c>
      <c r="C139" s="2" t="s">
        <v>42</v>
      </c>
      <c r="D139" s="2" t="s">
        <v>42</v>
      </c>
      <c r="E139" s="2" t="s">
        <v>1517</v>
      </c>
      <c r="F139" s="2" t="s">
        <v>478</v>
      </c>
      <c r="G139" s="2" t="s">
        <v>66</v>
      </c>
      <c r="H139" s="2" t="s">
        <v>1519</v>
      </c>
      <c r="I139" s="2" t="s">
        <v>46</v>
      </c>
      <c r="J139" s="2" t="s">
        <v>47</v>
      </c>
      <c r="K139" s="2" t="s">
        <v>1520</v>
      </c>
      <c r="L139" s="2" t="s">
        <v>1316</v>
      </c>
      <c r="M139" s="8" t="str">
        <f>HYPERLINK("http://www.alrajhitakaful.com", "www.alrajhitakaful.com")</f>
        <v>www.alrajhitakaful.com</v>
      </c>
      <c r="N139" s="2" t="s">
        <v>139</v>
      </c>
      <c r="O139" s="2" t="s">
        <v>42</v>
      </c>
      <c r="P139" s="2" t="s">
        <v>1521</v>
      </c>
      <c r="Q139" s="2" t="s">
        <v>42</v>
      </c>
      <c r="R139" s="16">
        <v>1</v>
      </c>
      <c r="S139" s="16">
        <v>1</v>
      </c>
      <c r="T139" s="16" t="s">
        <v>42</v>
      </c>
      <c r="U139" s="16" t="s">
        <v>42</v>
      </c>
      <c r="V139" s="16" t="s">
        <v>42</v>
      </c>
      <c r="W139" s="4" t="s">
        <v>1522</v>
      </c>
      <c r="X139" s="2" t="s">
        <v>42</v>
      </c>
      <c r="Y139" s="2" t="s">
        <v>42</v>
      </c>
      <c r="Z139" s="2" t="s">
        <v>55</v>
      </c>
      <c r="AA139" s="2" t="s">
        <v>1523</v>
      </c>
      <c r="AB139" s="2" t="s">
        <v>1524</v>
      </c>
      <c r="AC139" s="2" t="s">
        <v>58</v>
      </c>
      <c r="AD139" s="2" t="s">
        <v>1525</v>
      </c>
      <c r="AE139" s="4" t="s">
        <v>1526</v>
      </c>
      <c r="AF139" s="2" t="s">
        <v>60</v>
      </c>
      <c r="AG139" s="4" t="s">
        <v>1527</v>
      </c>
      <c r="AH139" s="2" t="s">
        <v>61</v>
      </c>
      <c r="AI139" s="2" t="s">
        <v>61</v>
      </c>
      <c r="AJ139" s="2" t="s">
        <v>42</v>
      </c>
      <c r="AK139" s="2" t="s">
        <v>42</v>
      </c>
      <c r="AL139" s="28">
        <v>45839</v>
      </c>
      <c r="AM139" s="4" t="s">
        <v>42</v>
      </c>
      <c r="AN139" s="8" t="str">
        <f>HYPERLINK("https://my.pitchbook.com?p=450315-19P", "View People Online")</f>
        <v>View People Online</v>
      </c>
    </row>
    <row r="140" spans="1:40" x14ac:dyDescent="0.2">
      <c r="A140" s="3" t="s">
        <v>1528</v>
      </c>
      <c r="B140" s="3" t="s">
        <v>1529</v>
      </c>
      <c r="C140" s="3" t="s">
        <v>42</v>
      </c>
      <c r="D140" s="3" t="s">
        <v>42</v>
      </c>
      <c r="E140" s="3" t="s">
        <v>1528</v>
      </c>
      <c r="F140" s="3" t="s">
        <v>1530</v>
      </c>
      <c r="G140" s="3" t="s">
        <v>66</v>
      </c>
      <c r="H140" s="3" t="s">
        <v>1531</v>
      </c>
      <c r="I140" s="3" t="s">
        <v>46</v>
      </c>
      <c r="J140" s="3" t="s">
        <v>47</v>
      </c>
      <c r="K140" s="3" t="s">
        <v>1532</v>
      </c>
      <c r="L140" s="3" t="s">
        <v>111</v>
      </c>
      <c r="M140" s="9" t="str">
        <f>HYPERLINK("http://www.nama.com.sa", "www.nama.com.sa")</f>
        <v>www.nama.com.sa</v>
      </c>
      <c r="N140" s="3" t="s">
        <v>210</v>
      </c>
      <c r="O140" s="3" t="s">
        <v>42</v>
      </c>
      <c r="P140" s="3" t="s">
        <v>1533</v>
      </c>
      <c r="Q140" s="3" t="s">
        <v>42</v>
      </c>
      <c r="R140" s="17" t="s">
        <v>42</v>
      </c>
      <c r="S140" s="17">
        <v>1</v>
      </c>
      <c r="T140" s="17">
        <v>1</v>
      </c>
      <c r="U140" s="17" t="s">
        <v>42</v>
      </c>
      <c r="V140" s="17" t="s">
        <v>42</v>
      </c>
      <c r="W140" s="5" t="s">
        <v>1534</v>
      </c>
      <c r="X140" s="3" t="s">
        <v>1535</v>
      </c>
      <c r="Y140" s="9" t="str">
        <f>HYPERLINK("http://sa.linkedin.com/in/abdallah-al-salem-84620620", "http://sa.linkedin.com/in/abdallah-al-salem-84620620")</f>
        <v>http://sa.linkedin.com/in/abdallah-al-salem-84620620</v>
      </c>
      <c r="Z140" s="3" t="s">
        <v>396</v>
      </c>
      <c r="AA140" s="3" t="s">
        <v>1536</v>
      </c>
      <c r="AB140" s="3" t="s">
        <v>1537</v>
      </c>
      <c r="AC140" s="3" t="s">
        <v>398</v>
      </c>
      <c r="AD140" s="3" t="s">
        <v>42</v>
      </c>
      <c r="AE140" s="5" t="s">
        <v>1538</v>
      </c>
      <c r="AF140" s="3" t="s">
        <v>60</v>
      </c>
      <c r="AG140" s="5" t="s">
        <v>1539</v>
      </c>
      <c r="AH140" s="3" t="s">
        <v>61</v>
      </c>
      <c r="AI140" s="3" t="s">
        <v>61</v>
      </c>
      <c r="AJ140" s="3" t="s">
        <v>42</v>
      </c>
      <c r="AK140" s="3" t="s">
        <v>42</v>
      </c>
      <c r="AL140" s="29">
        <v>46051</v>
      </c>
      <c r="AM140" s="5" t="s">
        <v>42</v>
      </c>
      <c r="AN140" s="9" t="str">
        <f>HYPERLINK("https://my.pitchbook.com?p=341249-23P", "View People Online")</f>
        <v>View People Online</v>
      </c>
    </row>
    <row r="141" spans="1:40" x14ac:dyDescent="0.2">
      <c r="A141" s="2" t="s">
        <v>1540</v>
      </c>
      <c r="B141" s="2" t="s">
        <v>1541</v>
      </c>
      <c r="C141" s="2" t="s">
        <v>42</v>
      </c>
      <c r="D141" s="2" t="s">
        <v>42</v>
      </c>
      <c r="E141" s="2" t="s">
        <v>1540</v>
      </c>
      <c r="F141" s="2" t="s">
        <v>1542</v>
      </c>
      <c r="G141" s="2" t="s">
        <v>66</v>
      </c>
      <c r="H141" s="2" t="s">
        <v>42</v>
      </c>
      <c r="I141" s="2" t="s">
        <v>46</v>
      </c>
      <c r="J141" s="2" t="s">
        <v>47</v>
      </c>
      <c r="K141" s="2" t="s">
        <v>1543</v>
      </c>
      <c r="L141" s="2" t="s">
        <v>111</v>
      </c>
      <c r="M141" s="8" t="str">
        <f>HYPERLINK("http://www.bsf.sa", "www.bsf.sa")</f>
        <v>www.bsf.sa</v>
      </c>
      <c r="N141" s="2" t="s">
        <v>1544</v>
      </c>
      <c r="O141" s="2" t="s">
        <v>42</v>
      </c>
      <c r="P141" s="2" t="s">
        <v>1545</v>
      </c>
      <c r="Q141" s="2" t="s">
        <v>42</v>
      </c>
      <c r="R141" s="16" t="s">
        <v>42</v>
      </c>
      <c r="S141" s="16">
        <v>1</v>
      </c>
      <c r="T141" s="16">
        <v>1</v>
      </c>
      <c r="U141" s="16" t="s">
        <v>42</v>
      </c>
      <c r="V141" s="16" t="s">
        <v>42</v>
      </c>
      <c r="W141" s="4" t="s">
        <v>1546</v>
      </c>
      <c r="X141" s="2" t="s">
        <v>42</v>
      </c>
      <c r="Y141" s="2" t="s">
        <v>42</v>
      </c>
      <c r="Z141" s="2" t="s">
        <v>55</v>
      </c>
      <c r="AA141" s="2" t="s">
        <v>1547</v>
      </c>
      <c r="AB141" s="2" t="s">
        <v>42</v>
      </c>
      <c r="AC141" s="2" t="s">
        <v>58</v>
      </c>
      <c r="AD141" s="2" t="s">
        <v>42</v>
      </c>
      <c r="AE141" s="4" t="s">
        <v>1548</v>
      </c>
      <c r="AF141" s="2" t="s">
        <v>60</v>
      </c>
      <c r="AG141" s="4" t="s">
        <v>1549</v>
      </c>
      <c r="AH141" s="2" t="s">
        <v>61</v>
      </c>
      <c r="AI141" s="2" t="s">
        <v>61</v>
      </c>
      <c r="AJ141" s="2" t="s">
        <v>42</v>
      </c>
      <c r="AK141" s="2" t="s">
        <v>42</v>
      </c>
      <c r="AL141" s="28">
        <v>46057</v>
      </c>
      <c r="AM141" s="4" t="s">
        <v>42</v>
      </c>
      <c r="AN141" s="8" t="str">
        <f>HYPERLINK("https://my.pitchbook.com?p=394850-89P", "View People Online")</f>
        <v>View People Online</v>
      </c>
    </row>
    <row r="142" spans="1:40" x14ac:dyDescent="0.2">
      <c r="A142" s="3" t="s">
        <v>1550</v>
      </c>
      <c r="B142" s="3" t="s">
        <v>1551</v>
      </c>
      <c r="C142" s="3" t="s">
        <v>42</v>
      </c>
      <c r="D142" s="3" t="s">
        <v>42</v>
      </c>
      <c r="E142" s="3" t="s">
        <v>1550</v>
      </c>
      <c r="F142" s="3" t="s">
        <v>1552</v>
      </c>
      <c r="G142" s="3" t="s">
        <v>66</v>
      </c>
      <c r="H142" s="3" t="s">
        <v>1553</v>
      </c>
      <c r="I142" s="3" t="s">
        <v>46</v>
      </c>
      <c r="J142" s="3" t="s">
        <v>47</v>
      </c>
      <c r="K142" s="3" t="s">
        <v>1554</v>
      </c>
      <c r="L142" s="3" t="s">
        <v>111</v>
      </c>
      <c r="M142" s="9" t="str">
        <f>HYPERLINK("http://www.amlakint.com", "www.amlakint.com")</f>
        <v>www.amlakint.com</v>
      </c>
      <c r="N142" s="3" t="s">
        <v>112</v>
      </c>
      <c r="O142" s="3" t="s">
        <v>42</v>
      </c>
      <c r="P142" s="3" t="s">
        <v>1555</v>
      </c>
      <c r="Q142" s="3" t="s">
        <v>42</v>
      </c>
      <c r="R142" s="17">
        <v>1</v>
      </c>
      <c r="S142" s="17">
        <v>1</v>
      </c>
      <c r="T142" s="17">
        <v>1</v>
      </c>
      <c r="U142" s="17" t="s">
        <v>42</v>
      </c>
      <c r="V142" s="17" t="s">
        <v>42</v>
      </c>
      <c r="W142" s="5" t="s">
        <v>1556</v>
      </c>
      <c r="X142" s="3" t="s">
        <v>1557</v>
      </c>
      <c r="Y142" s="9" t="str">
        <f>HYPERLINK("http://linkedin.com/in/abdullah-al-sudairy-4a5ab4101/", "http://linkedin.com/in/abdullah-al-sudairy-4a5ab4101/")</f>
        <v>http://linkedin.com/in/abdullah-al-sudairy-4a5ab4101/</v>
      </c>
      <c r="Z142" s="3" t="s">
        <v>1558</v>
      </c>
      <c r="AA142" s="3" t="s">
        <v>1559</v>
      </c>
      <c r="AB142" s="3" t="s">
        <v>1560</v>
      </c>
      <c r="AC142" s="3" t="s">
        <v>1561</v>
      </c>
      <c r="AD142" s="3" t="s">
        <v>42</v>
      </c>
      <c r="AE142" s="5" t="s">
        <v>42</v>
      </c>
      <c r="AF142" s="3" t="s">
        <v>60</v>
      </c>
      <c r="AG142" s="5" t="s">
        <v>1562</v>
      </c>
      <c r="AH142" s="3" t="s">
        <v>61</v>
      </c>
      <c r="AI142" s="3" t="s">
        <v>61</v>
      </c>
      <c r="AJ142" s="3" t="s">
        <v>42</v>
      </c>
      <c r="AK142" s="3" t="s">
        <v>42</v>
      </c>
      <c r="AL142" s="29">
        <v>45953</v>
      </c>
      <c r="AM142" s="5">
        <v>1972</v>
      </c>
      <c r="AN142" s="9" t="str">
        <f>HYPERLINK("https://my.pitchbook.com?p=161916-13P", "View People Online")</f>
        <v>View People Online</v>
      </c>
    </row>
    <row r="143" spans="1:40" x14ac:dyDescent="0.2">
      <c r="A143" s="2" t="s">
        <v>1563</v>
      </c>
      <c r="B143" s="2" t="s">
        <v>1564</v>
      </c>
      <c r="C143" s="2" t="s">
        <v>42</v>
      </c>
      <c r="D143" s="2" t="s">
        <v>42</v>
      </c>
      <c r="E143" s="2" t="s">
        <v>1563</v>
      </c>
      <c r="F143" s="2" t="s">
        <v>1565</v>
      </c>
      <c r="G143" s="2" t="s">
        <v>66</v>
      </c>
      <c r="H143" s="2" t="s">
        <v>1566</v>
      </c>
      <c r="I143" s="2" t="s">
        <v>46</v>
      </c>
      <c r="J143" s="2" t="s">
        <v>47</v>
      </c>
      <c r="K143" s="2" t="s">
        <v>1567</v>
      </c>
      <c r="L143" s="2" t="s">
        <v>111</v>
      </c>
      <c r="M143" s="8" t="str">
        <f>HYPERLINK("http://www.retal.com.sa", "www.retal.com.sa")</f>
        <v>www.retal.com.sa</v>
      </c>
      <c r="N143" s="2" t="s">
        <v>210</v>
      </c>
      <c r="O143" s="2" t="s">
        <v>42</v>
      </c>
      <c r="P143" s="2" t="s">
        <v>1568</v>
      </c>
      <c r="Q143" s="2" t="s">
        <v>42</v>
      </c>
      <c r="R143" s="16" t="s">
        <v>42</v>
      </c>
      <c r="S143" s="16">
        <v>1</v>
      </c>
      <c r="T143" s="16">
        <v>1</v>
      </c>
      <c r="U143" s="16" t="s">
        <v>42</v>
      </c>
      <c r="V143" s="16" t="s">
        <v>42</v>
      </c>
      <c r="W143" s="4" t="s">
        <v>42</v>
      </c>
      <c r="X143" s="2" t="s">
        <v>1569</v>
      </c>
      <c r="Y143" s="8" t="str">
        <f>HYPERLINK("http://linkedin.com/in/albraikan/?original_referer=www.google.com/&amp;originalsubdomain=sa", "http://linkedin.com/in/albraikan/?original_referer=www.google.com/&amp;originalsubdomain=sa")</f>
        <v>http://linkedin.com/in/albraikan/?original_referer=www.google.com/&amp;originalsubdomain=sa</v>
      </c>
      <c r="Z143" s="2" t="s">
        <v>595</v>
      </c>
      <c r="AA143" s="2" t="s">
        <v>1570</v>
      </c>
      <c r="AB143" s="2" t="s">
        <v>1571</v>
      </c>
      <c r="AC143" s="2" t="s">
        <v>598</v>
      </c>
      <c r="AD143" s="2" t="s">
        <v>42</v>
      </c>
      <c r="AE143" s="4" t="s">
        <v>42</v>
      </c>
      <c r="AF143" s="2" t="s">
        <v>60</v>
      </c>
      <c r="AG143" s="4" t="s">
        <v>42</v>
      </c>
      <c r="AH143" s="2" t="s">
        <v>61</v>
      </c>
      <c r="AI143" s="2" t="s">
        <v>61</v>
      </c>
      <c r="AJ143" s="2" t="s">
        <v>42</v>
      </c>
      <c r="AK143" s="2" t="s">
        <v>42</v>
      </c>
      <c r="AL143" s="28">
        <v>45595</v>
      </c>
      <c r="AM143" s="4" t="s">
        <v>42</v>
      </c>
      <c r="AN143" s="8" t="str">
        <f>HYPERLINK("https://my.pitchbook.com?p=307859-50P", "View People Online")</f>
        <v>View People Online</v>
      </c>
    </row>
    <row r="144" spans="1:40" x14ac:dyDescent="0.2">
      <c r="A144" s="3" t="s">
        <v>1572</v>
      </c>
      <c r="B144" s="3" t="s">
        <v>1573</v>
      </c>
      <c r="C144" s="3" t="s">
        <v>42</v>
      </c>
      <c r="D144" s="3" t="s">
        <v>42</v>
      </c>
      <c r="E144" s="3" t="s">
        <v>1572</v>
      </c>
      <c r="F144" s="3" t="s">
        <v>1574</v>
      </c>
      <c r="G144" s="3" t="s">
        <v>66</v>
      </c>
      <c r="H144" s="3" t="s">
        <v>42</v>
      </c>
      <c r="I144" s="3" t="s">
        <v>46</v>
      </c>
      <c r="J144" s="3" t="s">
        <v>47</v>
      </c>
      <c r="K144" s="3" t="s">
        <v>80</v>
      </c>
      <c r="L144" s="3" t="s">
        <v>81</v>
      </c>
      <c r="M144" s="9" t="str">
        <f>HYPERLINK("http://jadwa.com", "jadwa.com")</f>
        <v>jadwa.com</v>
      </c>
      <c r="N144" s="3" t="s">
        <v>1575</v>
      </c>
      <c r="O144" s="3" t="s">
        <v>42</v>
      </c>
      <c r="P144" s="3" t="s">
        <v>1576</v>
      </c>
      <c r="Q144" s="3" t="s">
        <v>1577</v>
      </c>
      <c r="R144" s="17" t="s">
        <v>42</v>
      </c>
      <c r="S144" s="17">
        <v>1</v>
      </c>
      <c r="T144" s="17">
        <v>1</v>
      </c>
      <c r="U144" s="17" t="s">
        <v>42</v>
      </c>
      <c r="V144" s="17" t="s">
        <v>42</v>
      </c>
      <c r="W144" s="5" t="s">
        <v>85</v>
      </c>
      <c r="X144" s="3" t="s">
        <v>1578</v>
      </c>
      <c r="Y144" s="9" t="str">
        <f>HYPERLINK("http://linkedin.com/in/abdullah-aleisa-67584334/", "http://linkedin.com/in/abdullah-aleisa-67584334/")</f>
        <v>http://linkedin.com/in/abdullah-aleisa-67584334/</v>
      </c>
      <c r="Z144" s="3" t="s">
        <v>55</v>
      </c>
      <c r="AA144" s="3" t="s">
        <v>87</v>
      </c>
      <c r="AB144" s="3" t="s">
        <v>88</v>
      </c>
      <c r="AC144" s="3" t="s">
        <v>58</v>
      </c>
      <c r="AD144" s="3" t="s">
        <v>42</v>
      </c>
      <c r="AE144" s="5" t="s">
        <v>89</v>
      </c>
      <c r="AF144" s="3" t="s">
        <v>60</v>
      </c>
      <c r="AG144" s="5" t="s">
        <v>90</v>
      </c>
      <c r="AH144" s="3" t="s">
        <v>61</v>
      </c>
      <c r="AI144" s="3" t="s">
        <v>61</v>
      </c>
      <c r="AJ144" s="3" t="s">
        <v>42</v>
      </c>
      <c r="AK144" s="3" t="s">
        <v>42</v>
      </c>
      <c r="AL144" s="29">
        <v>45748</v>
      </c>
      <c r="AM144" s="5" t="s">
        <v>42</v>
      </c>
      <c r="AN144" s="9" t="str">
        <f>HYPERLINK("https://my.pitchbook.com?p=72967-78P", "View People Online")</f>
        <v>View People Online</v>
      </c>
    </row>
    <row r="145" spans="1:40" x14ac:dyDescent="0.2">
      <c r="A145" s="2" t="s">
        <v>1579</v>
      </c>
      <c r="B145" s="2" t="s">
        <v>1580</v>
      </c>
      <c r="C145" s="2" t="s">
        <v>42</v>
      </c>
      <c r="D145" s="2" t="s">
        <v>42</v>
      </c>
      <c r="E145" s="2" t="s">
        <v>1579</v>
      </c>
      <c r="F145" s="2" t="s">
        <v>967</v>
      </c>
      <c r="G145" s="2" t="s">
        <v>66</v>
      </c>
      <c r="H145" s="2" t="s">
        <v>42</v>
      </c>
      <c r="I145" s="2" t="s">
        <v>196</v>
      </c>
      <c r="J145" s="2" t="s">
        <v>47</v>
      </c>
      <c r="K145" s="2" t="s">
        <v>1581</v>
      </c>
      <c r="L145" s="2" t="s">
        <v>111</v>
      </c>
      <c r="M145" s="8" t="str">
        <f>HYPERLINK("http://www.mis.com.sa", "www.mis.com.sa")</f>
        <v>www.mis.com.sa</v>
      </c>
      <c r="N145" s="2" t="s">
        <v>210</v>
      </c>
      <c r="O145" s="2" t="s">
        <v>42</v>
      </c>
      <c r="P145" s="2" t="s">
        <v>1582</v>
      </c>
      <c r="Q145" s="2" t="s">
        <v>1583</v>
      </c>
      <c r="R145" s="16" t="s">
        <v>42</v>
      </c>
      <c r="S145" s="16">
        <v>1</v>
      </c>
      <c r="T145" s="16">
        <v>1</v>
      </c>
      <c r="U145" s="16" t="s">
        <v>42</v>
      </c>
      <c r="V145" s="16" t="s">
        <v>42</v>
      </c>
      <c r="W145" s="4" t="s">
        <v>1584</v>
      </c>
      <c r="X145" s="2" t="s">
        <v>1585</v>
      </c>
      <c r="Y145" s="8" t="str">
        <f>HYPERLINK("http://linkedin.com/in/abdullahghazialghamdi/", "http://linkedin.com/in/abdullahghazialghamdi/")</f>
        <v>http://linkedin.com/in/abdullahghazialghamdi/</v>
      </c>
      <c r="Z145" s="2" t="s">
        <v>55</v>
      </c>
      <c r="AA145" s="2" t="s">
        <v>1586</v>
      </c>
      <c r="AB145" s="2" t="s">
        <v>42</v>
      </c>
      <c r="AC145" s="2" t="s">
        <v>58</v>
      </c>
      <c r="AD145" s="2" t="s">
        <v>42</v>
      </c>
      <c r="AE145" s="4" t="s">
        <v>1587</v>
      </c>
      <c r="AF145" s="2" t="s">
        <v>60</v>
      </c>
      <c r="AG145" s="4" t="s">
        <v>1588</v>
      </c>
      <c r="AH145" s="2" t="s">
        <v>61</v>
      </c>
      <c r="AI145" s="2" t="s">
        <v>61</v>
      </c>
      <c r="AJ145" s="2" t="s">
        <v>42</v>
      </c>
      <c r="AK145" s="2" t="s">
        <v>42</v>
      </c>
      <c r="AL145" s="28">
        <v>45531</v>
      </c>
      <c r="AM145" s="4" t="s">
        <v>42</v>
      </c>
      <c r="AN145" s="8" t="str">
        <f>HYPERLINK("https://my.pitchbook.com?p=301524-13P", "View People Online")</f>
        <v>View People Online</v>
      </c>
    </row>
    <row r="146" spans="1:40" x14ac:dyDescent="0.2">
      <c r="A146" s="3" t="s">
        <v>1589</v>
      </c>
      <c r="B146" s="3" t="s">
        <v>1590</v>
      </c>
      <c r="C146" s="3" t="s">
        <v>42</v>
      </c>
      <c r="D146" s="3" t="s">
        <v>42</v>
      </c>
      <c r="E146" s="3" t="s">
        <v>1589</v>
      </c>
      <c r="F146" s="3" t="s">
        <v>1591</v>
      </c>
      <c r="G146" s="3" t="s">
        <v>66</v>
      </c>
      <c r="H146" s="3" t="s">
        <v>622</v>
      </c>
      <c r="I146" s="3" t="s">
        <v>42</v>
      </c>
      <c r="J146" s="3" t="s">
        <v>42</v>
      </c>
      <c r="K146" s="3" t="s">
        <v>1592</v>
      </c>
      <c r="L146" s="3" t="s">
        <v>111</v>
      </c>
      <c r="M146" s="9" t="str">
        <f>HYPERLINK("http://www.chemanol.com", "www.chemanol.com")</f>
        <v>www.chemanol.com</v>
      </c>
      <c r="N146" s="3" t="s">
        <v>1593</v>
      </c>
      <c r="O146" s="3" t="s">
        <v>42</v>
      </c>
      <c r="P146" s="3" t="s">
        <v>1594</v>
      </c>
      <c r="Q146" s="3" t="s">
        <v>1595</v>
      </c>
      <c r="R146" s="17" t="s">
        <v>42</v>
      </c>
      <c r="S146" s="17">
        <v>1</v>
      </c>
      <c r="T146" s="17">
        <v>1</v>
      </c>
      <c r="U146" s="17" t="s">
        <v>42</v>
      </c>
      <c r="V146" s="17" t="s">
        <v>42</v>
      </c>
      <c r="W146" s="5" t="s">
        <v>1596</v>
      </c>
      <c r="X146" s="3" t="s">
        <v>1597</v>
      </c>
      <c r="Y146" s="9" t="str">
        <f>HYPERLINK("http://sa.linkedin.com/in/abdullah-alhajri-socpa-msc-04517b8b", "http://sa.linkedin.com/in/abdullah-alhajri-socpa-msc-04517b8b")</f>
        <v>http://sa.linkedin.com/in/abdullah-alhajri-socpa-msc-04517b8b</v>
      </c>
      <c r="Z146" s="3" t="s">
        <v>383</v>
      </c>
      <c r="AA146" s="3" t="s">
        <v>1598</v>
      </c>
      <c r="AB146" s="3" t="s">
        <v>1599</v>
      </c>
      <c r="AC146" s="3" t="s">
        <v>385</v>
      </c>
      <c r="AD146" s="3" t="s">
        <v>42</v>
      </c>
      <c r="AE146" s="5" t="s">
        <v>1600</v>
      </c>
      <c r="AF146" s="3" t="s">
        <v>60</v>
      </c>
      <c r="AG146" s="5" t="s">
        <v>1601</v>
      </c>
      <c r="AH146" s="3" t="s">
        <v>61</v>
      </c>
      <c r="AI146" s="3" t="s">
        <v>61</v>
      </c>
      <c r="AJ146" s="3" t="s">
        <v>42</v>
      </c>
      <c r="AK146" s="3" t="s">
        <v>42</v>
      </c>
      <c r="AL146" s="29">
        <v>45435</v>
      </c>
      <c r="AM146" s="5" t="s">
        <v>42</v>
      </c>
      <c r="AN146" s="9" t="str">
        <f>HYPERLINK("https://my.pitchbook.com?p=329785-75P", "View People Online")</f>
        <v>View People Online</v>
      </c>
    </row>
    <row r="147" spans="1:40" x14ac:dyDescent="0.2">
      <c r="A147" s="2" t="s">
        <v>1602</v>
      </c>
      <c r="B147" s="2" t="s">
        <v>1603</v>
      </c>
      <c r="C147" s="2" t="s">
        <v>42</v>
      </c>
      <c r="D147" s="2" t="s">
        <v>42</v>
      </c>
      <c r="E147" s="2" t="s">
        <v>1602</v>
      </c>
      <c r="F147" s="2" t="s">
        <v>1604</v>
      </c>
      <c r="G147" s="2" t="s">
        <v>66</v>
      </c>
      <c r="H147" s="2" t="s">
        <v>1605</v>
      </c>
      <c r="I147" s="2" t="s">
        <v>46</v>
      </c>
      <c r="J147" s="2" t="s">
        <v>47</v>
      </c>
      <c r="K147" s="2" t="s">
        <v>1554</v>
      </c>
      <c r="L147" s="2" t="s">
        <v>111</v>
      </c>
      <c r="M147" s="8" t="str">
        <f>HYPERLINK("http://www.amlakint.com", "www.amlakint.com")</f>
        <v>www.amlakint.com</v>
      </c>
      <c r="N147" s="2" t="s">
        <v>246</v>
      </c>
      <c r="O147" s="2" t="s">
        <v>42</v>
      </c>
      <c r="P147" s="2" t="s">
        <v>1606</v>
      </c>
      <c r="Q147" s="2" t="s">
        <v>42</v>
      </c>
      <c r="R147" s="16">
        <v>1</v>
      </c>
      <c r="S147" s="16">
        <v>1</v>
      </c>
      <c r="T147" s="16" t="s">
        <v>42</v>
      </c>
      <c r="U147" s="16" t="s">
        <v>42</v>
      </c>
      <c r="V147" s="16" t="s">
        <v>42</v>
      </c>
      <c r="W147" s="4" t="s">
        <v>1556</v>
      </c>
      <c r="X147" s="2" t="s">
        <v>42</v>
      </c>
      <c r="Y147" s="2" t="s">
        <v>42</v>
      </c>
      <c r="Z147" s="2" t="s">
        <v>1558</v>
      </c>
      <c r="AA147" s="2" t="s">
        <v>1559</v>
      </c>
      <c r="AB147" s="2" t="s">
        <v>1560</v>
      </c>
      <c r="AC147" s="2" t="s">
        <v>1561</v>
      </c>
      <c r="AD147" s="2" t="s">
        <v>42</v>
      </c>
      <c r="AE147" s="4" t="s">
        <v>42</v>
      </c>
      <c r="AF147" s="2" t="s">
        <v>60</v>
      </c>
      <c r="AG147" s="4" t="s">
        <v>1562</v>
      </c>
      <c r="AH147" s="2" t="s">
        <v>61</v>
      </c>
      <c r="AI147" s="2" t="s">
        <v>61</v>
      </c>
      <c r="AJ147" s="2" t="s">
        <v>42</v>
      </c>
      <c r="AK147" s="2" t="s">
        <v>42</v>
      </c>
      <c r="AL147" s="28">
        <v>45953</v>
      </c>
      <c r="AM147" s="4" t="s">
        <v>42</v>
      </c>
      <c r="AN147" s="8" t="str">
        <f>HYPERLINK("https://my.pitchbook.com?p=161911-36P", "View People Online")</f>
        <v>View People Online</v>
      </c>
    </row>
    <row r="148" spans="1:40" x14ac:dyDescent="0.2">
      <c r="A148" s="3" t="s">
        <v>1607</v>
      </c>
      <c r="B148" s="3" t="s">
        <v>1608</v>
      </c>
      <c r="C148" s="3" t="s">
        <v>42</v>
      </c>
      <c r="D148" s="3" t="s">
        <v>42</v>
      </c>
      <c r="E148" s="3" t="s">
        <v>1607</v>
      </c>
      <c r="F148" s="3" t="s">
        <v>1609</v>
      </c>
      <c r="G148" s="3" t="s">
        <v>66</v>
      </c>
      <c r="H148" s="3" t="s">
        <v>284</v>
      </c>
      <c r="I148" s="3" t="s">
        <v>46</v>
      </c>
      <c r="J148" s="3" t="s">
        <v>47</v>
      </c>
      <c r="K148" s="3" t="s">
        <v>581</v>
      </c>
      <c r="L148" s="3" t="s">
        <v>481</v>
      </c>
      <c r="M148" s="9" t="str">
        <f>HYPERLINK("http://www.riyadbank.com", "www.riyadbank.com")</f>
        <v>www.riyadbank.com</v>
      </c>
      <c r="N148" s="3" t="s">
        <v>1610</v>
      </c>
      <c r="O148" s="3" t="s">
        <v>42</v>
      </c>
      <c r="P148" s="3" t="s">
        <v>1611</v>
      </c>
      <c r="Q148" s="3" t="s">
        <v>1612</v>
      </c>
      <c r="R148" s="17">
        <v>1</v>
      </c>
      <c r="S148" s="17">
        <v>1</v>
      </c>
      <c r="T148" s="17">
        <v>1</v>
      </c>
      <c r="U148" s="17" t="s">
        <v>42</v>
      </c>
      <c r="V148" s="17" t="s">
        <v>42</v>
      </c>
      <c r="W148" s="5" t="s">
        <v>1613</v>
      </c>
      <c r="X148" s="3" t="s">
        <v>1614</v>
      </c>
      <c r="Y148" s="3" t="s">
        <v>42</v>
      </c>
      <c r="Z148" s="3" t="s">
        <v>55</v>
      </c>
      <c r="AA148" s="3" t="s">
        <v>586</v>
      </c>
      <c r="AB148" s="3" t="s">
        <v>42</v>
      </c>
      <c r="AC148" s="3" t="s">
        <v>58</v>
      </c>
      <c r="AD148" s="3" t="s">
        <v>42</v>
      </c>
      <c r="AE148" s="5" t="s">
        <v>279</v>
      </c>
      <c r="AF148" s="3" t="s">
        <v>60</v>
      </c>
      <c r="AG148" s="5" t="s">
        <v>42</v>
      </c>
      <c r="AH148" s="3" t="s">
        <v>61</v>
      </c>
      <c r="AI148" s="3" t="s">
        <v>61</v>
      </c>
      <c r="AJ148" s="3" t="s">
        <v>42</v>
      </c>
      <c r="AK148" s="3" t="s">
        <v>42</v>
      </c>
      <c r="AL148" s="29">
        <v>45623</v>
      </c>
      <c r="AM148" s="5" t="s">
        <v>42</v>
      </c>
      <c r="AN148" s="9" t="str">
        <f>HYPERLINK("https://my.pitchbook.com?p=322025-59P", "View People Online")</f>
        <v>View People Online</v>
      </c>
    </row>
    <row r="149" spans="1:40" x14ac:dyDescent="0.2">
      <c r="A149" s="2" t="s">
        <v>1615</v>
      </c>
      <c r="B149" s="2" t="s">
        <v>1616</v>
      </c>
      <c r="C149" s="2" t="s">
        <v>42</v>
      </c>
      <c r="D149" s="2" t="s">
        <v>42</v>
      </c>
      <c r="E149" s="2" t="s">
        <v>1615</v>
      </c>
      <c r="F149" s="2" t="s">
        <v>1617</v>
      </c>
      <c r="G149" s="2" t="s">
        <v>66</v>
      </c>
      <c r="H149" s="2" t="s">
        <v>479</v>
      </c>
      <c r="I149" s="2" t="s">
        <v>196</v>
      </c>
      <c r="J149" s="2" t="s">
        <v>47</v>
      </c>
      <c r="K149" s="2" t="s">
        <v>560</v>
      </c>
      <c r="L149" s="2" t="s">
        <v>111</v>
      </c>
      <c r="M149" s="8" t="str">
        <f>HYPERLINK("http://www.saic.com.sa", "www.saic.com.sa")</f>
        <v>www.saic.com.sa</v>
      </c>
      <c r="N149" s="2" t="s">
        <v>112</v>
      </c>
      <c r="O149" s="2" t="s">
        <v>42</v>
      </c>
      <c r="P149" s="2" t="s">
        <v>1618</v>
      </c>
      <c r="Q149" s="2" t="s">
        <v>128</v>
      </c>
      <c r="R149" s="16">
        <v>1</v>
      </c>
      <c r="S149" s="16">
        <v>1</v>
      </c>
      <c r="T149" s="16">
        <v>1</v>
      </c>
      <c r="U149" s="16" t="s">
        <v>42</v>
      </c>
      <c r="V149" s="16" t="s">
        <v>42</v>
      </c>
      <c r="W149" s="4" t="s">
        <v>42</v>
      </c>
      <c r="X149" s="2" t="s">
        <v>42</v>
      </c>
      <c r="Y149" s="2" t="s">
        <v>42</v>
      </c>
      <c r="Z149" s="2" t="s">
        <v>55</v>
      </c>
      <c r="AA149" s="2" t="s">
        <v>562</v>
      </c>
      <c r="AB149" s="2" t="s">
        <v>563</v>
      </c>
      <c r="AC149" s="2" t="s">
        <v>58</v>
      </c>
      <c r="AD149" s="2" t="s">
        <v>42</v>
      </c>
      <c r="AE149" s="4" t="s">
        <v>564</v>
      </c>
      <c r="AF149" s="2" t="s">
        <v>60</v>
      </c>
      <c r="AG149" s="4" t="s">
        <v>42</v>
      </c>
      <c r="AH149" s="2" t="s">
        <v>61</v>
      </c>
      <c r="AI149" s="2" t="s">
        <v>61</v>
      </c>
      <c r="AJ149" s="2" t="s">
        <v>42</v>
      </c>
      <c r="AK149" s="2" t="s">
        <v>42</v>
      </c>
      <c r="AL149" s="28">
        <v>45805</v>
      </c>
      <c r="AM149" s="4" t="s">
        <v>42</v>
      </c>
      <c r="AN149" s="8" t="str">
        <f>HYPERLINK("https://my.pitchbook.com?p=417889-63P", "View People Online")</f>
        <v>View People Online</v>
      </c>
    </row>
    <row r="150" spans="1:40" x14ac:dyDescent="0.2">
      <c r="A150" s="3" t="s">
        <v>1619</v>
      </c>
      <c r="B150" s="3" t="s">
        <v>1620</v>
      </c>
      <c r="C150" s="3" t="s">
        <v>42</v>
      </c>
      <c r="D150" s="3" t="s">
        <v>42</v>
      </c>
      <c r="E150" s="3" t="s">
        <v>1619</v>
      </c>
      <c r="F150" s="3" t="s">
        <v>1621</v>
      </c>
      <c r="G150" s="3" t="s">
        <v>66</v>
      </c>
      <c r="H150" s="3" t="s">
        <v>1622</v>
      </c>
      <c r="I150" s="3" t="s">
        <v>46</v>
      </c>
      <c r="J150" s="3" t="s">
        <v>47</v>
      </c>
      <c r="K150" s="3" t="s">
        <v>1623</v>
      </c>
      <c r="L150" s="3" t="s">
        <v>111</v>
      </c>
      <c r="M150" s="9" t="str">
        <f>HYPERLINK("http://www.leenalkhair.com", "www.leenalkhair.com")</f>
        <v>www.leenalkhair.com</v>
      </c>
      <c r="N150" s="3" t="s">
        <v>112</v>
      </c>
      <c r="O150" s="3" t="s">
        <v>42</v>
      </c>
      <c r="P150" s="3" t="s">
        <v>1624</v>
      </c>
      <c r="Q150" s="3" t="s">
        <v>42</v>
      </c>
      <c r="R150" s="17">
        <v>1</v>
      </c>
      <c r="S150" s="17">
        <v>1</v>
      </c>
      <c r="T150" s="17">
        <v>1</v>
      </c>
      <c r="U150" s="17" t="s">
        <v>42</v>
      </c>
      <c r="V150" s="17" t="s">
        <v>42</v>
      </c>
      <c r="W150" s="5" t="s">
        <v>1625</v>
      </c>
      <c r="X150" s="3" t="s">
        <v>1626</v>
      </c>
      <c r="Y150" s="3" t="s">
        <v>42</v>
      </c>
      <c r="Z150" s="3" t="s">
        <v>55</v>
      </c>
      <c r="AA150" s="3" t="s">
        <v>1627</v>
      </c>
      <c r="AB150" s="3" t="s">
        <v>42</v>
      </c>
      <c r="AC150" s="3" t="s">
        <v>58</v>
      </c>
      <c r="AD150" s="3" t="s">
        <v>42</v>
      </c>
      <c r="AE150" s="5" t="s">
        <v>42</v>
      </c>
      <c r="AF150" s="3" t="s">
        <v>60</v>
      </c>
      <c r="AG150" s="5" t="s">
        <v>42</v>
      </c>
      <c r="AH150" s="3" t="s">
        <v>61</v>
      </c>
      <c r="AI150" s="3" t="s">
        <v>61</v>
      </c>
      <c r="AJ150" s="3" t="s">
        <v>42</v>
      </c>
      <c r="AK150" s="3" t="s">
        <v>42</v>
      </c>
      <c r="AL150" s="29">
        <v>45685</v>
      </c>
      <c r="AM150" s="5" t="s">
        <v>42</v>
      </c>
      <c r="AN150" s="9" t="str">
        <f>HYPERLINK("https://my.pitchbook.com?p=332546-23P", "View People Online")</f>
        <v>View People Online</v>
      </c>
    </row>
    <row r="151" spans="1:40" x14ac:dyDescent="0.2">
      <c r="A151" s="2" t="s">
        <v>1628</v>
      </c>
      <c r="B151" s="2" t="s">
        <v>1629</v>
      </c>
      <c r="C151" s="2" t="s">
        <v>42</v>
      </c>
      <c r="D151" s="2" t="s">
        <v>42</v>
      </c>
      <c r="E151" s="2" t="s">
        <v>1628</v>
      </c>
      <c r="F151" s="2" t="s">
        <v>1630</v>
      </c>
      <c r="G151" s="2" t="s">
        <v>66</v>
      </c>
      <c r="H151" s="2" t="s">
        <v>42</v>
      </c>
      <c r="I151" s="2" t="s">
        <v>46</v>
      </c>
      <c r="J151" s="2" t="s">
        <v>47</v>
      </c>
      <c r="K151" s="2" t="s">
        <v>1631</v>
      </c>
      <c r="L151" s="2" t="s">
        <v>111</v>
      </c>
      <c r="M151" s="8" t="str">
        <f>HYPERLINK("http://www.shalfa.sa", "www.shalfa.sa")</f>
        <v>www.shalfa.sa</v>
      </c>
      <c r="N151" s="2" t="s">
        <v>210</v>
      </c>
      <c r="O151" s="2" t="s">
        <v>42</v>
      </c>
      <c r="P151" s="2" t="s">
        <v>1632</v>
      </c>
      <c r="Q151" s="2" t="s">
        <v>42</v>
      </c>
      <c r="R151" s="16" t="s">
        <v>42</v>
      </c>
      <c r="S151" s="16">
        <v>1</v>
      </c>
      <c r="T151" s="16">
        <v>1</v>
      </c>
      <c r="U151" s="16" t="s">
        <v>42</v>
      </c>
      <c r="V151" s="16" t="s">
        <v>42</v>
      </c>
      <c r="W151" s="4" t="s">
        <v>1633</v>
      </c>
      <c r="X151" s="2" t="s">
        <v>42</v>
      </c>
      <c r="Y151" s="2" t="s">
        <v>42</v>
      </c>
      <c r="Z151" s="2" t="s">
        <v>55</v>
      </c>
      <c r="AA151" s="2" t="s">
        <v>1634</v>
      </c>
      <c r="AB151" s="2" t="s">
        <v>42</v>
      </c>
      <c r="AC151" s="2" t="s">
        <v>58</v>
      </c>
      <c r="AD151" s="2" t="s">
        <v>42</v>
      </c>
      <c r="AE151" s="4" t="s">
        <v>1635</v>
      </c>
      <c r="AF151" s="2" t="s">
        <v>60</v>
      </c>
      <c r="AG151" s="4" t="s">
        <v>1636</v>
      </c>
      <c r="AH151" s="2" t="s">
        <v>61</v>
      </c>
      <c r="AI151" s="2" t="s">
        <v>61</v>
      </c>
      <c r="AJ151" s="2" t="s">
        <v>42</v>
      </c>
      <c r="AK151" s="2" t="s">
        <v>42</v>
      </c>
      <c r="AL151" s="28">
        <v>45568</v>
      </c>
      <c r="AM151" s="4" t="s">
        <v>42</v>
      </c>
      <c r="AN151" s="8" t="str">
        <f>HYPERLINK("https://my.pitchbook.com?p=415472-86P", "View People Online")</f>
        <v>View People Online</v>
      </c>
    </row>
    <row r="152" spans="1:40" x14ac:dyDescent="0.2">
      <c r="A152" s="3" t="s">
        <v>1637</v>
      </c>
      <c r="B152" s="3" t="s">
        <v>1638</v>
      </c>
      <c r="C152" s="3" t="s">
        <v>42</v>
      </c>
      <c r="D152" s="3" t="s">
        <v>42</v>
      </c>
      <c r="E152" s="3" t="s">
        <v>1637</v>
      </c>
      <c r="F152" s="3" t="s">
        <v>1639</v>
      </c>
      <c r="G152" s="3" t="s">
        <v>66</v>
      </c>
      <c r="H152" s="3" t="s">
        <v>1244</v>
      </c>
      <c r="I152" s="3" t="s">
        <v>46</v>
      </c>
      <c r="J152" s="3" t="s">
        <v>47</v>
      </c>
      <c r="K152" s="3" t="s">
        <v>524</v>
      </c>
      <c r="L152" s="3" t="s">
        <v>111</v>
      </c>
      <c r="M152" s="9" t="str">
        <f>HYPERLINK("http://www.fipco.com.sa", "www.fipco.com.sa")</f>
        <v>www.fipco.com.sa</v>
      </c>
      <c r="N152" s="3" t="s">
        <v>112</v>
      </c>
      <c r="O152" s="3" t="s">
        <v>42</v>
      </c>
      <c r="P152" s="3" t="s">
        <v>1640</v>
      </c>
      <c r="Q152" s="3" t="s">
        <v>42</v>
      </c>
      <c r="R152" s="17">
        <v>1</v>
      </c>
      <c r="S152" s="17">
        <v>1</v>
      </c>
      <c r="T152" s="17">
        <v>1</v>
      </c>
      <c r="U152" s="17" t="s">
        <v>42</v>
      </c>
      <c r="V152" s="17" t="s">
        <v>42</v>
      </c>
      <c r="W152" s="5" t="s">
        <v>526</v>
      </c>
      <c r="X152" s="3" t="s">
        <v>1641</v>
      </c>
      <c r="Y152" s="9" t="str">
        <f>HYPERLINK("http://linkedin.com/in/abdullah-alharbi-bored-risk/?originalsubdomain=sa", "http://linkedin.com/in/abdullah-alharbi-bored-risk/?originalsubdomain=sa")</f>
        <v>http://linkedin.com/in/abdullah-alharbi-bored-risk/?originalsubdomain=sa</v>
      </c>
      <c r="Z152" s="3" t="s">
        <v>55</v>
      </c>
      <c r="AA152" s="3" t="s">
        <v>527</v>
      </c>
      <c r="AB152" s="3" t="s">
        <v>42</v>
      </c>
      <c r="AC152" s="3" t="s">
        <v>58</v>
      </c>
      <c r="AD152" s="3" t="s">
        <v>42</v>
      </c>
      <c r="AE152" s="5" t="s">
        <v>528</v>
      </c>
      <c r="AF152" s="3" t="s">
        <v>60</v>
      </c>
      <c r="AG152" s="5" t="s">
        <v>529</v>
      </c>
      <c r="AH152" s="3" t="s">
        <v>61</v>
      </c>
      <c r="AI152" s="3" t="s">
        <v>61</v>
      </c>
      <c r="AJ152" s="3" t="s">
        <v>42</v>
      </c>
      <c r="AK152" s="3" t="s">
        <v>42</v>
      </c>
      <c r="AL152" s="29">
        <v>46020</v>
      </c>
      <c r="AM152" s="5" t="s">
        <v>42</v>
      </c>
      <c r="AN152" s="9" t="str">
        <f>HYPERLINK("https://my.pitchbook.com?p=368596-36P", "View People Online")</f>
        <v>View People Online</v>
      </c>
    </row>
    <row r="153" spans="1:40" x14ac:dyDescent="0.2">
      <c r="A153" s="2" t="s">
        <v>1642</v>
      </c>
      <c r="B153" s="2" t="s">
        <v>1643</v>
      </c>
      <c r="C153" s="2" t="s">
        <v>42</v>
      </c>
      <c r="D153" s="2" t="s">
        <v>42</v>
      </c>
      <c r="E153" s="2" t="s">
        <v>1642</v>
      </c>
      <c r="F153" s="2" t="s">
        <v>1644</v>
      </c>
      <c r="G153" s="2" t="s">
        <v>66</v>
      </c>
      <c r="H153" s="2" t="s">
        <v>45</v>
      </c>
      <c r="I153" s="2" t="s">
        <v>46</v>
      </c>
      <c r="J153" s="2" t="s">
        <v>47</v>
      </c>
      <c r="K153" s="2" t="s">
        <v>1645</v>
      </c>
      <c r="L153" s="2" t="s">
        <v>1316</v>
      </c>
      <c r="M153" s="8" t="str">
        <f>HYPERLINK("http://www.amana.sa", "www.amana.sa")</f>
        <v>www.amana.sa</v>
      </c>
      <c r="N153" s="2" t="s">
        <v>246</v>
      </c>
      <c r="O153" s="2" t="s">
        <v>42</v>
      </c>
      <c r="P153" s="2" t="s">
        <v>1646</v>
      </c>
      <c r="Q153" s="2" t="s">
        <v>42</v>
      </c>
      <c r="R153" s="16">
        <v>1</v>
      </c>
      <c r="S153" s="16">
        <v>1</v>
      </c>
      <c r="T153" s="16" t="s">
        <v>42</v>
      </c>
      <c r="U153" s="16" t="s">
        <v>42</v>
      </c>
      <c r="V153" s="16" t="s">
        <v>42</v>
      </c>
      <c r="W153" s="4" t="s">
        <v>1647</v>
      </c>
      <c r="X153" s="2" t="s">
        <v>42</v>
      </c>
      <c r="Y153" s="2" t="s">
        <v>42</v>
      </c>
      <c r="Z153" s="2" t="s">
        <v>55</v>
      </c>
      <c r="AA153" s="2" t="s">
        <v>1648</v>
      </c>
      <c r="AB153" s="2" t="s">
        <v>42</v>
      </c>
      <c r="AC153" s="2" t="s">
        <v>58</v>
      </c>
      <c r="AD153" s="2" t="s">
        <v>58</v>
      </c>
      <c r="AE153" s="4" t="s">
        <v>1649</v>
      </c>
      <c r="AF153" s="2" t="s">
        <v>60</v>
      </c>
      <c r="AG153" s="4" t="s">
        <v>1650</v>
      </c>
      <c r="AH153" s="2" t="s">
        <v>61</v>
      </c>
      <c r="AI153" s="2" t="s">
        <v>61</v>
      </c>
      <c r="AJ153" s="2" t="s">
        <v>42</v>
      </c>
      <c r="AK153" s="2" t="s">
        <v>42</v>
      </c>
      <c r="AL153" s="28">
        <v>45895</v>
      </c>
      <c r="AM153" s="4" t="s">
        <v>42</v>
      </c>
      <c r="AN153" s="8" t="str">
        <f>HYPERLINK("https://my.pitchbook.com?p=461937-25P", "View People Online")</f>
        <v>View People Online</v>
      </c>
    </row>
    <row r="154" spans="1:40" x14ac:dyDescent="0.2">
      <c r="A154" s="3" t="s">
        <v>1651</v>
      </c>
      <c r="B154" s="3" t="s">
        <v>1652</v>
      </c>
      <c r="C154" s="3" t="s">
        <v>42</v>
      </c>
      <c r="D154" s="3" t="s">
        <v>42</v>
      </c>
      <c r="E154" s="3" t="s">
        <v>1651</v>
      </c>
      <c r="F154" s="3" t="s">
        <v>1653</v>
      </c>
      <c r="G154" s="3" t="s">
        <v>66</v>
      </c>
      <c r="H154" s="3" t="s">
        <v>42</v>
      </c>
      <c r="I154" s="3" t="s">
        <v>46</v>
      </c>
      <c r="J154" s="3" t="s">
        <v>47</v>
      </c>
      <c r="K154" s="3" t="s">
        <v>480</v>
      </c>
      <c r="L154" s="3" t="s">
        <v>481</v>
      </c>
      <c r="M154" s="9" t="str">
        <f>HYPERLINK("http://www.alrajhibank.com.sa", "www.alrajhibank.com.sa")</f>
        <v>www.alrajhibank.com.sa</v>
      </c>
      <c r="N154" s="3" t="s">
        <v>370</v>
      </c>
      <c r="O154" s="3" t="s">
        <v>42</v>
      </c>
      <c r="P154" s="3" t="s">
        <v>1654</v>
      </c>
      <c r="Q154" s="3" t="s">
        <v>42</v>
      </c>
      <c r="R154" s="17" t="s">
        <v>42</v>
      </c>
      <c r="S154" s="17">
        <v>1</v>
      </c>
      <c r="T154" s="17">
        <v>1</v>
      </c>
      <c r="U154" s="17" t="s">
        <v>42</v>
      </c>
      <c r="V154" s="17" t="s">
        <v>42</v>
      </c>
      <c r="W154" s="5" t="s">
        <v>42</v>
      </c>
      <c r="X154" s="3" t="s">
        <v>42</v>
      </c>
      <c r="Y154" s="3" t="s">
        <v>42</v>
      </c>
      <c r="Z154" s="3" t="s">
        <v>55</v>
      </c>
      <c r="AA154" s="3" t="s">
        <v>484</v>
      </c>
      <c r="AB154" s="3" t="s">
        <v>485</v>
      </c>
      <c r="AC154" s="3" t="s">
        <v>58</v>
      </c>
      <c r="AD154" s="3" t="s">
        <v>42</v>
      </c>
      <c r="AE154" s="5" t="s">
        <v>486</v>
      </c>
      <c r="AF154" s="3" t="s">
        <v>60</v>
      </c>
      <c r="AG154" s="5" t="s">
        <v>42</v>
      </c>
      <c r="AH154" s="3" t="s">
        <v>61</v>
      </c>
      <c r="AI154" s="3" t="s">
        <v>61</v>
      </c>
      <c r="AJ154" s="3" t="s">
        <v>42</v>
      </c>
      <c r="AK154" s="3" t="s">
        <v>42</v>
      </c>
      <c r="AL154" s="29">
        <v>45897</v>
      </c>
      <c r="AM154" s="5" t="s">
        <v>42</v>
      </c>
      <c r="AN154" s="9" t="str">
        <f>HYPERLINK("https://my.pitchbook.com?p=339568-57P", "View People Online")</f>
        <v>View People Online</v>
      </c>
    </row>
    <row r="155" spans="1:40" x14ac:dyDescent="0.2">
      <c r="A155" s="2" t="s">
        <v>1655</v>
      </c>
      <c r="B155" s="2" t="s">
        <v>1656</v>
      </c>
      <c r="C155" s="2" t="s">
        <v>42</v>
      </c>
      <c r="D155" s="2" t="s">
        <v>42</v>
      </c>
      <c r="E155" s="2" t="s">
        <v>1655</v>
      </c>
      <c r="F155" s="2" t="s">
        <v>1657</v>
      </c>
      <c r="G155" s="2" t="s">
        <v>66</v>
      </c>
      <c r="H155" s="2" t="s">
        <v>42</v>
      </c>
      <c r="I155" s="2" t="s">
        <v>46</v>
      </c>
      <c r="J155" s="2" t="s">
        <v>47</v>
      </c>
      <c r="K155" s="2" t="s">
        <v>533</v>
      </c>
      <c r="L155" s="2" t="s">
        <v>111</v>
      </c>
      <c r="M155" s="8" t="str">
        <f>HYPERLINK("http://www.spimaco.com.sa", "www.spimaco.com.sa")</f>
        <v>www.spimaco.com.sa</v>
      </c>
      <c r="N155" s="2" t="s">
        <v>370</v>
      </c>
      <c r="O155" s="2" t="s">
        <v>42</v>
      </c>
      <c r="P155" s="2" t="s">
        <v>1658</v>
      </c>
      <c r="Q155" s="2" t="s">
        <v>42</v>
      </c>
      <c r="R155" s="16" t="s">
        <v>42</v>
      </c>
      <c r="S155" s="16">
        <v>1</v>
      </c>
      <c r="T155" s="16">
        <v>1</v>
      </c>
      <c r="U155" s="16" t="s">
        <v>42</v>
      </c>
      <c r="V155" s="16" t="s">
        <v>42</v>
      </c>
      <c r="W155" s="4" t="s">
        <v>536</v>
      </c>
      <c r="X155" s="2" t="s">
        <v>1659</v>
      </c>
      <c r="Y155" s="2" t="s">
        <v>42</v>
      </c>
      <c r="Z155" s="2" t="s">
        <v>55</v>
      </c>
      <c r="AA155" s="2" t="s">
        <v>538</v>
      </c>
      <c r="AB155" s="2" t="s">
        <v>42</v>
      </c>
      <c r="AC155" s="2" t="s">
        <v>58</v>
      </c>
      <c r="AD155" s="2" t="s">
        <v>42</v>
      </c>
      <c r="AE155" s="4" t="s">
        <v>539</v>
      </c>
      <c r="AF155" s="2" t="s">
        <v>60</v>
      </c>
      <c r="AG155" s="4" t="s">
        <v>540</v>
      </c>
      <c r="AH155" s="2" t="s">
        <v>61</v>
      </c>
      <c r="AI155" s="2" t="s">
        <v>61</v>
      </c>
      <c r="AJ155" s="2" t="s">
        <v>42</v>
      </c>
      <c r="AK155" s="2" t="s">
        <v>42</v>
      </c>
      <c r="AL155" s="28">
        <v>45846</v>
      </c>
      <c r="AM155" s="4" t="s">
        <v>42</v>
      </c>
      <c r="AN155" s="8" t="str">
        <f>HYPERLINK("https://my.pitchbook.com?p=454158-82P", "View People Online")</f>
        <v>View People Online</v>
      </c>
    </row>
    <row r="156" spans="1:40" x14ac:dyDescent="0.2">
      <c r="A156" s="3" t="s">
        <v>1660</v>
      </c>
      <c r="B156" s="3" t="s">
        <v>1661</v>
      </c>
      <c r="C156" s="3" t="s">
        <v>42</v>
      </c>
      <c r="D156" s="3" t="s">
        <v>42</v>
      </c>
      <c r="E156" s="3" t="s">
        <v>1660</v>
      </c>
      <c r="F156" s="3" t="s">
        <v>1662</v>
      </c>
      <c r="G156" s="3" t="s">
        <v>66</v>
      </c>
      <c r="H156" s="3" t="s">
        <v>42</v>
      </c>
      <c r="I156" s="3" t="s">
        <v>46</v>
      </c>
      <c r="J156" s="3" t="s">
        <v>47</v>
      </c>
      <c r="K156" s="3" t="s">
        <v>1663</v>
      </c>
      <c r="L156" s="3" t="s">
        <v>1664</v>
      </c>
      <c r="M156" s="9" t="str">
        <f>HYPERLINK("http://www.tharwah.net", "www.tharwah.net")</f>
        <v>www.tharwah.net</v>
      </c>
      <c r="N156" s="3" t="s">
        <v>1665</v>
      </c>
      <c r="O156" s="3" t="s">
        <v>42</v>
      </c>
      <c r="P156" s="3" t="s">
        <v>1666</v>
      </c>
      <c r="Q156" s="3" t="s">
        <v>42</v>
      </c>
      <c r="R156" s="17" t="s">
        <v>42</v>
      </c>
      <c r="S156" s="17">
        <v>1</v>
      </c>
      <c r="T156" s="17">
        <v>1</v>
      </c>
      <c r="U156" s="17" t="s">
        <v>42</v>
      </c>
      <c r="V156" s="17" t="s">
        <v>42</v>
      </c>
      <c r="W156" s="5" t="s">
        <v>1667</v>
      </c>
      <c r="X156" s="3" t="s">
        <v>1668</v>
      </c>
      <c r="Y156" s="9" t="str">
        <f>HYPERLINK("http://linkedin.com/in/abdullah-alzahrani-5761b115/", "http://linkedin.com/in/abdullah-alzahrani-5761b115/")</f>
        <v>http://linkedin.com/in/abdullah-alzahrani-5761b115/</v>
      </c>
      <c r="Z156" s="3" t="s">
        <v>55</v>
      </c>
      <c r="AA156" s="3" t="s">
        <v>1669</v>
      </c>
      <c r="AB156" s="3" t="s">
        <v>1670</v>
      </c>
      <c r="AC156" s="3" t="s">
        <v>58</v>
      </c>
      <c r="AD156" s="3" t="s">
        <v>42</v>
      </c>
      <c r="AE156" s="5" t="s">
        <v>1671</v>
      </c>
      <c r="AF156" s="3" t="s">
        <v>60</v>
      </c>
      <c r="AG156" s="5" t="s">
        <v>42</v>
      </c>
      <c r="AH156" s="3" t="s">
        <v>61</v>
      </c>
      <c r="AI156" s="3" t="s">
        <v>61</v>
      </c>
      <c r="AJ156" s="3" t="s">
        <v>42</v>
      </c>
      <c r="AK156" s="3" t="s">
        <v>42</v>
      </c>
      <c r="AL156" s="29">
        <v>45838</v>
      </c>
      <c r="AM156" s="5">
        <v>1981</v>
      </c>
      <c r="AN156" s="9" t="str">
        <f>HYPERLINK("https://my.pitchbook.com?p=310086-55P", "View People Online")</f>
        <v>View People Online</v>
      </c>
    </row>
    <row r="157" spans="1:40" x14ac:dyDescent="0.2">
      <c r="A157" s="2" t="s">
        <v>1672</v>
      </c>
      <c r="B157" s="2" t="s">
        <v>1673</v>
      </c>
      <c r="C157" s="2" t="s">
        <v>42</v>
      </c>
      <c r="D157" s="2" t="s">
        <v>42</v>
      </c>
      <c r="E157" s="2" t="s">
        <v>1672</v>
      </c>
      <c r="F157" s="2" t="s">
        <v>1674</v>
      </c>
      <c r="G157" s="2" t="s">
        <v>66</v>
      </c>
      <c r="H157" s="2" t="s">
        <v>1675</v>
      </c>
      <c r="I157" s="2" t="s">
        <v>46</v>
      </c>
      <c r="J157" s="2" t="s">
        <v>47</v>
      </c>
      <c r="K157" s="2" t="s">
        <v>1676</v>
      </c>
      <c r="L157" s="2" t="s">
        <v>81</v>
      </c>
      <c r="M157" s="2" t="s">
        <v>42</v>
      </c>
      <c r="N157" s="2" t="s">
        <v>1058</v>
      </c>
      <c r="O157" s="2" t="s">
        <v>42</v>
      </c>
      <c r="P157" s="2" t="s">
        <v>1677</v>
      </c>
      <c r="Q157" s="2" t="s">
        <v>1678</v>
      </c>
      <c r="R157" s="16">
        <v>1</v>
      </c>
      <c r="S157" s="16">
        <v>1</v>
      </c>
      <c r="T157" s="16" t="s">
        <v>42</v>
      </c>
      <c r="U157" s="16" t="s">
        <v>42</v>
      </c>
      <c r="V157" s="16" t="s">
        <v>42</v>
      </c>
      <c r="W157" s="4" t="s">
        <v>1679</v>
      </c>
      <c r="X157" s="2" t="s">
        <v>42</v>
      </c>
      <c r="Y157" s="8" t="str">
        <f>HYPERLINK("http://linkedin.com/in/abdullah-baarmah-39bb21111/", "http://linkedin.com/in/abdullah-baarmah-39bb21111/")</f>
        <v>http://linkedin.com/in/abdullah-baarmah-39bb21111/</v>
      </c>
      <c r="Z157" s="2" t="s">
        <v>174</v>
      </c>
      <c r="AA157" s="2" t="s">
        <v>1680</v>
      </c>
      <c r="AB157" s="2" t="s">
        <v>42</v>
      </c>
      <c r="AC157" s="2" t="s">
        <v>176</v>
      </c>
      <c r="AD157" s="2" t="s">
        <v>42</v>
      </c>
      <c r="AE157" s="4" t="s">
        <v>1681</v>
      </c>
      <c r="AF157" s="2" t="s">
        <v>60</v>
      </c>
      <c r="AG157" s="4" t="s">
        <v>42</v>
      </c>
      <c r="AH157" s="2" t="s">
        <v>61</v>
      </c>
      <c r="AI157" s="2" t="s">
        <v>61</v>
      </c>
      <c r="AJ157" s="2" t="s">
        <v>42</v>
      </c>
      <c r="AK157" s="2" t="s">
        <v>42</v>
      </c>
      <c r="AL157" s="28">
        <v>45676</v>
      </c>
      <c r="AM157" s="4" t="s">
        <v>42</v>
      </c>
      <c r="AN157" s="8" t="str">
        <f>HYPERLINK("https://my.pitchbook.com?p=56405-71P", "View People Online")</f>
        <v>View People Online</v>
      </c>
    </row>
    <row r="158" spans="1:40" x14ac:dyDescent="0.2">
      <c r="A158" s="3" t="s">
        <v>1682</v>
      </c>
      <c r="B158" s="3" t="s">
        <v>1683</v>
      </c>
      <c r="C158" s="3" t="s">
        <v>42</v>
      </c>
      <c r="D158" s="3" t="s">
        <v>42</v>
      </c>
      <c r="E158" s="3" t="s">
        <v>1682</v>
      </c>
      <c r="F158" s="3" t="s">
        <v>1684</v>
      </c>
      <c r="G158" s="3" t="s">
        <v>66</v>
      </c>
      <c r="H158" s="3" t="s">
        <v>543</v>
      </c>
      <c r="I158" s="3" t="s">
        <v>46</v>
      </c>
      <c r="J158" s="3" t="s">
        <v>47</v>
      </c>
      <c r="K158" s="3" t="s">
        <v>1685</v>
      </c>
      <c r="L158" s="3" t="s">
        <v>111</v>
      </c>
      <c r="M158" s="9" t="str">
        <f>HYPERLINK("http://www.asharqiyah.com.sa", "www.asharqiyah.com.sa")</f>
        <v>www.asharqiyah.com.sa</v>
      </c>
      <c r="N158" s="3" t="s">
        <v>447</v>
      </c>
      <c r="O158" s="3" t="s">
        <v>42</v>
      </c>
      <c r="P158" s="3" t="s">
        <v>1686</v>
      </c>
      <c r="Q158" s="3" t="s">
        <v>42</v>
      </c>
      <c r="R158" s="17" t="s">
        <v>42</v>
      </c>
      <c r="S158" s="17">
        <v>1</v>
      </c>
      <c r="T158" s="17">
        <v>1</v>
      </c>
      <c r="U158" s="17" t="s">
        <v>42</v>
      </c>
      <c r="V158" s="17" t="s">
        <v>42</v>
      </c>
      <c r="W158" s="5" t="s">
        <v>1687</v>
      </c>
      <c r="X158" s="3" t="s">
        <v>1688</v>
      </c>
      <c r="Y158" s="9" t="str">
        <f>HYPERLINK("http://linkedin.com/in/mohammed-alhujailan-6410a362/", "http://linkedin.com/in/mohammed-alhujailan-6410a362/")</f>
        <v>http://linkedin.com/in/mohammed-alhujailan-6410a362/</v>
      </c>
      <c r="Z158" s="3" t="s">
        <v>383</v>
      </c>
      <c r="AA158" s="3" t="s">
        <v>1689</v>
      </c>
      <c r="AB158" s="3" t="s">
        <v>1690</v>
      </c>
      <c r="AC158" s="3" t="s">
        <v>385</v>
      </c>
      <c r="AD158" s="3" t="s">
        <v>42</v>
      </c>
      <c r="AE158" s="5" t="s">
        <v>1691</v>
      </c>
      <c r="AF158" s="3" t="s">
        <v>60</v>
      </c>
      <c r="AG158" s="5" t="s">
        <v>1692</v>
      </c>
      <c r="AH158" s="3" t="s">
        <v>61</v>
      </c>
      <c r="AI158" s="3" t="s">
        <v>61</v>
      </c>
      <c r="AJ158" s="3" t="s">
        <v>42</v>
      </c>
      <c r="AK158" s="3" t="s">
        <v>42</v>
      </c>
      <c r="AL158" s="29">
        <v>45961</v>
      </c>
      <c r="AM158" s="5" t="s">
        <v>42</v>
      </c>
      <c r="AN158" s="9" t="str">
        <f>HYPERLINK("https://my.pitchbook.com?p=266344-84P", "View People Online")</f>
        <v>View People Online</v>
      </c>
    </row>
    <row r="159" spans="1:40" x14ac:dyDescent="0.2">
      <c r="A159" s="2" t="s">
        <v>1693</v>
      </c>
      <c r="B159" s="2" t="s">
        <v>1694</v>
      </c>
      <c r="C159" s="2" t="s">
        <v>42</v>
      </c>
      <c r="D159" s="2" t="s">
        <v>42</v>
      </c>
      <c r="E159" s="2" t="s">
        <v>1693</v>
      </c>
      <c r="F159" s="2" t="s">
        <v>1695</v>
      </c>
      <c r="G159" s="2" t="s">
        <v>1696</v>
      </c>
      <c r="H159" s="2" t="s">
        <v>42</v>
      </c>
      <c r="I159" s="2" t="s">
        <v>46</v>
      </c>
      <c r="J159" s="2" t="s">
        <v>47</v>
      </c>
      <c r="K159" s="2" t="s">
        <v>1697</v>
      </c>
      <c r="L159" s="2" t="s">
        <v>111</v>
      </c>
      <c r="M159" s="8" t="str">
        <f>HYPERLINK("http://www.almodawat.sa", "www.almodawat.sa")</f>
        <v>www.almodawat.sa</v>
      </c>
      <c r="N159" s="2" t="s">
        <v>139</v>
      </c>
      <c r="O159" s="2" t="s">
        <v>42</v>
      </c>
      <c r="P159" s="2" t="s">
        <v>1698</v>
      </c>
      <c r="Q159" s="2" t="s">
        <v>42</v>
      </c>
      <c r="R159" s="16">
        <v>1</v>
      </c>
      <c r="S159" s="16">
        <v>1</v>
      </c>
      <c r="T159" s="16" t="s">
        <v>42</v>
      </c>
      <c r="U159" s="16" t="s">
        <v>42</v>
      </c>
      <c r="V159" s="16" t="s">
        <v>42</v>
      </c>
      <c r="W159" s="4" t="s">
        <v>1699</v>
      </c>
      <c r="X159" s="2" t="s">
        <v>42</v>
      </c>
      <c r="Y159" s="2" t="s">
        <v>42</v>
      </c>
      <c r="Z159" s="2" t="s">
        <v>1700</v>
      </c>
      <c r="AA159" s="2" t="s">
        <v>1701</v>
      </c>
      <c r="AB159" s="2" t="s">
        <v>42</v>
      </c>
      <c r="AC159" s="2" t="s">
        <v>1702</v>
      </c>
      <c r="AD159" s="2" t="s">
        <v>42</v>
      </c>
      <c r="AE159" s="4" t="s">
        <v>42</v>
      </c>
      <c r="AF159" s="2" t="s">
        <v>60</v>
      </c>
      <c r="AG159" s="4" t="s">
        <v>42</v>
      </c>
      <c r="AH159" s="2" t="s">
        <v>61</v>
      </c>
      <c r="AI159" s="2" t="s">
        <v>61</v>
      </c>
      <c r="AJ159" s="2" t="s">
        <v>42</v>
      </c>
      <c r="AK159" s="2" t="s">
        <v>42</v>
      </c>
      <c r="AL159" s="28">
        <v>45945</v>
      </c>
      <c r="AM159" s="4" t="s">
        <v>42</v>
      </c>
      <c r="AN159" s="8" t="str">
        <f>HYPERLINK("https://my.pitchbook.com?p=378691-84P", "View People Online")</f>
        <v>View People Online</v>
      </c>
    </row>
    <row r="160" spans="1:40" x14ac:dyDescent="0.2">
      <c r="A160" s="3" t="s">
        <v>1703</v>
      </c>
      <c r="B160" s="3" t="s">
        <v>1704</v>
      </c>
      <c r="C160" s="3" t="s">
        <v>42</v>
      </c>
      <c r="D160" s="3" t="s">
        <v>42</v>
      </c>
      <c r="E160" s="3" t="s">
        <v>1703</v>
      </c>
      <c r="F160" s="3" t="s">
        <v>1705</v>
      </c>
      <c r="G160" s="3" t="s">
        <v>66</v>
      </c>
      <c r="H160" s="3" t="s">
        <v>1706</v>
      </c>
      <c r="I160" s="3" t="s">
        <v>46</v>
      </c>
      <c r="J160" s="3" t="s">
        <v>47</v>
      </c>
      <c r="K160" s="3" t="s">
        <v>1330</v>
      </c>
      <c r="L160" s="3" t="s">
        <v>1057</v>
      </c>
      <c r="M160" s="9" t="str">
        <f>HYPERLINK("http://www.yaqeen.sa", "www.yaqeen.sa")</f>
        <v>www.yaqeen.sa</v>
      </c>
      <c r="N160" s="3" t="s">
        <v>246</v>
      </c>
      <c r="O160" s="3" t="s">
        <v>42</v>
      </c>
      <c r="P160" s="3" t="s">
        <v>1707</v>
      </c>
      <c r="Q160" s="3" t="s">
        <v>42</v>
      </c>
      <c r="R160" s="17">
        <v>1</v>
      </c>
      <c r="S160" s="17">
        <v>1</v>
      </c>
      <c r="T160" s="17" t="s">
        <v>42</v>
      </c>
      <c r="U160" s="17" t="s">
        <v>42</v>
      </c>
      <c r="V160" s="17" t="s">
        <v>42</v>
      </c>
      <c r="W160" s="5" t="s">
        <v>42</v>
      </c>
      <c r="X160" s="3" t="s">
        <v>42</v>
      </c>
      <c r="Y160" s="3" t="s">
        <v>42</v>
      </c>
      <c r="Z160" s="3" t="s">
        <v>55</v>
      </c>
      <c r="AA160" s="3" t="s">
        <v>1333</v>
      </c>
      <c r="AB160" s="3" t="s">
        <v>1334</v>
      </c>
      <c r="AC160" s="3" t="s">
        <v>58</v>
      </c>
      <c r="AD160" s="3" t="s">
        <v>42</v>
      </c>
      <c r="AE160" s="5" t="s">
        <v>1021</v>
      </c>
      <c r="AF160" s="3" t="s">
        <v>60</v>
      </c>
      <c r="AG160" s="5" t="s">
        <v>1335</v>
      </c>
      <c r="AH160" s="3" t="s">
        <v>61</v>
      </c>
      <c r="AI160" s="3" t="s">
        <v>61</v>
      </c>
      <c r="AJ160" s="3" t="s">
        <v>42</v>
      </c>
      <c r="AK160" s="3" t="s">
        <v>42</v>
      </c>
      <c r="AL160" s="29">
        <v>45900</v>
      </c>
      <c r="AM160" s="5" t="s">
        <v>42</v>
      </c>
      <c r="AN160" s="9" t="str">
        <f>HYPERLINK("https://my.pitchbook.com?p=462529-63P", "View People Online")</f>
        <v>View People Online</v>
      </c>
    </row>
    <row r="161" spans="1:40" x14ac:dyDescent="0.2">
      <c r="A161" s="2" t="s">
        <v>1708</v>
      </c>
      <c r="B161" s="2" t="s">
        <v>1709</v>
      </c>
      <c r="C161" s="2" t="s">
        <v>42</v>
      </c>
      <c r="D161" s="2" t="s">
        <v>42</v>
      </c>
      <c r="E161" s="2" t="s">
        <v>1708</v>
      </c>
      <c r="F161" s="2" t="s">
        <v>1710</v>
      </c>
      <c r="G161" s="2" t="s">
        <v>66</v>
      </c>
      <c r="H161" s="2" t="s">
        <v>1711</v>
      </c>
      <c r="I161" s="2" t="s">
        <v>46</v>
      </c>
      <c r="J161" s="2" t="s">
        <v>47</v>
      </c>
      <c r="K161" s="2" t="s">
        <v>1712</v>
      </c>
      <c r="L161" s="2" t="s">
        <v>111</v>
      </c>
      <c r="M161" s="8" t="str">
        <f>HYPERLINK("http://quarafinance.com", "quarafinance.com")</f>
        <v>quarafinance.com</v>
      </c>
      <c r="N161" s="2" t="s">
        <v>1713</v>
      </c>
      <c r="O161" s="2" t="s">
        <v>42</v>
      </c>
      <c r="P161" s="2" t="s">
        <v>1714</v>
      </c>
      <c r="Q161" s="2" t="s">
        <v>1715</v>
      </c>
      <c r="R161" s="16">
        <v>1</v>
      </c>
      <c r="S161" s="16">
        <v>1</v>
      </c>
      <c r="T161" s="16" t="s">
        <v>42</v>
      </c>
      <c r="U161" s="16" t="s">
        <v>42</v>
      </c>
      <c r="V161" s="16" t="s">
        <v>42</v>
      </c>
      <c r="W161" s="4" t="s">
        <v>42</v>
      </c>
      <c r="X161" s="2" t="s">
        <v>42</v>
      </c>
      <c r="Y161" s="2" t="s">
        <v>42</v>
      </c>
      <c r="Z161" s="2" t="s">
        <v>55</v>
      </c>
      <c r="AA161" s="2" t="s">
        <v>1716</v>
      </c>
      <c r="AB161" s="2" t="s">
        <v>42</v>
      </c>
      <c r="AC161" s="2" t="s">
        <v>58</v>
      </c>
      <c r="AD161" s="2" t="s">
        <v>58</v>
      </c>
      <c r="AE161" s="4" t="s">
        <v>918</v>
      </c>
      <c r="AF161" s="2" t="s">
        <v>60</v>
      </c>
      <c r="AG161" s="4" t="s">
        <v>42</v>
      </c>
      <c r="AH161" s="2" t="s">
        <v>61</v>
      </c>
      <c r="AI161" s="2" t="s">
        <v>61</v>
      </c>
      <c r="AJ161" s="2" t="s">
        <v>42</v>
      </c>
      <c r="AK161" s="2" t="s">
        <v>42</v>
      </c>
      <c r="AL161" s="28">
        <v>45944</v>
      </c>
      <c r="AM161" s="4" t="s">
        <v>42</v>
      </c>
      <c r="AN161" s="8" t="str">
        <f>HYPERLINK("https://my.pitchbook.com?p=380786-68P", "View People Online")</f>
        <v>View People Online</v>
      </c>
    </row>
    <row r="162" spans="1:40" x14ac:dyDescent="0.2">
      <c r="A162" s="3" t="s">
        <v>1717</v>
      </c>
      <c r="B162" s="3" t="s">
        <v>1718</v>
      </c>
      <c r="C162" s="3" t="s">
        <v>42</v>
      </c>
      <c r="D162" s="3" t="s">
        <v>42</v>
      </c>
      <c r="E162" s="3" t="s">
        <v>1717</v>
      </c>
      <c r="F162" s="3" t="s">
        <v>1719</v>
      </c>
      <c r="G162" s="3" t="s">
        <v>66</v>
      </c>
      <c r="H162" s="3" t="s">
        <v>1720</v>
      </c>
      <c r="I162" s="3" t="s">
        <v>46</v>
      </c>
      <c r="J162" s="3" t="s">
        <v>47</v>
      </c>
      <c r="K162" s="3" t="s">
        <v>1721</v>
      </c>
      <c r="L162" s="3" t="s">
        <v>1664</v>
      </c>
      <c r="M162" s="9" t="str">
        <f>HYPERLINK("http://www.tam.sa", "www.tam.sa")</f>
        <v>www.tam.sa</v>
      </c>
      <c r="N162" s="3" t="s">
        <v>1722</v>
      </c>
      <c r="O162" s="3" t="s">
        <v>42</v>
      </c>
      <c r="P162" s="3" t="s">
        <v>1723</v>
      </c>
      <c r="Q162" s="3" t="s">
        <v>1724</v>
      </c>
      <c r="R162" s="17" t="s">
        <v>42</v>
      </c>
      <c r="S162" s="17">
        <v>1</v>
      </c>
      <c r="T162" s="17">
        <v>1</v>
      </c>
      <c r="U162" s="17" t="s">
        <v>42</v>
      </c>
      <c r="V162" s="17" t="s">
        <v>42</v>
      </c>
      <c r="W162" s="5" t="s">
        <v>42</v>
      </c>
      <c r="X162" s="3" t="s">
        <v>1725</v>
      </c>
      <c r="Y162" s="9" t="str">
        <f>HYPERLINK("http://linkedin.com/in/abdullah-a-yousef-b3960b13/", "http://linkedin.com/in/abdullah-a-yousef-b3960b13/")</f>
        <v>http://linkedin.com/in/abdullah-a-yousef-b3960b13/</v>
      </c>
      <c r="Z162" s="3" t="s">
        <v>55</v>
      </c>
      <c r="AA162" s="3" t="s">
        <v>1726</v>
      </c>
      <c r="AB162" s="3" t="s">
        <v>1727</v>
      </c>
      <c r="AC162" s="3" t="s">
        <v>58</v>
      </c>
      <c r="AD162" s="3" t="s">
        <v>42</v>
      </c>
      <c r="AE162" s="5" t="s">
        <v>42</v>
      </c>
      <c r="AF162" s="3" t="s">
        <v>60</v>
      </c>
      <c r="AG162" s="5" t="s">
        <v>42</v>
      </c>
      <c r="AH162" s="3" t="s">
        <v>61</v>
      </c>
      <c r="AI162" s="3" t="s">
        <v>61</v>
      </c>
      <c r="AJ162" s="3" t="s">
        <v>42</v>
      </c>
      <c r="AK162" s="3" t="s">
        <v>42</v>
      </c>
      <c r="AL162" s="29">
        <v>45950</v>
      </c>
      <c r="AM162" s="5" t="s">
        <v>42</v>
      </c>
      <c r="AN162" s="9" t="str">
        <f>HYPERLINK("https://my.pitchbook.com?p=348373-54P", "View People Online")</f>
        <v>View People Online</v>
      </c>
    </row>
    <row r="163" spans="1:40" x14ac:dyDescent="0.2">
      <c r="A163" s="2" t="s">
        <v>1728</v>
      </c>
      <c r="B163" s="2" t="s">
        <v>1729</v>
      </c>
      <c r="C163" s="2" t="s">
        <v>42</v>
      </c>
      <c r="D163" s="2" t="s">
        <v>42</v>
      </c>
      <c r="E163" s="2" t="s">
        <v>1728</v>
      </c>
      <c r="F163" s="2" t="s">
        <v>1730</v>
      </c>
      <c r="G163" s="2" t="s">
        <v>1731</v>
      </c>
      <c r="H163" s="2" t="s">
        <v>42</v>
      </c>
      <c r="I163" s="2" t="s">
        <v>46</v>
      </c>
      <c r="J163" s="2" t="s">
        <v>47</v>
      </c>
      <c r="K163" s="2" t="s">
        <v>1732</v>
      </c>
      <c r="L163" s="2" t="s">
        <v>111</v>
      </c>
      <c r="M163" s="8" t="str">
        <f>HYPERLINK("http://www.ratio.sa", "www.ratio.sa")</f>
        <v>www.ratio.sa</v>
      </c>
      <c r="N163" s="2" t="s">
        <v>210</v>
      </c>
      <c r="O163" s="2" t="s">
        <v>42</v>
      </c>
      <c r="P163" s="2" t="s">
        <v>1733</v>
      </c>
      <c r="Q163" s="2" t="s">
        <v>42</v>
      </c>
      <c r="R163" s="16" t="s">
        <v>42</v>
      </c>
      <c r="S163" s="16">
        <v>1</v>
      </c>
      <c r="T163" s="16">
        <v>1</v>
      </c>
      <c r="U163" s="16" t="s">
        <v>42</v>
      </c>
      <c r="V163" s="16" t="s">
        <v>42</v>
      </c>
      <c r="W163" s="4" t="s">
        <v>42</v>
      </c>
      <c r="X163" s="2" t="s">
        <v>1734</v>
      </c>
      <c r="Y163" s="2" t="s">
        <v>42</v>
      </c>
      <c r="Z163" s="2" t="s">
        <v>1735</v>
      </c>
      <c r="AA163" s="2" t="s">
        <v>1736</v>
      </c>
      <c r="AB163" s="2" t="s">
        <v>1737</v>
      </c>
      <c r="AC163" s="2" t="s">
        <v>1738</v>
      </c>
      <c r="AD163" s="2" t="s">
        <v>42</v>
      </c>
      <c r="AE163" s="4" t="s">
        <v>1739</v>
      </c>
      <c r="AF163" s="2" t="s">
        <v>60</v>
      </c>
      <c r="AG163" s="4" t="s">
        <v>42</v>
      </c>
      <c r="AH163" s="2" t="s">
        <v>61</v>
      </c>
      <c r="AI163" s="2" t="s">
        <v>61</v>
      </c>
      <c r="AJ163" s="2" t="s">
        <v>42</v>
      </c>
      <c r="AK163" s="2" t="s">
        <v>42</v>
      </c>
      <c r="AL163" s="28">
        <v>45686</v>
      </c>
      <c r="AM163" s="4" t="s">
        <v>42</v>
      </c>
      <c r="AN163" s="8" t="str">
        <f>HYPERLINK("https://my.pitchbook.com?p=431527-33P", "View People Online")</f>
        <v>View People Online</v>
      </c>
    </row>
    <row r="164" spans="1:40" x14ac:dyDescent="0.2">
      <c r="A164" s="3" t="s">
        <v>1740</v>
      </c>
      <c r="B164" s="3" t="s">
        <v>1741</v>
      </c>
      <c r="C164" s="3" t="s">
        <v>42</v>
      </c>
      <c r="D164" s="3" t="s">
        <v>42</v>
      </c>
      <c r="E164" s="3" t="s">
        <v>1740</v>
      </c>
      <c r="F164" s="3" t="s">
        <v>1742</v>
      </c>
      <c r="G164" s="3" t="s">
        <v>1743</v>
      </c>
      <c r="H164" s="3" t="s">
        <v>1744</v>
      </c>
      <c r="I164" s="3" t="s">
        <v>46</v>
      </c>
      <c r="J164" s="3" t="s">
        <v>47</v>
      </c>
      <c r="K164" s="3" t="s">
        <v>1745</v>
      </c>
      <c r="L164" s="3" t="s">
        <v>111</v>
      </c>
      <c r="M164" s="9" t="str">
        <f>HYPERLINK("http://www.mayar.com.sa", "www.mayar.com.sa")</f>
        <v>www.mayar.com.sa</v>
      </c>
      <c r="N164" s="3" t="s">
        <v>210</v>
      </c>
      <c r="O164" s="3" t="s">
        <v>42</v>
      </c>
      <c r="P164" s="3" t="s">
        <v>1746</v>
      </c>
      <c r="Q164" s="3" t="s">
        <v>42</v>
      </c>
      <c r="R164" s="17" t="s">
        <v>42</v>
      </c>
      <c r="S164" s="17">
        <v>1</v>
      </c>
      <c r="T164" s="17">
        <v>1</v>
      </c>
      <c r="U164" s="17" t="s">
        <v>42</v>
      </c>
      <c r="V164" s="17" t="s">
        <v>42</v>
      </c>
      <c r="W164" s="5" t="s">
        <v>1747</v>
      </c>
      <c r="X164" s="3" t="s">
        <v>42</v>
      </c>
      <c r="Y164" s="3" t="s">
        <v>42</v>
      </c>
      <c r="Z164" s="3" t="s">
        <v>55</v>
      </c>
      <c r="AA164" s="3" t="s">
        <v>1748</v>
      </c>
      <c r="AB164" s="3" t="s">
        <v>1749</v>
      </c>
      <c r="AC164" s="3" t="s">
        <v>58</v>
      </c>
      <c r="AD164" s="3" t="s">
        <v>42</v>
      </c>
      <c r="AE164" s="5" t="s">
        <v>454</v>
      </c>
      <c r="AF164" s="3" t="s">
        <v>60</v>
      </c>
      <c r="AG164" s="5" t="s">
        <v>1750</v>
      </c>
      <c r="AH164" s="3" t="s">
        <v>61</v>
      </c>
      <c r="AI164" s="3" t="s">
        <v>61</v>
      </c>
      <c r="AJ164" s="3" t="s">
        <v>42</v>
      </c>
      <c r="AK164" s="3" t="s">
        <v>42</v>
      </c>
      <c r="AL164" s="29">
        <v>45484</v>
      </c>
      <c r="AM164" s="5" t="s">
        <v>42</v>
      </c>
      <c r="AN164" s="9" t="str">
        <f>HYPERLINK("https://my.pitchbook.com?p=357791-05P", "View People Online")</f>
        <v>View People Online</v>
      </c>
    </row>
    <row r="165" spans="1:40" x14ac:dyDescent="0.2">
      <c r="A165" s="2" t="s">
        <v>1751</v>
      </c>
      <c r="B165" s="2" t="s">
        <v>1752</v>
      </c>
      <c r="C165" s="2" t="s">
        <v>42</v>
      </c>
      <c r="D165" s="2" t="s">
        <v>42</v>
      </c>
      <c r="E165" s="2" t="s">
        <v>1751</v>
      </c>
      <c r="F165" s="2" t="s">
        <v>1753</v>
      </c>
      <c r="G165" s="2" t="s">
        <v>1754</v>
      </c>
      <c r="H165" s="2" t="s">
        <v>1755</v>
      </c>
      <c r="I165" s="2" t="s">
        <v>46</v>
      </c>
      <c r="J165" s="2" t="s">
        <v>47</v>
      </c>
      <c r="K165" s="2" t="s">
        <v>763</v>
      </c>
      <c r="L165" s="2" t="s">
        <v>111</v>
      </c>
      <c r="M165" s="8" t="str">
        <f>HYPERLINK("http://www.alramzre.com", "www.alramzre.com")</f>
        <v>www.alramzre.com</v>
      </c>
      <c r="N165" s="2" t="s">
        <v>534</v>
      </c>
      <c r="O165" s="2" t="s">
        <v>42</v>
      </c>
      <c r="P165" s="2" t="s">
        <v>1756</v>
      </c>
      <c r="Q165" s="2" t="s">
        <v>42</v>
      </c>
      <c r="R165" s="16" t="s">
        <v>42</v>
      </c>
      <c r="S165" s="16">
        <v>1</v>
      </c>
      <c r="T165" s="16">
        <v>1</v>
      </c>
      <c r="U165" s="16" t="s">
        <v>42</v>
      </c>
      <c r="V165" s="16" t="s">
        <v>42</v>
      </c>
      <c r="W165" s="4" t="s">
        <v>765</v>
      </c>
      <c r="X165" s="2" t="s">
        <v>42</v>
      </c>
      <c r="Y165" s="8" t="str">
        <f>HYPERLINK("http://linkedin.com/in/abdulmalik-alrasheed-5635a4117/", "http://linkedin.com/in/abdulmalik-alrasheed-5635a4117/")</f>
        <v>http://linkedin.com/in/abdulmalik-alrasheed-5635a4117/</v>
      </c>
      <c r="Z165" s="2" t="s">
        <v>55</v>
      </c>
      <c r="AA165" s="2" t="s">
        <v>766</v>
      </c>
      <c r="AB165" s="2" t="s">
        <v>767</v>
      </c>
      <c r="AC165" s="2" t="s">
        <v>58</v>
      </c>
      <c r="AD165" s="2" t="s">
        <v>42</v>
      </c>
      <c r="AE165" s="4" t="s">
        <v>768</v>
      </c>
      <c r="AF165" s="2" t="s">
        <v>60</v>
      </c>
      <c r="AG165" s="4" t="s">
        <v>42</v>
      </c>
      <c r="AH165" s="2" t="s">
        <v>61</v>
      </c>
      <c r="AI165" s="2" t="s">
        <v>61</v>
      </c>
      <c r="AJ165" s="2" t="s">
        <v>42</v>
      </c>
      <c r="AK165" s="2" t="s">
        <v>42</v>
      </c>
      <c r="AL165" s="28">
        <v>45974</v>
      </c>
      <c r="AM165" s="4" t="s">
        <v>42</v>
      </c>
      <c r="AN165" s="8" t="str">
        <f>HYPERLINK("https://my.pitchbook.com?p=473524-12P", "View People Online")</f>
        <v>View People Online</v>
      </c>
    </row>
    <row r="166" spans="1:40" x14ac:dyDescent="0.2">
      <c r="A166" s="3" t="s">
        <v>1757</v>
      </c>
      <c r="B166" s="3" t="s">
        <v>1758</v>
      </c>
      <c r="C166" s="3" t="s">
        <v>42</v>
      </c>
      <c r="D166" s="3" t="s">
        <v>42</v>
      </c>
      <c r="E166" s="3" t="s">
        <v>1757</v>
      </c>
      <c r="F166" s="3" t="s">
        <v>1759</v>
      </c>
      <c r="G166" s="3" t="s">
        <v>1754</v>
      </c>
      <c r="H166" s="3" t="s">
        <v>42</v>
      </c>
      <c r="I166" s="3" t="s">
        <v>196</v>
      </c>
      <c r="J166" s="3" t="s">
        <v>47</v>
      </c>
      <c r="K166" s="3" t="s">
        <v>569</v>
      </c>
      <c r="L166" s="3" t="s">
        <v>111</v>
      </c>
      <c r="M166" s="9" t="str">
        <f>HYPERLINK("http://www.alinma.com", "www.alinma.com")</f>
        <v>www.alinma.com</v>
      </c>
      <c r="N166" s="3" t="s">
        <v>246</v>
      </c>
      <c r="O166" s="3" t="s">
        <v>42</v>
      </c>
      <c r="P166" s="3" t="s">
        <v>1760</v>
      </c>
      <c r="Q166" s="3" t="s">
        <v>1761</v>
      </c>
      <c r="R166" s="17">
        <v>1</v>
      </c>
      <c r="S166" s="17">
        <v>1</v>
      </c>
      <c r="T166" s="17" t="s">
        <v>42</v>
      </c>
      <c r="U166" s="17" t="s">
        <v>42</v>
      </c>
      <c r="V166" s="17" t="s">
        <v>42</v>
      </c>
      <c r="W166" s="5" t="s">
        <v>573</v>
      </c>
      <c r="X166" s="3" t="s">
        <v>42</v>
      </c>
      <c r="Y166" s="3" t="s">
        <v>42</v>
      </c>
      <c r="Z166" s="3" t="s">
        <v>55</v>
      </c>
      <c r="AA166" s="3" t="s">
        <v>574</v>
      </c>
      <c r="AB166" s="3" t="s">
        <v>575</v>
      </c>
      <c r="AC166" s="3" t="s">
        <v>58</v>
      </c>
      <c r="AD166" s="3" t="s">
        <v>42</v>
      </c>
      <c r="AE166" s="5" t="s">
        <v>576</v>
      </c>
      <c r="AF166" s="3" t="s">
        <v>60</v>
      </c>
      <c r="AG166" s="5" t="s">
        <v>577</v>
      </c>
      <c r="AH166" s="3" t="s">
        <v>61</v>
      </c>
      <c r="AI166" s="3" t="s">
        <v>61</v>
      </c>
      <c r="AJ166" s="3" t="s">
        <v>42</v>
      </c>
      <c r="AK166" s="3" t="s">
        <v>42</v>
      </c>
      <c r="AL166" s="29">
        <v>45985</v>
      </c>
      <c r="AM166" s="5" t="s">
        <v>42</v>
      </c>
      <c r="AN166" s="9" t="str">
        <f>HYPERLINK("https://my.pitchbook.com?p=387852-49P", "View People Online")</f>
        <v>View People Online</v>
      </c>
    </row>
    <row r="167" spans="1:40" x14ac:dyDescent="0.2">
      <c r="A167" s="2" t="s">
        <v>1762</v>
      </c>
      <c r="B167" s="2" t="s">
        <v>1763</v>
      </c>
      <c r="C167" s="2" t="s">
        <v>42</v>
      </c>
      <c r="D167" s="2" t="s">
        <v>42</v>
      </c>
      <c r="E167" s="2" t="s">
        <v>1762</v>
      </c>
      <c r="F167" s="2" t="s">
        <v>1764</v>
      </c>
      <c r="G167" s="2" t="s">
        <v>468</v>
      </c>
      <c r="H167" s="2" t="s">
        <v>543</v>
      </c>
      <c r="I167" s="2" t="s">
        <v>46</v>
      </c>
      <c r="J167" s="2" t="s">
        <v>47</v>
      </c>
      <c r="K167" s="2" t="s">
        <v>1765</v>
      </c>
      <c r="L167" s="2" t="s">
        <v>111</v>
      </c>
      <c r="M167" s="8" t="str">
        <f>HYPERLINK("http://www.armahsports.com", "www.armahsports.com")</f>
        <v>www.armahsports.com</v>
      </c>
      <c r="N167" s="2" t="s">
        <v>1766</v>
      </c>
      <c r="O167" s="2" t="s">
        <v>42</v>
      </c>
      <c r="P167" s="2" t="s">
        <v>1767</v>
      </c>
      <c r="Q167" s="2" t="s">
        <v>42</v>
      </c>
      <c r="R167" s="16">
        <v>1</v>
      </c>
      <c r="S167" s="16">
        <v>1</v>
      </c>
      <c r="T167" s="16">
        <v>1</v>
      </c>
      <c r="U167" s="16" t="s">
        <v>42</v>
      </c>
      <c r="V167" s="16" t="s">
        <v>42</v>
      </c>
      <c r="W167" s="4" t="s">
        <v>1768</v>
      </c>
      <c r="X167" s="2" t="s">
        <v>1769</v>
      </c>
      <c r="Y167" s="2" t="s">
        <v>42</v>
      </c>
      <c r="Z167" s="2" t="s">
        <v>55</v>
      </c>
      <c r="AA167" s="2" t="s">
        <v>1770</v>
      </c>
      <c r="AB167" s="2" t="s">
        <v>1771</v>
      </c>
      <c r="AC167" s="2" t="s">
        <v>58</v>
      </c>
      <c r="AD167" s="2" t="s">
        <v>42</v>
      </c>
      <c r="AE167" s="4" t="s">
        <v>1772</v>
      </c>
      <c r="AF167" s="2" t="s">
        <v>60</v>
      </c>
      <c r="AG167" s="4" t="s">
        <v>42</v>
      </c>
      <c r="AH167" s="2" t="s">
        <v>61</v>
      </c>
      <c r="AI167" s="2" t="s">
        <v>61</v>
      </c>
      <c r="AJ167" s="2" t="s">
        <v>42</v>
      </c>
      <c r="AK167" s="2" t="s">
        <v>42</v>
      </c>
      <c r="AL167" s="28">
        <v>45526</v>
      </c>
      <c r="AM167" s="4" t="s">
        <v>42</v>
      </c>
      <c r="AN167" s="8" t="str">
        <f>HYPERLINK("https://my.pitchbook.com?p=409957-39P", "View People Online")</f>
        <v>View People Online</v>
      </c>
    </row>
    <row r="168" spans="1:40" x14ac:dyDescent="0.2">
      <c r="A168" s="3" t="s">
        <v>1773</v>
      </c>
      <c r="B168" s="3" t="s">
        <v>1774</v>
      </c>
      <c r="C168" s="3" t="s">
        <v>42</v>
      </c>
      <c r="D168" s="3" t="s">
        <v>42</v>
      </c>
      <c r="E168" s="3" t="s">
        <v>1773</v>
      </c>
      <c r="F168" s="3" t="s">
        <v>1775</v>
      </c>
      <c r="G168" s="3" t="s">
        <v>391</v>
      </c>
      <c r="H168" s="3" t="s">
        <v>42</v>
      </c>
      <c r="I168" s="3" t="s">
        <v>46</v>
      </c>
      <c r="J168" s="3" t="s">
        <v>47</v>
      </c>
      <c r="K168" s="3" t="s">
        <v>1776</v>
      </c>
      <c r="L168" s="3" t="s">
        <v>111</v>
      </c>
      <c r="M168" s="9" t="str">
        <f>HYPERLINK("http://www.naseej.com", "www.naseej.com")</f>
        <v>www.naseej.com</v>
      </c>
      <c r="N168" s="3" t="s">
        <v>1777</v>
      </c>
      <c r="O168" s="3" t="s">
        <v>42</v>
      </c>
      <c r="P168" s="3" t="s">
        <v>1778</v>
      </c>
      <c r="Q168" s="3" t="s">
        <v>42</v>
      </c>
      <c r="R168" s="17">
        <v>1</v>
      </c>
      <c r="S168" s="17">
        <v>1</v>
      </c>
      <c r="T168" s="17">
        <v>1</v>
      </c>
      <c r="U168" s="17" t="s">
        <v>42</v>
      </c>
      <c r="V168" s="17" t="s">
        <v>42</v>
      </c>
      <c r="W168" s="5" t="s">
        <v>1779</v>
      </c>
      <c r="X168" s="3" t="s">
        <v>1780</v>
      </c>
      <c r="Y168" s="3" t="s">
        <v>42</v>
      </c>
      <c r="Z168" s="3" t="s">
        <v>55</v>
      </c>
      <c r="AA168" s="3" t="s">
        <v>1781</v>
      </c>
      <c r="AB168" s="3" t="s">
        <v>1782</v>
      </c>
      <c r="AC168" s="3" t="s">
        <v>58</v>
      </c>
      <c r="AD168" s="3" t="s">
        <v>42</v>
      </c>
      <c r="AE168" s="5" t="s">
        <v>539</v>
      </c>
      <c r="AF168" s="3" t="s">
        <v>60</v>
      </c>
      <c r="AG168" s="5" t="s">
        <v>1783</v>
      </c>
      <c r="AH168" s="3" t="s">
        <v>61</v>
      </c>
      <c r="AI168" s="3" t="s">
        <v>61</v>
      </c>
      <c r="AJ168" s="3" t="s">
        <v>42</v>
      </c>
      <c r="AK168" s="3" t="s">
        <v>42</v>
      </c>
      <c r="AL168" s="29">
        <v>45677</v>
      </c>
      <c r="AM168" s="5" t="s">
        <v>42</v>
      </c>
      <c r="AN168" s="9" t="str">
        <f>HYPERLINK("https://my.pitchbook.com?p=316674-91P", "View People Online")</f>
        <v>View People Online</v>
      </c>
    </row>
    <row r="169" spans="1:40" x14ac:dyDescent="0.2">
      <c r="A169" s="2" t="s">
        <v>1784</v>
      </c>
      <c r="B169" s="2" t="s">
        <v>1785</v>
      </c>
      <c r="C169" s="2" t="s">
        <v>42</v>
      </c>
      <c r="D169" s="2" t="s">
        <v>42</v>
      </c>
      <c r="E169" s="2" t="s">
        <v>1784</v>
      </c>
      <c r="F169" s="2" t="s">
        <v>1786</v>
      </c>
      <c r="G169" s="2" t="s">
        <v>391</v>
      </c>
      <c r="H169" s="2" t="s">
        <v>66</v>
      </c>
      <c r="I169" s="2" t="s">
        <v>46</v>
      </c>
      <c r="J169" s="2" t="s">
        <v>47</v>
      </c>
      <c r="K169" s="2" t="s">
        <v>480</v>
      </c>
      <c r="L169" s="2" t="s">
        <v>481</v>
      </c>
      <c r="M169" s="8" t="str">
        <f>HYPERLINK("http://www.alrajhibank.com.sa", "www.alrajhibank.com.sa")</f>
        <v>www.alrajhibank.com.sa</v>
      </c>
      <c r="N169" s="2" t="s">
        <v>534</v>
      </c>
      <c r="O169" s="2" t="s">
        <v>42</v>
      </c>
      <c r="P169" s="2" t="s">
        <v>1787</v>
      </c>
      <c r="Q169" s="2" t="s">
        <v>42</v>
      </c>
      <c r="R169" s="16" t="s">
        <v>42</v>
      </c>
      <c r="S169" s="16">
        <v>1</v>
      </c>
      <c r="T169" s="16">
        <v>1</v>
      </c>
      <c r="U169" s="16" t="s">
        <v>42</v>
      </c>
      <c r="V169" s="16" t="s">
        <v>42</v>
      </c>
      <c r="W169" s="4" t="s">
        <v>42</v>
      </c>
      <c r="X169" s="2" t="s">
        <v>1788</v>
      </c>
      <c r="Y169" s="8" t="str">
        <f>HYPERLINK("http://linkedin.com/in/abdulrahman-al-fadda-962489143/", "http://linkedin.com/in/abdulrahman-al-fadda-962489143/")</f>
        <v>http://linkedin.com/in/abdulrahman-al-fadda-962489143/</v>
      </c>
      <c r="Z169" s="2" t="s">
        <v>55</v>
      </c>
      <c r="AA169" s="2" t="s">
        <v>484</v>
      </c>
      <c r="AB169" s="2" t="s">
        <v>485</v>
      </c>
      <c r="AC169" s="2" t="s">
        <v>58</v>
      </c>
      <c r="AD169" s="2" t="s">
        <v>42</v>
      </c>
      <c r="AE169" s="4" t="s">
        <v>486</v>
      </c>
      <c r="AF169" s="2" t="s">
        <v>60</v>
      </c>
      <c r="AG169" s="4" t="s">
        <v>42</v>
      </c>
      <c r="AH169" s="2" t="s">
        <v>61</v>
      </c>
      <c r="AI169" s="2" t="s">
        <v>61</v>
      </c>
      <c r="AJ169" s="2" t="s">
        <v>42</v>
      </c>
      <c r="AK169" s="2" t="s">
        <v>42</v>
      </c>
      <c r="AL169" s="28">
        <v>45727</v>
      </c>
      <c r="AM169" s="4" t="s">
        <v>42</v>
      </c>
      <c r="AN169" s="8" t="str">
        <f>HYPERLINK("https://my.pitchbook.com?p=339567-58P", "View People Online")</f>
        <v>View People Online</v>
      </c>
    </row>
    <row r="170" spans="1:40" x14ac:dyDescent="0.2">
      <c r="A170" s="3" t="s">
        <v>1789</v>
      </c>
      <c r="B170" s="3" t="s">
        <v>1790</v>
      </c>
      <c r="C170" s="3" t="s">
        <v>42</v>
      </c>
      <c r="D170" s="3" t="s">
        <v>42</v>
      </c>
      <c r="E170" s="3" t="s">
        <v>1789</v>
      </c>
      <c r="F170" s="3" t="s">
        <v>1791</v>
      </c>
      <c r="G170" s="3" t="s">
        <v>1792</v>
      </c>
      <c r="H170" s="3" t="s">
        <v>42</v>
      </c>
      <c r="I170" s="3" t="s">
        <v>46</v>
      </c>
      <c r="J170" s="3" t="s">
        <v>47</v>
      </c>
      <c r="K170" s="3" t="s">
        <v>1793</v>
      </c>
      <c r="L170" s="3" t="s">
        <v>111</v>
      </c>
      <c r="M170" s="9" t="str">
        <f>HYPERLINK("http://www.alfakhera.com", "www.alfakhera.com")</f>
        <v>www.alfakhera.com</v>
      </c>
      <c r="N170" s="3" t="s">
        <v>210</v>
      </c>
      <c r="O170" s="3" t="s">
        <v>42</v>
      </c>
      <c r="P170" s="3" t="s">
        <v>1794</v>
      </c>
      <c r="Q170" s="3" t="s">
        <v>42</v>
      </c>
      <c r="R170" s="17" t="s">
        <v>42</v>
      </c>
      <c r="S170" s="17">
        <v>1</v>
      </c>
      <c r="T170" s="17">
        <v>1</v>
      </c>
      <c r="U170" s="17" t="s">
        <v>42</v>
      </c>
      <c r="V170" s="17" t="s">
        <v>42</v>
      </c>
      <c r="W170" s="5" t="s">
        <v>1795</v>
      </c>
      <c r="X170" s="3" t="s">
        <v>1796</v>
      </c>
      <c r="Y170" s="9" t="str">
        <f>HYPERLINK("http://linkedin.com/in/abdulrahman-al-maleh-40197885/?originalsubdomain=sa", "http://linkedin.com/in/abdulrahman-al-maleh-40197885/?originalsubdomain=sa")</f>
        <v>http://linkedin.com/in/abdulrahman-al-maleh-40197885/?originalsubdomain=sa</v>
      </c>
      <c r="Z170" s="3" t="s">
        <v>55</v>
      </c>
      <c r="AA170" s="3" t="s">
        <v>1797</v>
      </c>
      <c r="AB170" s="3" t="s">
        <v>1798</v>
      </c>
      <c r="AC170" s="3" t="s">
        <v>58</v>
      </c>
      <c r="AD170" s="3" t="s">
        <v>42</v>
      </c>
      <c r="AE170" s="5" t="s">
        <v>1799</v>
      </c>
      <c r="AF170" s="3" t="s">
        <v>60</v>
      </c>
      <c r="AG170" s="5" t="s">
        <v>42</v>
      </c>
      <c r="AH170" s="3" t="s">
        <v>61</v>
      </c>
      <c r="AI170" s="3" t="s">
        <v>61</v>
      </c>
      <c r="AJ170" s="3" t="s">
        <v>42</v>
      </c>
      <c r="AK170" s="3" t="s">
        <v>42</v>
      </c>
      <c r="AL170" s="29">
        <v>45768</v>
      </c>
      <c r="AM170" s="5" t="s">
        <v>42</v>
      </c>
      <c r="AN170" s="9" t="str">
        <f>HYPERLINK("https://my.pitchbook.com?p=443249-29P", "View People Online")</f>
        <v>View People Online</v>
      </c>
    </row>
    <row r="171" spans="1:40" x14ac:dyDescent="0.2">
      <c r="A171" s="2" t="s">
        <v>1800</v>
      </c>
      <c r="B171" s="2" t="s">
        <v>1801</v>
      </c>
      <c r="C171" s="2" t="s">
        <v>42</v>
      </c>
      <c r="D171" s="2" t="s">
        <v>42</v>
      </c>
      <c r="E171" s="2" t="s">
        <v>1800</v>
      </c>
      <c r="F171" s="2" t="s">
        <v>1802</v>
      </c>
      <c r="G171" s="2" t="s">
        <v>391</v>
      </c>
      <c r="H171" s="2" t="s">
        <v>1803</v>
      </c>
      <c r="I171" s="2" t="s">
        <v>46</v>
      </c>
      <c r="J171" s="2" t="s">
        <v>47</v>
      </c>
      <c r="K171" s="2" t="s">
        <v>1804</v>
      </c>
      <c r="L171" s="2" t="s">
        <v>111</v>
      </c>
      <c r="M171" s="8" t="str">
        <f>HYPERLINK("http://www.solutions.com.sa", "www.solutions.com.sa")</f>
        <v>www.solutions.com.sa</v>
      </c>
      <c r="N171" s="2" t="s">
        <v>534</v>
      </c>
      <c r="O171" s="2" t="s">
        <v>42</v>
      </c>
      <c r="P171" s="2" t="s">
        <v>1805</v>
      </c>
      <c r="Q171" s="2" t="s">
        <v>42</v>
      </c>
      <c r="R171" s="16" t="s">
        <v>42</v>
      </c>
      <c r="S171" s="16">
        <v>1</v>
      </c>
      <c r="T171" s="16">
        <v>1</v>
      </c>
      <c r="U171" s="16" t="s">
        <v>42</v>
      </c>
      <c r="V171" s="16" t="s">
        <v>42</v>
      </c>
      <c r="W171" s="4" t="s">
        <v>1806</v>
      </c>
      <c r="X171" s="2" t="s">
        <v>1807</v>
      </c>
      <c r="Y171" s="8" t="str">
        <f>HYPERLINK("http://linkedin.com/in/abdulrahman-alrubaia-389b70106/", "http://linkedin.com/in/abdulrahman-alrubaia-389b70106/")</f>
        <v>http://linkedin.com/in/abdulrahman-alrubaia-389b70106/</v>
      </c>
      <c r="Z171" s="2" t="s">
        <v>55</v>
      </c>
      <c r="AA171" s="2" t="s">
        <v>1808</v>
      </c>
      <c r="AB171" s="2" t="s">
        <v>42</v>
      </c>
      <c r="AC171" s="2" t="s">
        <v>58</v>
      </c>
      <c r="AD171" s="2" t="s">
        <v>42</v>
      </c>
      <c r="AE171" s="4" t="s">
        <v>1809</v>
      </c>
      <c r="AF171" s="2" t="s">
        <v>60</v>
      </c>
      <c r="AG171" s="4" t="s">
        <v>1810</v>
      </c>
      <c r="AH171" s="2" t="s">
        <v>61</v>
      </c>
      <c r="AI171" s="2" t="s">
        <v>61</v>
      </c>
      <c r="AJ171" s="2" t="s">
        <v>42</v>
      </c>
      <c r="AK171" s="2" t="s">
        <v>42</v>
      </c>
      <c r="AL171" s="28">
        <v>45671</v>
      </c>
      <c r="AM171" s="4" t="s">
        <v>42</v>
      </c>
      <c r="AN171" s="8" t="str">
        <f>HYPERLINK("https://my.pitchbook.com?p=326085-04P", "View People Online")</f>
        <v>View People Online</v>
      </c>
    </row>
    <row r="172" spans="1:40" x14ac:dyDescent="0.2">
      <c r="A172" s="3" t="s">
        <v>1811</v>
      </c>
      <c r="B172" s="3" t="s">
        <v>1812</v>
      </c>
      <c r="C172" s="3" t="s">
        <v>42</v>
      </c>
      <c r="D172" s="3" t="s">
        <v>42</v>
      </c>
      <c r="E172" s="3" t="s">
        <v>1811</v>
      </c>
      <c r="F172" s="3" t="s">
        <v>1813</v>
      </c>
      <c r="G172" s="3" t="s">
        <v>391</v>
      </c>
      <c r="H172" s="3" t="s">
        <v>1814</v>
      </c>
      <c r="I172" s="3" t="s">
        <v>46</v>
      </c>
      <c r="J172" s="3" t="s">
        <v>47</v>
      </c>
      <c r="K172" s="3" t="s">
        <v>1815</v>
      </c>
      <c r="L172" s="3" t="s">
        <v>111</v>
      </c>
      <c r="M172" s="9" t="str">
        <f>HYPERLINK("http://asasmakeen.com/en", "asasmakeen.com/en")</f>
        <v>asasmakeen.com/en</v>
      </c>
      <c r="N172" s="3" t="s">
        <v>139</v>
      </c>
      <c r="O172" s="3" t="s">
        <v>42</v>
      </c>
      <c r="P172" s="3" t="s">
        <v>1816</v>
      </c>
      <c r="Q172" s="3" t="s">
        <v>42</v>
      </c>
      <c r="R172" s="17">
        <v>1</v>
      </c>
      <c r="S172" s="17">
        <v>1</v>
      </c>
      <c r="T172" s="17">
        <v>1</v>
      </c>
      <c r="U172" s="17" t="s">
        <v>42</v>
      </c>
      <c r="V172" s="17" t="s">
        <v>42</v>
      </c>
      <c r="W172" s="5" t="s">
        <v>1817</v>
      </c>
      <c r="X172" s="3" t="s">
        <v>1818</v>
      </c>
      <c r="Y172" s="9" t="str">
        <f>HYPERLINK("http://linkedin.com/in/abdulrahman-ibrahim-al-hadlaq-/?originalsubdomain=sa", "http://linkedin.com/in/abdulrahman-ibrahim-al-hadlaq-/?originalsubdomain=sa")</f>
        <v>http://linkedin.com/in/abdulrahman-ibrahim-al-hadlaq-/?originalsubdomain=sa</v>
      </c>
      <c r="Z172" s="3" t="s">
        <v>55</v>
      </c>
      <c r="AA172" s="3" t="s">
        <v>1819</v>
      </c>
      <c r="AB172" s="3" t="s">
        <v>1820</v>
      </c>
      <c r="AC172" s="3" t="s">
        <v>58</v>
      </c>
      <c r="AD172" s="3" t="s">
        <v>1821</v>
      </c>
      <c r="AE172" s="5" t="s">
        <v>1822</v>
      </c>
      <c r="AF172" s="3" t="s">
        <v>60</v>
      </c>
      <c r="AG172" s="5" t="s">
        <v>1823</v>
      </c>
      <c r="AH172" s="3" t="s">
        <v>61</v>
      </c>
      <c r="AI172" s="3" t="s">
        <v>61</v>
      </c>
      <c r="AJ172" s="3" t="s">
        <v>42</v>
      </c>
      <c r="AK172" s="3" t="s">
        <v>42</v>
      </c>
      <c r="AL172" s="29">
        <v>46049</v>
      </c>
      <c r="AM172" s="5" t="s">
        <v>42</v>
      </c>
      <c r="AN172" s="9" t="str">
        <f>HYPERLINK("https://my.pitchbook.com?p=444925-36P", "View People Online")</f>
        <v>View People Online</v>
      </c>
    </row>
    <row r="173" spans="1:40" x14ac:dyDescent="0.2">
      <c r="A173" s="2" t="s">
        <v>1824</v>
      </c>
      <c r="B173" s="2" t="s">
        <v>1825</v>
      </c>
      <c r="C173" s="2" t="s">
        <v>42</v>
      </c>
      <c r="D173" s="2" t="s">
        <v>42</v>
      </c>
      <c r="E173" s="2" t="s">
        <v>1824</v>
      </c>
      <c r="F173" s="2" t="s">
        <v>1826</v>
      </c>
      <c r="G173" s="2" t="s">
        <v>391</v>
      </c>
      <c r="H173" s="2" t="s">
        <v>42</v>
      </c>
      <c r="I173" s="2" t="s">
        <v>46</v>
      </c>
      <c r="J173" s="2" t="s">
        <v>47</v>
      </c>
      <c r="K173" s="2" t="s">
        <v>581</v>
      </c>
      <c r="L173" s="2" t="s">
        <v>481</v>
      </c>
      <c r="M173" s="8" t="str">
        <f>HYPERLINK("http://www.riyadbank.com", "www.riyadbank.com")</f>
        <v>www.riyadbank.com</v>
      </c>
      <c r="N173" s="2" t="s">
        <v>370</v>
      </c>
      <c r="O173" s="2" t="s">
        <v>42</v>
      </c>
      <c r="P173" s="2" t="s">
        <v>1827</v>
      </c>
      <c r="Q173" s="2" t="s">
        <v>42</v>
      </c>
      <c r="R173" s="16" t="s">
        <v>42</v>
      </c>
      <c r="S173" s="16">
        <v>1</v>
      </c>
      <c r="T173" s="16">
        <v>1</v>
      </c>
      <c r="U173" s="16" t="s">
        <v>42</v>
      </c>
      <c r="V173" s="16" t="s">
        <v>42</v>
      </c>
      <c r="W173" s="4" t="s">
        <v>1613</v>
      </c>
      <c r="X173" s="2" t="s">
        <v>1828</v>
      </c>
      <c r="Y173" s="8" t="str">
        <f>HYPERLINK("http://linkedin.com/in/abdulrahman-al-huthail-1624a14/", "http://linkedin.com/in/abdulrahman-al-huthail-1624a14/")</f>
        <v>http://linkedin.com/in/abdulrahman-al-huthail-1624a14/</v>
      </c>
      <c r="Z173" s="2" t="s">
        <v>55</v>
      </c>
      <c r="AA173" s="2" t="s">
        <v>586</v>
      </c>
      <c r="AB173" s="2" t="s">
        <v>42</v>
      </c>
      <c r="AC173" s="2" t="s">
        <v>58</v>
      </c>
      <c r="AD173" s="2" t="s">
        <v>42</v>
      </c>
      <c r="AE173" s="4" t="s">
        <v>279</v>
      </c>
      <c r="AF173" s="2" t="s">
        <v>60</v>
      </c>
      <c r="AG173" s="4" t="s">
        <v>42</v>
      </c>
      <c r="AH173" s="2" t="s">
        <v>61</v>
      </c>
      <c r="AI173" s="2" t="s">
        <v>61</v>
      </c>
      <c r="AJ173" s="2" t="s">
        <v>42</v>
      </c>
      <c r="AK173" s="2" t="s">
        <v>42</v>
      </c>
      <c r="AL173" s="28">
        <v>45811</v>
      </c>
      <c r="AM173" s="4" t="s">
        <v>42</v>
      </c>
      <c r="AN173" s="8" t="str">
        <f>HYPERLINK("https://my.pitchbook.com?p=449263-99P", "View People Online")</f>
        <v>View People Online</v>
      </c>
    </row>
    <row r="174" spans="1:40" x14ac:dyDescent="0.2">
      <c r="A174" s="3" t="s">
        <v>1829</v>
      </c>
      <c r="B174" s="3" t="s">
        <v>1830</v>
      </c>
      <c r="C174" s="3" t="s">
        <v>42</v>
      </c>
      <c r="D174" s="3" t="s">
        <v>42</v>
      </c>
      <c r="E174" s="3" t="s">
        <v>1829</v>
      </c>
      <c r="F174" s="3" t="s">
        <v>1831</v>
      </c>
      <c r="G174" s="3" t="s">
        <v>391</v>
      </c>
      <c r="H174" s="3" t="s">
        <v>42</v>
      </c>
      <c r="I174" s="3" t="s">
        <v>46</v>
      </c>
      <c r="J174" s="3" t="s">
        <v>47</v>
      </c>
      <c r="K174" s="3" t="s">
        <v>613</v>
      </c>
      <c r="L174" s="3" t="s">
        <v>111</v>
      </c>
      <c r="M174" s="9" t="str">
        <f>HYPERLINK("http://www.sa.zain.com", "www.sa.zain.com")</f>
        <v>www.sa.zain.com</v>
      </c>
      <c r="N174" s="3" t="s">
        <v>1832</v>
      </c>
      <c r="O174" s="3" t="s">
        <v>42</v>
      </c>
      <c r="P174" s="3" t="s">
        <v>1833</v>
      </c>
      <c r="Q174" s="3" t="s">
        <v>128</v>
      </c>
      <c r="R174" s="17" t="s">
        <v>42</v>
      </c>
      <c r="S174" s="17">
        <v>1</v>
      </c>
      <c r="T174" s="17">
        <v>1</v>
      </c>
      <c r="U174" s="17" t="s">
        <v>42</v>
      </c>
      <c r="V174" s="17" t="s">
        <v>42</v>
      </c>
      <c r="W174" s="5" t="s">
        <v>615</v>
      </c>
      <c r="X174" s="3" t="s">
        <v>1834</v>
      </c>
      <c r="Y174" s="9" t="str">
        <f>HYPERLINK("http://linkedin.com/in/abdulrahman-almufadda", "http://linkedin.com/in/abdulrahman-almufadda")</f>
        <v>http://linkedin.com/in/abdulrahman-almufadda</v>
      </c>
      <c r="Z174" s="3" t="s">
        <v>55</v>
      </c>
      <c r="AA174" s="3" t="s">
        <v>616</v>
      </c>
      <c r="AB174" s="3" t="s">
        <v>617</v>
      </c>
      <c r="AC174" s="3" t="s">
        <v>58</v>
      </c>
      <c r="AD174" s="3" t="s">
        <v>42</v>
      </c>
      <c r="AE174" s="5" t="s">
        <v>618</v>
      </c>
      <c r="AF174" s="3" t="s">
        <v>60</v>
      </c>
      <c r="AG174" s="5" t="s">
        <v>42</v>
      </c>
      <c r="AH174" s="3" t="s">
        <v>61</v>
      </c>
      <c r="AI174" s="3" t="s">
        <v>61</v>
      </c>
      <c r="AJ174" s="3" t="s">
        <v>42</v>
      </c>
      <c r="AK174" s="3" t="s">
        <v>42</v>
      </c>
      <c r="AL174" s="29">
        <v>45751</v>
      </c>
      <c r="AM174" s="5" t="s">
        <v>42</v>
      </c>
      <c r="AN174" s="9" t="str">
        <f>HYPERLINK("https://my.pitchbook.com?p=389833-93P", "View People Online")</f>
        <v>View People Online</v>
      </c>
    </row>
    <row r="175" spans="1:40" x14ac:dyDescent="0.2">
      <c r="A175" s="2" t="s">
        <v>1835</v>
      </c>
      <c r="B175" s="2" t="s">
        <v>1836</v>
      </c>
      <c r="C175" s="2" t="s">
        <v>42</v>
      </c>
      <c r="D175" s="2" t="s">
        <v>42</v>
      </c>
      <c r="E175" s="2" t="s">
        <v>1835</v>
      </c>
      <c r="F175" s="2" t="s">
        <v>1837</v>
      </c>
      <c r="G175" s="2" t="s">
        <v>391</v>
      </c>
      <c r="H175" s="2" t="s">
        <v>167</v>
      </c>
      <c r="I175" s="2" t="s">
        <v>46</v>
      </c>
      <c r="J175" s="2" t="s">
        <v>47</v>
      </c>
      <c r="K175" s="2" t="s">
        <v>1838</v>
      </c>
      <c r="L175" s="2" t="s">
        <v>111</v>
      </c>
      <c r="M175" s="8" t="str">
        <f>HYPERLINK("http://www.almasafi.com.sa", "www.almasafi.com.sa")</f>
        <v>www.almasafi.com.sa</v>
      </c>
      <c r="N175" s="2" t="s">
        <v>210</v>
      </c>
      <c r="O175" s="2" t="s">
        <v>42</v>
      </c>
      <c r="P175" s="2" t="s">
        <v>1839</v>
      </c>
      <c r="Q175" s="2" t="s">
        <v>42</v>
      </c>
      <c r="R175" s="16" t="s">
        <v>42</v>
      </c>
      <c r="S175" s="16">
        <v>1</v>
      </c>
      <c r="T175" s="16">
        <v>1</v>
      </c>
      <c r="U175" s="16" t="s">
        <v>42</v>
      </c>
      <c r="V175" s="16" t="s">
        <v>42</v>
      </c>
      <c r="W175" s="4" t="s">
        <v>1840</v>
      </c>
      <c r="X175" s="2" t="s">
        <v>42</v>
      </c>
      <c r="Y175" s="2" t="s">
        <v>42</v>
      </c>
      <c r="Z175" s="2" t="s">
        <v>174</v>
      </c>
      <c r="AA175" s="2" t="s">
        <v>1841</v>
      </c>
      <c r="AB175" s="2" t="s">
        <v>42</v>
      </c>
      <c r="AC175" s="2" t="s">
        <v>176</v>
      </c>
      <c r="AD175" s="2" t="s">
        <v>42</v>
      </c>
      <c r="AE175" s="4" t="s">
        <v>1842</v>
      </c>
      <c r="AF175" s="2" t="s">
        <v>60</v>
      </c>
      <c r="AG175" s="4" t="s">
        <v>1843</v>
      </c>
      <c r="AH175" s="2" t="s">
        <v>61</v>
      </c>
      <c r="AI175" s="2" t="s">
        <v>61</v>
      </c>
      <c r="AJ175" s="2" t="s">
        <v>42</v>
      </c>
      <c r="AK175" s="2" t="s">
        <v>42</v>
      </c>
      <c r="AL175" s="28">
        <v>45943</v>
      </c>
      <c r="AM175" s="4" t="s">
        <v>42</v>
      </c>
      <c r="AN175" s="8" t="str">
        <f>HYPERLINK("https://my.pitchbook.com?p=383431-69P", "View People Online")</f>
        <v>View People Online</v>
      </c>
    </row>
    <row r="176" spans="1:40" x14ac:dyDescent="0.2">
      <c r="A176" s="3" t="s">
        <v>1844</v>
      </c>
      <c r="B176" s="3" t="s">
        <v>1845</v>
      </c>
      <c r="C176" s="3" t="s">
        <v>42</v>
      </c>
      <c r="D176" s="3" t="s">
        <v>42</v>
      </c>
      <c r="E176" s="3" t="s">
        <v>1844</v>
      </c>
      <c r="F176" s="3" t="s">
        <v>1846</v>
      </c>
      <c r="G176" s="3" t="s">
        <v>391</v>
      </c>
      <c r="H176" s="3" t="s">
        <v>161</v>
      </c>
      <c r="I176" s="3" t="s">
        <v>42</v>
      </c>
      <c r="J176" s="3" t="s">
        <v>47</v>
      </c>
      <c r="K176" s="3" t="s">
        <v>801</v>
      </c>
      <c r="L176" s="3" t="s">
        <v>111</v>
      </c>
      <c r="M176" s="9" t="str">
        <f>HYPERLINK("http://www.srmg.com", "www.srmg.com")</f>
        <v>www.srmg.com</v>
      </c>
      <c r="N176" s="3" t="s">
        <v>246</v>
      </c>
      <c r="O176" s="3" t="s">
        <v>42</v>
      </c>
      <c r="P176" s="3" t="s">
        <v>1847</v>
      </c>
      <c r="Q176" s="3" t="s">
        <v>42</v>
      </c>
      <c r="R176" s="17">
        <v>1</v>
      </c>
      <c r="S176" s="17">
        <v>1</v>
      </c>
      <c r="T176" s="17" t="s">
        <v>42</v>
      </c>
      <c r="U176" s="17" t="s">
        <v>42</v>
      </c>
      <c r="V176" s="17" t="s">
        <v>42</v>
      </c>
      <c r="W176" s="5" t="s">
        <v>804</v>
      </c>
      <c r="X176" s="3" t="s">
        <v>42</v>
      </c>
      <c r="Y176" s="3" t="s">
        <v>42</v>
      </c>
      <c r="Z176" s="3" t="s">
        <v>55</v>
      </c>
      <c r="AA176" s="3" t="s">
        <v>806</v>
      </c>
      <c r="AB176" s="3" t="s">
        <v>807</v>
      </c>
      <c r="AC176" s="3" t="s">
        <v>58</v>
      </c>
      <c r="AD176" s="3" t="s">
        <v>42</v>
      </c>
      <c r="AE176" s="5" t="s">
        <v>42</v>
      </c>
      <c r="AF176" s="3" t="s">
        <v>60</v>
      </c>
      <c r="AG176" s="5" t="s">
        <v>42</v>
      </c>
      <c r="AH176" s="3" t="s">
        <v>61</v>
      </c>
      <c r="AI176" s="3" t="s">
        <v>61</v>
      </c>
      <c r="AJ176" s="3" t="s">
        <v>42</v>
      </c>
      <c r="AK176" s="3" t="s">
        <v>42</v>
      </c>
      <c r="AL176" s="29">
        <v>45805</v>
      </c>
      <c r="AM176" s="5" t="s">
        <v>42</v>
      </c>
      <c r="AN176" s="9" t="str">
        <f>HYPERLINK("https://my.pitchbook.com?p=282832-93P", "View People Online")</f>
        <v>View People Online</v>
      </c>
    </row>
    <row r="177" spans="1:40" x14ac:dyDescent="0.2">
      <c r="A177" s="2" t="s">
        <v>1848</v>
      </c>
      <c r="B177" s="2" t="s">
        <v>1849</v>
      </c>
      <c r="C177" s="2" t="s">
        <v>42</v>
      </c>
      <c r="D177" s="2" t="s">
        <v>42</v>
      </c>
      <c r="E177" s="2" t="s">
        <v>1848</v>
      </c>
      <c r="F177" s="2" t="s">
        <v>1850</v>
      </c>
      <c r="G177" s="2" t="s">
        <v>391</v>
      </c>
      <c r="H177" s="2" t="s">
        <v>42</v>
      </c>
      <c r="I177" s="2" t="s">
        <v>46</v>
      </c>
      <c r="J177" s="2" t="s">
        <v>47</v>
      </c>
      <c r="K177" s="2" t="s">
        <v>1851</v>
      </c>
      <c r="L177" s="2" t="s">
        <v>111</v>
      </c>
      <c r="M177" s="8" t="str">
        <f>HYPERLINK("http://www.sasco.com.sa", "www.sasco.com.sa")</f>
        <v>www.sasco.com.sa</v>
      </c>
      <c r="N177" s="2" t="s">
        <v>370</v>
      </c>
      <c r="O177" s="2" t="s">
        <v>42</v>
      </c>
      <c r="P177" s="2" t="s">
        <v>1852</v>
      </c>
      <c r="Q177" s="2" t="s">
        <v>42</v>
      </c>
      <c r="R177" s="16" t="s">
        <v>42</v>
      </c>
      <c r="S177" s="16">
        <v>1</v>
      </c>
      <c r="T177" s="16">
        <v>1</v>
      </c>
      <c r="U177" s="16" t="s">
        <v>42</v>
      </c>
      <c r="V177" s="16" t="s">
        <v>42</v>
      </c>
      <c r="W177" s="4" t="s">
        <v>42</v>
      </c>
      <c r="X177" s="2" t="s">
        <v>42</v>
      </c>
      <c r="Y177" s="8" t="str">
        <f>HYPERLINK("http://linkedin.com/in/alyaeesh/?originalsubdomain=sa", "http://linkedin.com/in/alyaeesh/?originalsubdomain=sa")</f>
        <v>http://linkedin.com/in/alyaeesh/?originalsubdomain=sa</v>
      </c>
      <c r="Z177" s="2" t="s">
        <v>55</v>
      </c>
      <c r="AA177" s="2" t="s">
        <v>1853</v>
      </c>
      <c r="AB177" s="2" t="s">
        <v>1854</v>
      </c>
      <c r="AC177" s="2" t="s">
        <v>58</v>
      </c>
      <c r="AD177" s="2" t="s">
        <v>42</v>
      </c>
      <c r="AE177" s="4" t="s">
        <v>1855</v>
      </c>
      <c r="AF177" s="2" t="s">
        <v>60</v>
      </c>
      <c r="AG177" s="4" t="s">
        <v>1856</v>
      </c>
      <c r="AH177" s="2" t="s">
        <v>61</v>
      </c>
      <c r="AI177" s="2" t="s">
        <v>61</v>
      </c>
      <c r="AJ177" s="2" t="s">
        <v>42</v>
      </c>
      <c r="AK177" s="2" t="s">
        <v>42</v>
      </c>
      <c r="AL177" s="28">
        <v>45743</v>
      </c>
      <c r="AM177" s="4" t="s">
        <v>42</v>
      </c>
      <c r="AN177" s="8" t="str">
        <f>HYPERLINK("https://my.pitchbook.com?p=440007-85P", "View People Online")</f>
        <v>View People Online</v>
      </c>
    </row>
    <row r="178" spans="1:40" x14ac:dyDescent="0.2">
      <c r="A178" s="3" t="s">
        <v>1857</v>
      </c>
      <c r="B178" s="3" t="s">
        <v>1858</v>
      </c>
      <c r="C178" s="3" t="s">
        <v>42</v>
      </c>
      <c r="D178" s="3" t="s">
        <v>42</v>
      </c>
      <c r="E178" s="3" t="s">
        <v>1857</v>
      </c>
      <c r="F178" s="3" t="s">
        <v>1859</v>
      </c>
      <c r="G178" s="3" t="s">
        <v>391</v>
      </c>
      <c r="H178" s="3" t="s">
        <v>42</v>
      </c>
      <c r="I178" s="3" t="s">
        <v>46</v>
      </c>
      <c r="J178" s="3" t="s">
        <v>47</v>
      </c>
      <c r="K178" s="3" t="s">
        <v>1370</v>
      </c>
      <c r="L178" s="3" t="s">
        <v>1316</v>
      </c>
      <c r="M178" s="9" t="str">
        <f>HYPERLINK("http://www.saico.com.sa", "www.saico.com.sa")</f>
        <v>www.saico.com.sa</v>
      </c>
      <c r="N178" s="3" t="s">
        <v>210</v>
      </c>
      <c r="O178" s="3" t="s">
        <v>42</v>
      </c>
      <c r="P178" s="3" t="s">
        <v>1860</v>
      </c>
      <c r="Q178" s="3" t="s">
        <v>42</v>
      </c>
      <c r="R178" s="17" t="s">
        <v>42</v>
      </c>
      <c r="S178" s="17">
        <v>1</v>
      </c>
      <c r="T178" s="17">
        <v>1</v>
      </c>
      <c r="U178" s="17" t="s">
        <v>42</v>
      </c>
      <c r="V178" s="17" t="s">
        <v>42</v>
      </c>
      <c r="W178" s="5" t="s">
        <v>1372</v>
      </c>
      <c r="X178" s="3" t="s">
        <v>1861</v>
      </c>
      <c r="Y178" s="9" t="str">
        <f>HYPERLINK("http://linkedin.com/in/abdulrahman-alobrah-6b5452132/", "http://linkedin.com/in/abdulrahman-alobrah-6b5452132/")</f>
        <v>http://linkedin.com/in/abdulrahman-alobrah-6b5452132/</v>
      </c>
      <c r="Z178" s="3" t="s">
        <v>55</v>
      </c>
      <c r="AA178" s="3" t="s">
        <v>1374</v>
      </c>
      <c r="AB178" s="3" t="s">
        <v>1375</v>
      </c>
      <c r="AC178" s="3" t="s">
        <v>58</v>
      </c>
      <c r="AD178" s="3" t="s">
        <v>42</v>
      </c>
      <c r="AE178" s="5" t="s">
        <v>1376</v>
      </c>
      <c r="AF178" s="3" t="s">
        <v>60</v>
      </c>
      <c r="AG178" s="5" t="s">
        <v>1377</v>
      </c>
      <c r="AH178" s="3" t="s">
        <v>61</v>
      </c>
      <c r="AI178" s="3" t="s">
        <v>61</v>
      </c>
      <c r="AJ178" s="3" t="s">
        <v>42</v>
      </c>
      <c r="AK178" s="3" t="s">
        <v>42</v>
      </c>
      <c r="AL178" s="29">
        <v>45904</v>
      </c>
      <c r="AM178" s="5">
        <v>1979</v>
      </c>
      <c r="AN178" s="9" t="str">
        <f>HYPERLINK("https://my.pitchbook.com?p=287871-58P", "View People Online")</f>
        <v>View People Online</v>
      </c>
    </row>
    <row r="179" spans="1:40" x14ac:dyDescent="0.2">
      <c r="A179" s="2" t="s">
        <v>1862</v>
      </c>
      <c r="B179" s="2" t="s">
        <v>620</v>
      </c>
      <c r="C179" s="2" t="s">
        <v>42</v>
      </c>
      <c r="D179" s="2" t="s">
        <v>42</v>
      </c>
      <c r="E179" s="2" t="s">
        <v>1862</v>
      </c>
      <c r="F179" s="2" t="s">
        <v>621</v>
      </c>
      <c r="G179" s="2" t="s">
        <v>391</v>
      </c>
      <c r="H179" s="2" t="s">
        <v>167</v>
      </c>
      <c r="I179" s="2" t="s">
        <v>42</v>
      </c>
      <c r="J179" s="2" t="s">
        <v>47</v>
      </c>
      <c r="K179" s="2" t="s">
        <v>1863</v>
      </c>
      <c r="L179" s="2" t="s">
        <v>111</v>
      </c>
      <c r="M179" s="8" t="str">
        <f>HYPERLINK("http://www.yansab.com.sa", "www.yansab.com.sa")</f>
        <v>www.yansab.com.sa</v>
      </c>
      <c r="N179" s="2" t="s">
        <v>69</v>
      </c>
      <c r="O179" s="2" t="s">
        <v>42</v>
      </c>
      <c r="P179" s="2" t="s">
        <v>1864</v>
      </c>
      <c r="Q179" s="2" t="s">
        <v>42</v>
      </c>
      <c r="R179" s="16">
        <v>1</v>
      </c>
      <c r="S179" s="16">
        <v>1</v>
      </c>
      <c r="T179" s="16" t="s">
        <v>42</v>
      </c>
      <c r="U179" s="16" t="s">
        <v>42</v>
      </c>
      <c r="V179" s="16" t="s">
        <v>42</v>
      </c>
      <c r="W179" s="4" t="s">
        <v>1865</v>
      </c>
      <c r="X179" s="2" t="s">
        <v>42</v>
      </c>
      <c r="Y179" s="2" t="s">
        <v>42</v>
      </c>
      <c r="Z179" s="2" t="s">
        <v>1866</v>
      </c>
      <c r="AA179" s="2" t="s">
        <v>1867</v>
      </c>
      <c r="AB179" s="2" t="s">
        <v>42</v>
      </c>
      <c r="AC179" s="2" t="s">
        <v>1868</v>
      </c>
      <c r="AD179" s="2" t="s">
        <v>42</v>
      </c>
      <c r="AE179" s="4" t="s">
        <v>1869</v>
      </c>
      <c r="AF179" s="2" t="s">
        <v>60</v>
      </c>
      <c r="AG179" s="4" t="s">
        <v>1870</v>
      </c>
      <c r="AH179" s="2" t="s">
        <v>61</v>
      </c>
      <c r="AI179" s="2" t="s">
        <v>61</v>
      </c>
      <c r="AJ179" s="2" t="s">
        <v>42</v>
      </c>
      <c r="AK179" s="2" t="s">
        <v>42</v>
      </c>
      <c r="AL179" s="28">
        <v>45868</v>
      </c>
      <c r="AM179" s="4" t="s">
        <v>42</v>
      </c>
      <c r="AN179" s="8" t="str">
        <f>HYPERLINK("https://my.pitchbook.com?p=282413-71P", "View People Online")</f>
        <v>View People Online</v>
      </c>
    </row>
    <row r="180" spans="1:40" x14ac:dyDescent="0.2">
      <c r="A180" s="3" t="s">
        <v>1871</v>
      </c>
      <c r="B180" s="3" t="s">
        <v>1872</v>
      </c>
      <c r="C180" s="3" t="s">
        <v>42</v>
      </c>
      <c r="D180" s="3" t="s">
        <v>42</v>
      </c>
      <c r="E180" s="3" t="s">
        <v>1871</v>
      </c>
      <c r="F180" s="3" t="s">
        <v>1873</v>
      </c>
      <c r="G180" s="3" t="s">
        <v>1874</v>
      </c>
      <c r="H180" s="3" t="s">
        <v>391</v>
      </c>
      <c r="I180" s="3" t="s">
        <v>46</v>
      </c>
      <c r="J180" s="3" t="s">
        <v>47</v>
      </c>
      <c r="K180" s="3" t="s">
        <v>1875</v>
      </c>
      <c r="L180" s="3" t="s">
        <v>111</v>
      </c>
      <c r="M180" s="9" t="str">
        <f>HYPERLINK("http://www.alandalus.com.sa", "www.alandalus.com.sa")</f>
        <v>www.alandalus.com.sa</v>
      </c>
      <c r="N180" s="3" t="s">
        <v>69</v>
      </c>
      <c r="O180" s="3" t="s">
        <v>42</v>
      </c>
      <c r="P180" s="3" t="s">
        <v>1876</v>
      </c>
      <c r="Q180" s="3" t="s">
        <v>42</v>
      </c>
      <c r="R180" s="17">
        <v>1</v>
      </c>
      <c r="S180" s="17">
        <v>1</v>
      </c>
      <c r="T180" s="17" t="s">
        <v>42</v>
      </c>
      <c r="U180" s="17" t="s">
        <v>42</v>
      </c>
      <c r="V180" s="17" t="s">
        <v>42</v>
      </c>
      <c r="W180" s="5" t="s">
        <v>1877</v>
      </c>
      <c r="X180" s="3" t="s">
        <v>1878</v>
      </c>
      <c r="Y180" s="3" t="s">
        <v>42</v>
      </c>
      <c r="Z180" s="3" t="s">
        <v>55</v>
      </c>
      <c r="AA180" s="3" t="s">
        <v>1879</v>
      </c>
      <c r="AB180" s="3" t="s">
        <v>42</v>
      </c>
      <c r="AC180" s="3" t="s">
        <v>58</v>
      </c>
      <c r="AD180" s="3" t="s">
        <v>42</v>
      </c>
      <c r="AE180" s="5" t="s">
        <v>1880</v>
      </c>
      <c r="AF180" s="3" t="s">
        <v>60</v>
      </c>
      <c r="AG180" s="5" t="s">
        <v>1881</v>
      </c>
      <c r="AH180" s="3" t="s">
        <v>61</v>
      </c>
      <c r="AI180" s="3" t="s">
        <v>61</v>
      </c>
      <c r="AJ180" s="3" t="s">
        <v>42</v>
      </c>
      <c r="AK180" s="3" t="s">
        <v>42</v>
      </c>
      <c r="AL180" s="29">
        <v>45870</v>
      </c>
      <c r="AM180" s="5" t="s">
        <v>42</v>
      </c>
      <c r="AN180" s="9" t="str">
        <f>HYPERLINK("https://my.pitchbook.com?p=329969-71P", "View People Online")</f>
        <v>View People Online</v>
      </c>
    </row>
    <row r="181" spans="1:40" x14ac:dyDescent="0.2">
      <c r="A181" s="2" t="s">
        <v>1882</v>
      </c>
      <c r="B181" s="2" t="s">
        <v>1883</v>
      </c>
      <c r="C181" s="2" t="s">
        <v>42</v>
      </c>
      <c r="D181" s="2" t="s">
        <v>42</v>
      </c>
      <c r="E181" s="2" t="s">
        <v>1882</v>
      </c>
      <c r="F181" s="2" t="s">
        <v>1884</v>
      </c>
      <c r="G181" s="2" t="s">
        <v>1885</v>
      </c>
      <c r="H181" s="2" t="s">
        <v>42</v>
      </c>
      <c r="I181" s="2" t="s">
        <v>46</v>
      </c>
      <c r="J181" s="2" t="s">
        <v>47</v>
      </c>
      <c r="K181" s="2" t="s">
        <v>1886</v>
      </c>
      <c r="L181" s="2" t="s">
        <v>111</v>
      </c>
      <c r="M181" s="8" t="str">
        <f>HYPERLINK("http://www.nams.sa", "www.nams.sa")</f>
        <v>www.nams.sa</v>
      </c>
      <c r="N181" s="2" t="s">
        <v>246</v>
      </c>
      <c r="O181" s="2" t="s">
        <v>42</v>
      </c>
      <c r="P181" s="2" t="s">
        <v>1887</v>
      </c>
      <c r="Q181" s="2" t="s">
        <v>128</v>
      </c>
      <c r="R181" s="16">
        <v>1</v>
      </c>
      <c r="S181" s="16">
        <v>1</v>
      </c>
      <c r="T181" s="16" t="s">
        <v>42</v>
      </c>
      <c r="U181" s="16" t="s">
        <v>42</v>
      </c>
      <c r="V181" s="16" t="s">
        <v>42</v>
      </c>
      <c r="W181" s="4" t="s">
        <v>1888</v>
      </c>
      <c r="X181" s="2" t="s">
        <v>42</v>
      </c>
      <c r="Y181" s="2" t="s">
        <v>42</v>
      </c>
      <c r="Z181" s="2" t="s">
        <v>782</v>
      </c>
      <c r="AA181" s="2" t="s">
        <v>1889</v>
      </c>
      <c r="AB181" s="2" t="s">
        <v>1890</v>
      </c>
      <c r="AC181" s="2" t="s">
        <v>785</v>
      </c>
      <c r="AD181" s="2" t="s">
        <v>42</v>
      </c>
      <c r="AE181" s="4" t="s">
        <v>1891</v>
      </c>
      <c r="AF181" s="2" t="s">
        <v>60</v>
      </c>
      <c r="AG181" s="4" t="s">
        <v>42</v>
      </c>
      <c r="AH181" s="2" t="s">
        <v>61</v>
      </c>
      <c r="AI181" s="2" t="s">
        <v>61</v>
      </c>
      <c r="AJ181" s="2" t="s">
        <v>42</v>
      </c>
      <c r="AK181" s="2" t="s">
        <v>42</v>
      </c>
      <c r="AL181" s="28">
        <v>45637</v>
      </c>
      <c r="AM181" s="4" t="s">
        <v>42</v>
      </c>
      <c r="AN181" s="8" t="str">
        <f>HYPERLINK("https://my.pitchbook.com?p=316147-33P", "View People Online")</f>
        <v>View People Online</v>
      </c>
    </row>
    <row r="182" spans="1:40" x14ac:dyDescent="0.2">
      <c r="A182" s="3" t="s">
        <v>1892</v>
      </c>
      <c r="B182" s="3" t="s">
        <v>1893</v>
      </c>
      <c r="C182" s="3" t="s">
        <v>42</v>
      </c>
      <c r="D182" s="3" t="s">
        <v>42</v>
      </c>
      <c r="E182" s="3" t="s">
        <v>1892</v>
      </c>
      <c r="F182" s="3" t="s">
        <v>1894</v>
      </c>
      <c r="G182" s="3" t="s">
        <v>1895</v>
      </c>
      <c r="H182" s="3" t="s">
        <v>1352</v>
      </c>
      <c r="I182" s="3" t="s">
        <v>46</v>
      </c>
      <c r="J182" s="3" t="s">
        <v>47</v>
      </c>
      <c r="K182" s="3" t="s">
        <v>569</v>
      </c>
      <c r="L182" s="3" t="s">
        <v>111</v>
      </c>
      <c r="M182" s="9" t="str">
        <f>HYPERLINK("http://www.alinma.com", "www.alinma.com")</f>
        <v>www.alinma.com</v>
      </c>
      <c r="N182" s="3" t="s">
        <v>534</v>
      </c>
      <c r="O182" s="3" t="s">
        <v>42</v>
      </c>
      <c r="P182" s="3" t="s">
        <v>1896</v>
      </c>
      <c r="Q182" s="3" t="s">
        <v>42</v>
      </c>
      <c r="R182" s="17" t="s">
        <v>42</v>
      </c>
      <c r="S182" s="17">
        <v>1</v>
      </c>
      <c r="T182" s="17">
        <v>1</v>
      </c>
      <c r="U182" s="17" t="s">
        <v>42</v>
      </c>
      <c r="V182" s="17" t="s">
        <v>42</v>
      </c>
      <c r="W182" s="5" t="s">
        <v>573</v>
      </c>
      <c r="X182" s="3" t="s">
        <v>42</v>
      </c>
      <c r="Y182" s="9" t="str">
        <f>HYPERLINK("http://linkedin.com/in/adel-abalkhail-3b87181a/", "http://linkedin.com/in/adel-abalkhail-3b87181a/")</f>
        <v>http://linkedin.com/in/adel-abalkhail-3b87181a/</v>
      </c>
      <c r="Z182" s="3" t="s">
        <v>55</v>
      </c>
      <c r="AA182" s="3" t="s">
        <v>574</v>
      </c>
      <c r="AB182" s="3" t="s">
        <v>575</v>
      </c>
      <c r="AC182" s="3" t="s">
        <v>58</v>
      </c>
      <c r="AD182" s="3" t="s">
        <v>42</v>
      </c>
      <c r="AE182" s="5" t="s">
        <v>576</v>
      </c>
      <c r="AF182" s="3" t="s">
        <v>60</v>
      </c>
      <c r="AG182" s="5" t="s">
        <v>577</v>
      </c>
      <c r="AH182" s="3" t="s">
        <v>61</v>
      </c>
      <c r="AI182" s="3" t="s">
        <v>61</v>
      </c>
      <c r="AJ182" s="3" t="s">
        <v>42</v>
      </c>
      <c r="AK182" s="3" t="s">
        <v>42</v>
      </c>
      <c r="AL182" s="29">
        <v>45951</v>
      </c>
      <c r="AM182" s="5">
        <v>1980</v>
      </c>
      <c r="AN182" s="9" t="str">
        <f>HYPERLINK("https://my.pitchbook.com?p=339662-08P", "View People Online")</f>
        <v>View People Online</v>
      </c>
    </row>
    <row r="183" spans="1:40" x14ac:dyDescent="0.2">
      <c r="A183" s="2" t="s">
        <v>1897</v>
      </c>
      <c r="B183" s="2" t="s">
        <v>1898</v>
      </c>
      <c r="C183" s="2" t="s">
        <v>42</v>
      </c>
      <c r="D183" s="2" t="s">
        <v>42</v>
      </c>
      <c r="E183" s="2" t="s">
        <v>1897</v>
      </c>
      <c r="F183" s="2" t="s">
        <v>1899</v>
      </c>
      <c r="G183" s="2" t="s">
        <v>1895</v>
      </c>
      <c r="H183" s="2" t="s">
        <v>42</v>
      </c>
      <c r="I183" s="2" t="s">
        <v>46</v>
      </c>
      <c r="J183" s="2" t="s">
        <v>47</v>
      </c>
      <c r="K183" s="2" t="s">
        <v>1900</v>
      </c>
      <c r="L183" s="2" t="s">
        <v>111</v>
      </c>
      <c r="M183" s="8" t="str">
        <f>HYPERLINK("http://www.saudiceramics.com", "www.saudiceramics.com")</f>
        <v>www.saudiceramics.com</v>
      </c>
      <c r="N183" s="2" t="s">
        <v>370</v>
      </c>
      <c r="O183" s="2" t="s">
        <v>42</v>
      </c>
      <c r="P183" s="2" t="s">
        <v>1901</v>
      </c>
      <c r="Q183" s="2" t="s">
        <v>42</v>
      </c>
      <c r="R183" s="16" t="s">
        <v>42</v>
      </c>
      <c r="S183" s="16">
        <v>1</v>
      </c>
      <c r="T183" s="16">
        <v>1</v>
      </c>
      <c r="U183" s="16" t="s">
        <v>42</v>
      </c>
      <c r="V183" s="16" t="s">
        <v>42</v>
      </c>
      <c r="W183" s="4" t="s">
        <v>1902</v>
      </c>
      <c r="X183" s="2" t="s">
        <v>1903</v>
      </c>
      <c r="Y183" s="2" t="s">
        <v>42</v>
      </c>
      <c r="Z183" s="2" t="s">
        <v>55</v>
      </c>
      <c r="AA183" s="2" t="s">
        <v>1904</v>
      </c>
      <c r="AB183" s="2" t="s">
        <v>1905</v>
      </c>
      <c r="AC183" s="2" t="s">
        <v>58</v>
      </c>
      <c r="AD183" s="2" t="s">
        <v>42</v>
      </c>
      <c r="AE183" s="4" t="s">
        <v>1906</v>
      </c>
      <c r="AF183" s="2" t="s">
        <v>60</v>
      </c>
      <c r="AG183" s="4" t="s">
        <v>1907</v>
      </c>
      <c r="AH183" s="2" t="s">
        <v>61</v>
      </c>
      <c r="AI183" s="2" t="s">
        <v>61</v>
      </c>
      <c r="AJ183" s="2" t="s">
        <v>42</v>
      </c>
      <c r="AK183" s="2" t="s">
        <v>42</v>
      </c>
      <c r="AL183" s="28">
        <v>45743</v>
      </c>
      <c r="AM183" s="4" t="s">
        <v>42</v>
      </c>
      <c r="AN183" s="8" t="str">
        <f>HYPERLINK("https://my.pitchbook.com?p=440018-56P", "View People Online")</f>
        <v>View People Online</v>
      </c>
    </row>
    <row r="184" spans="1:40" x14ac:dyDescent="0.2">
      <c r="A184" s="3" t="s">
        <v>1908</v>
      </c>
      <c r="B184" s="3" t="s">
        <v>1909</v>
      </c>
      <c r="C184" s="3" t="s">
        <v>42</v>
      </c>
      <c r="D184" s="3" t="s">
        <v>42</v>
      </c>
      <c r="E184" s="3" t="s">
        <v>1908</v>
      </c>
      <c r="F184" s="3" t="s">
        <v>1910</v>
      </c>
      <c r="G184" s="3" t="s">
        <v>1895</v>
      </c>
      <c r="H184" s="3" t="s">
        <v>1911</v>
      </c>
      <c r="I184" s="3" t="s">
        <v>46</v>
      </c>
      <c r="J184" s="3" t="s">
        <v>47</v>
      </c>
      <c r="K184" s="3" t="s">
        <v>1912</v>
      </c>
      <c r="L184" s="3" t="s">
        <v>111</v>
      </c>
      <c r="M184" s="9" t="str">
        <f>HYPERLINK("http://www.aicc.com.sa", "www.aicc.com.sa")</f>
        <v>www.aicc.com.sa</v>
      </c>
      <c r="N184" s="3" t="s">
        <v>1913</v>
      </c>
      <c r="O184" s="3" t="s">
        <v>42</v>
      </c>
      <c r="P184" s="3" t="s">
        <v>1914</v>
      </c>
      <c r="Q184" s="3" t="s">
        <v>42</v>
      </c>
      <c r="R184" s="17" t="s">
        <v>42</v>
      </c>
      <c r="S184" s="17">
        <v>1</v>
      </c>
      <c r="T184" s="17">
        <v>1</v>
      </c>
      <c r="U184" s="17" t="s">
        <v>42</v>
      </c>
      <c r="V184" s="17" t="s">
        <v>42</v>
      </c>
      <c r="W184" s="5" t="s">
        <v>1915</v>
      </c>
      <c r="X184" s="3" t="s">
        <v>1916</v>
      </c>
      <c r="Y184" s="9" t="str">
        <f>HYPERLINK("http://linkedin.com/in/adel-albayedh/", "http://linkedin.com/in/adel-albayedh/")</f>
        <v>http://linkedin.com/in/adel-albayedh/</v>
      </c>
      <c r="Z184" s="3" t="s">
        <v>55</v>
      </c>
      <c r="AA184" s="3" t="s">
        <v>1917</v>
      </c>
      <c r="AB184" s="3" t="s">
        <v>42</v>
      </c>
      <c r="AC184" s="3" t="s">
        <v>58</v>
      </c>
      <c r="AD184" s="3" t="s">
        <v>42</v>
      </c>
      <c r="AE184" s="5" t="s">
        <v>329</v>
      </c>
      <c r="AF184" s="3" t="s">
        <v>60</v>
      </c>
      <c r="AG184" s="5" t="s">
        <v>1918</v>
      </c>
      <c r="AH184" s="3" t="s">
        <v>61</v>
      </c>
      <c r="AI184" s="3" t="s">
        <v>61</v>
      </c>
      <c r="AJ184" s="3" t="s">
        <v>42</v>
      </c>
      <c r="AK184" s="3" t="s">
        <v>907</v>
      </c>
      <c r="AL184" s="29">
        <v>46052</v>
      </c>
      <c r="AM184" s="5" t="s">
        <v>42</v>
      </c>
      <c r="AN184" s="9" t="str">
        <f>HYPERLINK("https://my.pitchbook.com?p=339803-74P", "View People Online")</f>
        <v>View People Online</v>
      </c>
    </row>
    <row r="185" spans="1:40" x14ac:dyDescent="0.2">
      <c r="A185" s="2" t="s">
        <v>1919</v>
      </c>
      <c r="B185" s="2" t="s">
        <v>1920</v>
      </c>
      <c r="C185" s="2" t="s">
        <v>42</v>
      </c>
      <c r="D185" s="2" t="s">
        <v>42</v>
      </c>
      <c r="E185" s="2" t="s">
        <v>1919</v>
      </c>
      <c r="F185" s="2" t="s">
        <v>1921</v>
      </c>
      <c r="G185" s="2" t="s">
        <v>1895</v>
      </c>
      <c r="H185" s="2" t="s">
        <v>543</v>
      </c>
      <c r="I185" s="2" t="s">
        <v>46</v>
      </c>
      <c r="J185" s="2" t="s">
        <v>47</v>
      </c>
      <c r="K185" s="2" t="s">
        <v>1922</v>
      </c>
      <c r="L185" s="2" t="s">
        <v>111</v>
      </c>
      <c r="M185" s="8" t="str">
        <f>HYPERLINK("http://www.mbg.sa", "www.mbg.sa")</f>
        <v>www.mbg.sa</v>
      </c>
      <c r="N185" s="2" t="s">
        <v>246</v>
      </c>
      <c r="O185" s="2" t="s">
        <v>42</v>
      </c>
      <c r="P185" s="2" t="s">
        <v>1923</v>
      </c>
      <c r="Q185" s="2" t="s">
        <v>128</v>
      </c>
      <c r="R185" s="16">
        <v>1</v>
      </c>
      <c r="S185" s="16">
        <v>1</v>
      </c>
      <c r="T185" s="16">
        <v>1</v>
      </c>
      <c r="U185" s="16" t="s">
        <v>42</v>
      </c>
      <c r="V185" s="16" t="s">
        <v>42</v>
      </c>
      <c r="W185" s="4" t="s">
        <v>1924</v>
      </c>
      <c r="X185" s="2" t="s">
        <v>1925</v>
      </c>
      <c r="Y185" s="2" t="s">
        <v>42</v>
      </c>
      <c r="Z185" s="2" t="s">
        <v>55</v>
      </c>
      <c r="AA185" s="2" t="s">
        <v>1926</v>
      </c>
      <c r="AB185" s="2" t="s">
        <v>1927</v>
      </c>
      <c r="AC185" s="2" t="s">
        <v>58</v>
      </c>
      <c r="AD185" s="2" t="s">
        <v>42</v>
      </c>
      <c r="AE185" s="4" t="s">
        <v>42</v>
      </c>
      <c r="AF185" s="2" t="s">
        <v>60</v>
      </c>
      <c r="AG185" s="4" t="s">
        <v>42</v>
      </c>
      <c r="AH185" s="2" t="s">
        <v>61</v>
      </c>
      <c r="AI185" s="2" t="s">
        <v>61</v>
      </c>
      <c r="AJ185" s="2" t="s">
        <v>42</v>
      </c>
      <c r="AK185" s="2" t="s">
        <v>42</v>
      </c>
      <c r="AL185" s="28">
        <v>45595</v>
      </c>
      <c r="AM185" s="4" t="s">
        <v>42</v>
      </c>
      <c r="AN185" s="8" t="str">
        <f>HYPERLINK("https://my.pitchbook.com?p=419441-05P", "View People Online")</f>
        <v>View People Online</v>
      </c>
    </row>
    <row r="186" spans="1:40" x14ac:dyDescent="0.2">
      <c r="A186" s="3" t="s">
        <v>1928</v>
      </c>
      <c r="B186" s="3" t="s">
        <v>1929</v>
      </c>
      <c r="C186" s="3" t="s">
        <v>42</v>
      </c>
      <c r="D186" s="3" t="s">
        <v>42</v>
      </c>
      <c r="E186" s="3" t="s">
        <v>1928</v>
      </c>
      <c r="F186" s="3" t="s">
        <v>1930</v>
      </c>
      <c r="G186" s="3" t="s">
        <v>1895</v>
      </c>
      <c r="H186" s="3" t="s">
        <v>195</v>
      </c>
      <c r="I186" s="3" t="s">
        <v>46</v>
      </c>
      <c r="J186" s="3" t="s">
        <v>47</v>
      </c>
      <c r="K186" s="3" t="s">
        <v>1697</v>
      </c>
      <c r="L186" s="3" t="s">
        <v>111</v>
      </c>
      <c r="M186" s="9" t="str">
        <f>HYPERLINK("http://www.almodawat.sa", "www.almodawat.sa")</f>
        <v>www.almodawat.sa</v>
      </c>
      <c r="N186" s="3" t="s">
        <v>534</v>
      </c>
      <c r="O186" s="3" t="s">
        <v>42</v>
      </c>
      <c r="P186" s="3" t="s">
        <v>1931</v>
      </c>
      <c r="Q186" s="3" t="s">
        <v>42</v>
      </c>
      <c r="R186" s="17" t="s">
        <v>42</v>
      </c>
      <c r="S186" s="17">
        <v>1</v>
      </c>
      <c r="T186" s="17">
        <v>1</v>
      </c>
      <c r="U186" s="17" t="s">
        <v>42</v>
      </c>
      <c r="V186" s="17" t="s">
        <v>42</v>
      </c>
      <c r="W186" s="5" t="s">
        <v>1699</v>
      </c>
      <c r="X186" s="3" t="s">
        <v>42</v>
      </c>
      <c r="Y186" s="3" t="s">
        <v>42</v>
      </c>
      <c r="Z186" s="3" t="s">
        <v>1700</v>
      </c>
      <c r="AA186" s="3" t="s">
        <v>1701</v>
      </c>
      <c r="AB186" s="3" t="s">
        <v>42</v>
      </c>
      <c r="AC186" s="3" t="s">
        <v>1702</v>
      </c>
      <c r="AD186" s="3" t="s">
        <v>42</v>
      </c>
      <c r="AE186" s="5" t="s">
        <v>42</v>
      </c>
      <c r="AF186" s="3" t="s">
        <v>60</v>
      </c>
      <c r="AG186" s="5" t="s">
        <v>42</v>
      </c>
      <c r="AH186" s="3" t="s">
        <v>61</v>
      </c>
      <c r="AI186" s="3" t="s">
        <v>61</v>
      </c>
      <c r="AJ186" s="3" t="s">
        <v>42</v>
      </c>
      <c r="AK186" s="3" t="s">
        <v>42</v>
      </c>
      <c r="AL186" s="29">
        <v>45972</v>
      </c>
      <c r="AM186" s="5" t="s">
        <v>42</v>
      </c>
      <c r="AN186" s="9" t="str">
        <f>HYPERLINK("https://my.pitchbook.com?p=387057-97P", "View People Online")</f>
        <v>View People Online</v>
      </c>
    </row>
    <row r="187" spans="1:40" x14ac:dyDescent="0.2">
      <c r="A187" s="2" t="s">
        <v>1932</v>
      </c>
      <c r="B187" s="2" t="s">
        <v>1933</v>
      </c>
      <c r="C187" s="2" t="s">
        <v>42</v>
      </c>
      <c r="D187" s="2" t="s">
        <v>42</v>
      </c>
      <c r="E187" s="2" t="s">
        <v>1932</v>
      </c>
      <c r="F187" s="2" t="s">
        <v>1934</v>
      </c>
      <c r="G187" s="2" t="s">
        <v>1935</v>
      </c>
      <c r="H187" s="2" t="s">
        <v>1936</v>
      </c>
      <c r="I187" s="2" t="s">
        <v>46</v>
      </c>
      <c r="J187" s="2" t="s">
        <v>47</v>
      </c>
      <c r="K187" s="2" t="s">
        <v>1937</v>
      </c>
      <c r="L187" s="2" t="s">
        <v>111</v>
      </c>
      <c r="M187" s="8" t="str">
        <f>HYPERLINK("http://www.itmam.sa", "www.itmam.sa")</f>
        <v>www.itmam.sa</v>
      </c>
      <c r="N187" s="2" t="s">
        <v>447</v>
      </c>
      <c r="O187" s="2" t="s">
        <v>42</v>
      </c>
      <c r="P187" s="2" t="s">
        <v>1938</v>
      </c>
      <c r="Q187" s="2" t="s">
        <v>42</v>
      </c>
      <c r="R187" s="16" t="s">
        <v>42</v>
      </c>
      <c r="S187" s="16">
        <v>1</v>
      </c>
      <c r="T187" s="16">
        <v>1</v>
      </c>
      <c r="U187" s="16" t="s">
        <v>42</v>
      </c>
      <c r="V187" s="16" t="s">
        <v>42</v>
      </c>
      <c r="W187" s="4" t="s">
        <v>1939</v>
      </c>
      <c r="X187" s="2" t="s">
        <v>42</v>
      </c>
      <c r="Y187" s="2" t="s">
        <v>42</v>
      </c>
      <c r="Z187" s="2" t="s">
        <v>55</v>
      </c>
      <c r="AA187" s="2" t="s">
        <v>1940</v>
      </c>
      <c r="AB187" s="2" t="s">
        <v>1941</v>
      </c>
      <c r="AC187" s="2" t="s">
        <v>58</v>
      </c>
      <c r="AD187" s="2" t="s">
        <v>42</v>
      </c>
      <c r="AE187" s="4" t="s">
        <v>42</v>
      </c>
      <c r="AF187" s="2" t="s">
        <v>60</v>
      </c>
      <c r="AG187" s="4" t="s">
        <v>42</v>
      </c>
      <c r="AH187" s="2" t="s">
        <v>61</v>
      </c>
      <c r="AI187" s="2" t="s">
        <v>61</v>
      </c>
      <c r="AJ187" s="2" t="s">
        <v>42</v>
      </c>
      <c r="AK187" s="2" t="s">
        <v>42</v>
      </c>
      <c r="AL187" s="28">
        <v>45645</v>
      </c>
      <c r="AM187" s="4" t="s">
        <v>42</v>
      </c>
      <c r="AN187" s="8" t="str">
        <f>HYPERLINK("https://my.pitchbook.com?p=425683-63P", "View People Online")</f>
        <v>View People Online</v>
      </c>
    </row>
    <row r="188" spans="1:40" x14ac:dyDescent="0.2">
      <c r="A188" s="3" t="s">
        <v>1942</v>
      </c>
      <c r="B188" s="3" t="s">
        <v>1943</v>
      </c>
      <c r="C188" s="3" t="s">
        <v>42</v>
      </c>
      <c r="D188" s="3" t="s">
        <v>42</v>
      </c>
      <c r="E188" s="3" t="s">
        <v>1942</v>
      </c>
      <c r="F188" s="3" t="s">
        <v>1944</v>
      </c>
      <c r="G188" s="3" t="s">
        <v>1945</v>
      </c>
      <c r="H188" s="3" t="s">
        <v>42</v>
      </c>
      <c r="I188" s="3" t="s">
        <v>46</v>
      </c>
      <c r="J188" s="3" t="s">
        <v>47</v>
      </c>
      <c r="K188" s="3" t="s">
        <v>80</v>
      </c>
      <c r="L188" s="3" t="s">
        <v>81</v>
      </c>
      <c r="M188" s="9" t="str">
        <f>HYPERLINK("http://jadwa.com", "jadwa.com")</f>
        <v>jadwa.com</v>
      </c>
      <c r="N188" s="3" t="s">
        <v>139</v>
      </c>
      <c r="O188" s="3" t="s">
        <v>42</v>
      </c>
      <c r="P188" s="3" t="s">
        <v>1946</v>
      </c>
      <c r="Q188" s="3" t="s">
        <v>155</v>
      </c>
      <c r="R188" s="17">
        <v>1</v>
      </c>
      <c r="S188" s="17">
        <v>1</v>
      </c>
      <c r="T188" s="17" t="s">
        <v>42</v>
      </c>
      <c r="U188" s="17" t="s">
        <v>42</v>
      </c>
      <c r="V188" s="17" t="s">
        <v>42</v>
      </c>
      <c r="W188" s="5" t="s">
        <v>85</v>
      </c>
      <c r="X188" s="3" t="s">
        <v>42</v>
      </c>
      <c r="Y188" s="3" t="s">
        <v>42</v>
      </c>
      <c r="Z188" s="3" t="s">
        <v>55</v>
      </c>
      <c r="AA188" s="3" t="s">
        <v>87</v>
      </c>
      <c r="AB188" s="3" t="s">
        <v>88</v>
      </c>
      <c r="AC188" s="3" t="s">
        <v>58</v>
      </c>
      <c r="AD188" s="3" t="s">
        <v>42</v>
      </c>
      <c r="AE188" s="5" t="s">
        <v>89</v>
      </c>
      <c r="AF188" s="3" t="s">
        <v>60</v>
      </c>
      <c r="AG188" s="5" t="s">
        <v>90</v>
      </c>
      <c r="AH188" s="3" t="s">
        <v>61</v>
      </c>
      <c r="AI188" s="3" t="s">
        <v>61</v>
      </c>
      <c r="AJ188" s="3" t="s">
        <v>42</v>
      </c>
      <c r="AK188" s="3" t="s">
        <v>42</v>
      </c>
      <c r="AL188" s="29">
        <v>45909</v>
      </c>
      <c r="AM188" s="5" t="s">
        <v>42</v>
      </c>
      <c r="AN188" s="9" t="str">
        <f>HYPERLINK("https://my.pitchbook.com?p=72971-47P", "View People Online")</f>
        <v>View People Online</v>
      </c>
    </row>
    <row r="189" spans="1:40" x14ac:dyDescent="0.2">
      <c r="A189" s="2" t="s">
        <v>1947</v>
      </c>
      <c r="B189" s="2" t="s">
        <v>1948</v>
      </c>
      <c r="C189" s="2" t="s">
        <v>42</v>
      </c>
      <c r="D189" s="2" t="s">
        <v>42</v>
      </c>
      <c r="E189" s="2" t="s">
        <v>1947</v>
      </c>
      <c r="F189" s="2" t="s">
        <v>1949</v>
      </c>
      <c r="G189" s="2" t="s">
        <v>1950</v>
      </c>
      <c r="H189" s="2" t="s">
        <v>42</v>
      </c>
      <c r="I189" s="2" t="s">
        <v>42</v>
      </c>
      <c r="J189" s="2" t="s">
        <v>42</v>
      </c>
      <c r="K189" s="2" t="s">
        <v>1951</v>
      </c>
      <c r="L189" s="2" t="s">
        <v>111</v>
      </c>
      <c r="M189" s="8" t="str">
        <f>HYPERLINK("http://www.lazurde.com", "www.lazurde.com")</f>
        <v>www.lazurde.com</v>
      </c>
      <c r="N189" s="2" t="s">
        <v>447</v>
      </c>
      <c r="O189" s="2" t="s">
        <v>42</v>
      </c>
      <c r="P189" s="2" t="s">
        <v>1952</v>
      </c>
      <c r="Q189" s="2" t="s">
        <v>42</v>
      </c>
      <c r="R189" s="16" t="s">
        <v>42</v>
      </c>
      <c r="S189" s="16">
        <v>1</v>
      </c>
      <c r="T189" s="16">
        <v>1</v>
      </c>
      <c r="U189" s="16" t="s">
        <v>42</v>
      </c>
      <c r="V189" s="16" t="s">
        <v>42</v>
      </c>
      <c r="W189" s="4" t="s">
        <v>1953</v>
      </c>
      <c r="X189" s="2" t="s">
        <v>1954</v>
      </c>
      <c r="Y189" s="8" t="str">
        <f>HYPERLINK("http://sa.linkedin.com/in/adnan-alkhalaf-b8496416", "http://sa.linkedin.com/in/adnan-alkhalaf-b8496416")</f>
        <v>http://sa.linkedin.com/in/adnan-alkhalaf-b8496416</v>
      </c>
      <c r="Z189" s="2" t="s">
        <v>55</v>
      </c>
      <c r="AA189" s="2" t="s">
        <v>1955</v>
      </c>
      <c r="AB189" s="2" t="s">
        <v>1956</v>
      </c>
      <c r="AC189" s="2" t="s">
        <v>58</v>
      </c>
      <c r="AD189" s="2" t="s">
        <v>42</v>
      </c>
      <c r="AE189" s="4" t="s">
        <v>1957</v>
      </c>
      <c r="AF189" s="2" t="s">
        <v>60</v>
      </c>
      <c r="AG189" s="4" t="s">
        <v>1958</v>
      </c>
      <c r="AH189" s="2" t="s">
        <v>61</v>
      </c>
      <c r="AI189" s="2" t="s">
        <v>61</v>
      </c>
      <c r="AJ189" s="2" t="s">
        <v>42</v>
      </c>
      <c r="AK189" s="2" t="s">
        <v>42</v>
      </c>
      <c r="AL189" s="28">
        <v>45735</v>
      </c>
      <c r="AM189" s="4" t="s">
        <v>42</v>
      </c>
      <c r="AN189" s="8" t="str">
        <f>HYPERLINK("https://my.pitchbook.com?p=438586-84P", "View People Online")</f>
        <v>View People Online</v>
      </c>
    </row>
    <row r="190" spans="1:40" x14ac:dyDescent="0.2">
      <c r="A190" s="3" t="s">
        <v>1959</v>
      </c>
      <c r="B190" s="3" t="s">
        <v>1960</v>
      </c>
      <c r="C190" s="3" t="s">
        <v>42</v>
      </c>
      <c r="D190" s="3" t="s">
        <v>42</v>
      </c>
      <c r="E190" s="3" t="s">
        <v>1959</v>
      </c>
      <c r="F190" s="3" t="s">
        <v>1961</v>
      </c>
      <c r="G190" s="3" t="s">
        <v>1950</v>
      </c>
      <c r="H190" s="3" t="s">
        <v>1962</v>
      </c>
      <c r="I190" s="3" t="s">
        <v>46</v>
      </c>
      <c r="J190" s="3" t="s">
        <v>47</v>
      </c>
      <c r="K190" s="3" t="s">
        <v>1554</v>
      </c>
      <c r="L190" s="3" t="s">
        <v>111</v>
      </c>
      <c r="M190" s="9" t="str">
        <f>HYPERLINK("http://www.amlakint.com", "www.amlakint.com")</f>
        <v>www.amlakint.com</v>
      </c>
      <c r="N190" s="3" t="s">
        <v>210</v>
      </c>
      <c r="O190" s="3" t="s">
        <v>42</v>
      </c>
      <c r="P190" s="3" t="s">
        <v>1963</v>
      </c>
      <c r="Q190" s="3" t="s">
        <v>42</v>
      </c>
      <c r="R190" s="17" t="s">
        <v>42</v>
      </c>
      <c r="S190" s="17">
        <v>1</v>
      </c>
      <c r="T190" s="17">
        <v>1</v>
      </c>
      <c r="U190" s="17" t="s">
        <v>42</v>
      </c>
      <c r="V190" s="17" t="s">
        <v>42</v>
      </c>
      <c r="W190" s="5" t="s">
        <v>1556</v>
      </c>
      <c r="X190" s="3" t="s">
        <v>1964</v>
      </c>
      <c r="Y190" s="9" t="str">
        <f>HYPERLINK("http://linkedin.com/in/adnanalshobely/?originalsubdomain=sa", "http://linkedin.com/in/adnanalshobely/?originalsubdomain=sa")</f>
        <v>http://linkedin.com/in/adnanalshobely/?originalsubdomain=sa</v>
      </c>
      <c r="Z190" s="3" t="s">
        <v>1558</v>
      </c>
      <c r="AA190" s="3" t="s">
        <v>1559</v>
      </c>
      <c r="AB190" s="3" t="s">
        <v>1560</v>
      </c>
      <c r="AC190" s="3" t="s">
        <v>1561</v>
      </c>
      <c r="AD190" s="3" t="s">
        <v>42</v>
      </c>
      <c r="AE190" s="5" t="s">
        <v>42</v>
      </c>
      <c r="AF190" s="3" t="s">
        <v>60</v>
      </c>
      <c r="AG190" s="5" t="s">
        <v>1562</v>
      </c>
      <c r="AH190" s="3" t="s">
        <v>61</v>
      </c>
      <c r="AI190" s="3" t="s">
        <v>61</v>
      </c>
      <c r="AJ190" s="3" t="s">
        <v>42</v>
      </c>
      <c r="AK190" s="3" t="s">
        <v>42</v>
      </c>
      <c r="AL190" s="29">
        <v>45820</v>
      </c>
      <c r="AM190" s="5" t="s">
        <v>42</v>
      </c>
      <c r="AN190" s="9" t="str">
        <f>HYPERLINK("https://my.pitchbook.com?p=355713-04P", "View People Online")</f>
        <v>View People Online</v>
      </c>
    </row>
    <row r="191" spans="1:40" x14ac:dyDescent="0.2">
      <c r="A191" s="2" t="s">
        <v>1965</v>
      </c>
      <c r="B191" s="2" t="s">
        <v>1966</v>
      </c>
      <c r="C191" s="2" t="s">
        <v>42</v>
      </c>
      <c r="D191" s="2" t="s">
        <v>42</v>
      </c>
      <c r="E191" s="2" t="s">
        <v>1965</v>
      </c>
      <c r="F191" s="2" t="s">
        <v>1967</v>
      </c>
      <c r="G191" s="2" t="s">
        <v>1950</v>
      </c>
      <c r="H191" s="2" t="s">
        <v>42</v>
      </c>
      <c r="I191" s="2" t="s">
        <v>46</v>
      </c>
      <c r="J191" s="2" t="s">
        <v>47</v>
      </c>
      <c r="K191" s="2" t="s">
        <v>1968</v>
      </c>
      <c r="L191" s="2" t="s">
        <v>111</v>
      </c>
      <c r="M191" s="8" t="str">
        <f>HYPERLINK("http://www.leejam.com.sa", "www.leejam.com.sa")</f>
        <v>www.leejam.com.sa</v>
      </c>
      <c r="N191" s="2" t="s">
        <v>210</v>
      </c>
      <c r="O191" s="2" t="s">
        <v>42</v>
      </c>
      <c r="P191" s="2" t="s">
        <v>1969</v>
      </c>
      <c r="Q191" s="2" t="s">
        <v>42</v>
      </c>
      <c r="R191" s="16" t="s">
        <v>42</v>
      </c>
      <c r="S191" s="16">
        <v>1</v>
      </c>
      <c r="T191" s="16">
        <v>1</v>
      </c>
      <c r="U191" s="16" t="s">
        <v>42</v>
      </c>
      <c r="V191" s="16" t="s">
        <v>42</v>
      </c>
      <c r="W191" s="4" t="s">
        <v>1970</v>
      </c>
      <c r="X191" s="2" t="s">
        <v>1971</v>
      </c>
      <c r="Y191" s="8" t="str">
        <f>HYPERLINK("http://linkedin.com/in/adnan-alkhalaf-b8496416/", "http://linkedin.com/in/adnan-alkhalaf-b8496416/")</f>
        <v>http://linkedin.com/in/adnan-alkhalaf-b8496416/</v>
      </c>
      <c r="Z191" s="2" t="s">
        <v>55</v>
      </c>
      <c r="AA191" s="2" t="s">
        <v>1972</v>
      </c>
      <c r="AB191" s="2" t="s">
        <v>1973</v>
      </c>
      <c r="AC191" s="2" t="s">
        <v>58</v>
      </c>
      <c r="AD191" s="2" t="s">
        <v>1974</v>
      </c>
      <c r="AE191" s="4" t="s">
        <v>618</v>
      </c>
      <c r="AF191" s="2" t="s">
        <v>60</v>
      </c>
      <c r="AG191" s="4" t="s">
        <v>1975</v>
      </c>
      <c r="AH191" s="2" t="s">
        <v>61</v>
      </c>
      <c r="AI191" s="2" t="s">
        <v>61</v>
      </c>
      <c r="AJ191" s="2" t="s">
        <v>42</v>
      </c>
      <c r="AK191" s="2" t="s">
        <v>42</v>
      </c>
      <c r="AL191" s="28">
        <v>46055</v>
      </c>
      <c r="AM191" s="4">
        <v>1978</v>
      </c>
      <c r="AN191" s="8" t="str">
        <f>HYPERLINK("https://my.pitchbook.com?p=343980-64P", "View People Online")</f>
        <v>View People Online</v>
      </c>
    </row>
    <row r="192" spans="1:40" x14ac:dyDescent="0.2">
      <c r="A192" s="3" t="s">
        <v>1976</v>
      </c>
      <c r="B192" s="3" t="s">
        <v>1977</v>
      </c>
      <c r="C192" s="3" t="s">
        <v>42</v>
      </c>
      <c r="D192" s="3" t="s">
        <v>42</v>
      </c>
      <c r="E192" s="3" t="s">
        <v>1976</v>
      </c>
      <c r="F192" s="3" t="s">
        <v>1978</v>
      </c>
      <c r="G192" s="3" t="s">
        <v>1950</v>
      </c>
      <c r="H192" s="3" t="s">
        <v>42</v>
      </c>
      <c r="I192" s="3" t="s">
        <v>46</v>
      </c>
      <c r="J192" s="3" t="s">
        <v>47</v>
      </c>
      <c r="K192" s="3" t="s">
        <v>603</v>
      </c>
      <c r="L192" s="3" t="s">
        <v>604</v>
      </c>
      <c r="M192" s="9" t="str">
        <f>HYPERLINK("http://www.smasco.com", "www.smasco.com")</f>
        <v>www.smasco.com</v>
      </c>
      <c r="N192" s="3" t="s">
        <v>534</v>
      </c>
      <c r="O192" s="3" t="s">
        <v>42</v>
      </c>
      <c r="P192" s="3" t="s">
        <v>1979</v>
      </c>
      <c r="Q192" s="3" t="s">
        <v>42</v>
      </c>
      <c r="R192" s="17" t="s">
        <v>42</v>
      </c>
      <c r="S192" s="17">
        <v>1</v>
      </c>
      <c r="T192" s="17">
        <v>1</v>
      </c>
      <c r="U192" s="17" t="s">
        <v>42</v>
      </c>
      <c r="V192" s="17" t="s">
        <v>42</v>
      </c>
      <c r="W192" s="5" t="s">
        <v>606</v>
      </c>
      <c r="X192" s="3" t="s">
        <v>1980</v>
      </c>
      <c r="Y192" s="3" t="s">
        <v>42</v>
      </c>
      <c r="Z192" s="3" t="s">
        <v>55</v>
      </c>
      <c r="AA192" s="3" t="s">
        <v>607</v>
      </c>
      <c r="AB192" s="3" t="s">
        <v>608</v>
      </c>
      <c r="AC192" s="3" t="s">
        <v>58</v>
      </c>
      <c r="AD192" s="3" t="s">
        <v>42</v>
      </c>
      <c r="AE192" s="5" t="s">
        <v>75</v>
      </c>
      <c r="AF192" s="3" t="s">
        <v>60</v>
      </c>
      <c r="AG192" s="5" t="s">
        <v>609</v>
      </c>
      <c r="AH192" s="3" t="s">
        <v>61</v>
      </c>
      <c r="AI192" s="3" t="s">
        <v>61</v>
      </c>
      <c r="AJ192" s="3" t="s">
        <v>42</v>
      </c>
      <c r="AK192" s="3" t="s">
        <v>42</v>
      </c>
      <c r="AL192" s="29">
        <v>45921</v>
      </c>
      <c r="AM192" s="5" t="s">
        <v>42</v>
      </c>
      <c r="AN192" s="9" t="str">
        <f>HYPERLINK("https://my.pitchbook.com?p=401227-39P", "View People Online")</f>
        <v>View People Online</v>
      </c>
    </row>
    <row r="193" spans="1:40" x14ac:dyDescent="0.2">
      <c r="A193" s="2" t="s">
        <v>1981</v>
      </c>
      <c r="B193" s="2" t="s">
        <v>1982</v>
      </c>
      <c r="C193" s="2" t="s">
        <v>42</v>
      </c>
      <c r="D193" s="2" t="s">
        <v>42</v>
      </c>
      <c r="E193" s="2" t="s">
        <v>1981</v>
      </c>
      <c r="F193" s="2" t="s">
        <v>284</v>
      </c>
      <c r="G193" s="2" t="s">
        <v>1950</v>
      </c>
      <c r="H193" s="2" t="s">
        <v>42</v>
      </c>
      <c r="I193" s="2" t="s">
        <v>46</v>
      </c>
      <c r="J193" s="2" t="s">
        <v>47</v>
      </c>
      <c r="K193" s="2" t="s">
        <v>1983</v>
      </c>
      <c r="L193" s="2" t="s">
        <v>111</v>
      </c>
      <c r="M193" s="8" t="str">
        <f>HYPERLINK("http://www.drc.net.sa", "www.drc.net.sa")</f>
        <v>www.drc.net.sa</v>
      </c>
      <c r="N193" s="2" t="s">
        <v>534</v>
      </c>
      <c r="O193" s="2" t="s">
        <v>42</v>
      </c>
      <c r="P193" s="2" t="s">
        <v>1984</v>
      </c>
      <c r="Q193" s="2" t="s">
        <v>42</v>
      </c>
      <c r="R193" s="16" t="s">
        <v>42</v>
      </c>
      <c r="S193" s="16">
        <v>1</v>
      </c>
      <c r="T193" s="16">
        <v>1</v>
      </c>
      <c r="U193" s="16" t="s">
        <v>42</v>
      </c>
      <c r="V193" s="16" t="s">
        <v>42</v>
      </c>
      <c r="W193" s="4" t="s">
        <v>1985</v>
      </c>
      <c r="X193" s="2" t="s">
        <v>1986</v>
      </c>
      <c r="Y193" s="2" t="s">
        <v>42</v>
      </c>
      <c r="Z193" s="2" t="s">
        <v>55</v>
      </c>
      <c r="AA193" s="2" t="s">
        <v>1987</v>
      </c>
      <c r="AB193" s="2" t="s">
        <v>1988</v>
      </c>
      <c r="AC193" s="2" t="s">
        <v>58</v>
      </c>
      <c r="AD193" s="2" t="s">
        <v>42</v>
      </c>
      <c r="AE193" s="4" t="s">
        <v>42</v>
      </c>
      <c r="AF193" s="2" t="s">
        <v>60</v>
      </c>
      <c r="AG193" s="4" t="s">
        <v>42</v>
      </c>
      <c r="AH193" s="2" t="s">
        <v>61</v>
      </c>
      <c r="AI193" s="2" t="s">
        <v>61</v>
      </c>
      <c r="AJ193" s="2" t="s">
        <v>42</v>
      </c>
      <c r="AK193" s="2" t="s">
        <v>42</v>
      </c>
      <c r="AL193" s="28">
        <v>45660</v>
      </c>
      <c r="AM193" s="4" t="s">
        <v>42</v>
      </c>
      <c r="AN193" s="8" t="str">
        <f>HYPERLINK("https://my.pitchbook.com?p=426151-45P", "View People Online")</f>
        <v>View People Online</v>
      </c>
    </row>
    <row r="194" spans="1:40" x14ac:dyDescent="0.2">
      <c r="A194" s="3" t="s">
        <v>1989</v>
      </c>
      <c r="B194" s="3" t="s">
        <v>1990</v>
      </c>
      <c r="C194" s="3" t="s">
        <v>42</v>
      </c>
      <c r="D194" s="3" t="s">
        <v>42</v>
      </c>
      <c r="E194" s="3" t="s">
        <v>1989</v>
      </c>
      <c r="F194" s="3" t="s">
        <v>1991</v>
      </c>
      <c r="G194" s="3" t="s">
        <v>885</v>
      </c>
      <c r="H194" s="3" t="s">
        <v>42</v>
      </c>
      <c r="I194" s="3" t="s">
        <v>46</v>
      </c>
      <c r="J194" s="3" t="s">
        <v>47</v>
      </c>
      <c r="K194" s="3" t="s">
        <v>1992</v>
      </c>
      <c r="L194" s="3" t="s">
        <v>111</v>
      </c>
      <c r="M194" s="9" t="str">
        <f>HYPERLINK("http://www.cenomiretail.com", "www.cenomiretail.com")</f>
        <v>www.cenomiretail.com</v>
      </c>
      <c r="N194" s="3" t="s">
        <v>1993</v>
      </c>
      <c r="O194" s="3" t="s">
        <v>42</v>
      </c>
      <c r="P194" s="3" t="s">
        <v>1994</v>
      </c>
      <c r="Q194" s="3" t="s">
        <v>42</v>
      </c>
      <c r="R194" s="17" t="s">
        <v>42</v>
      </c>
      <c r="S194" s="17">
        <v>1</v>
      </c>
      <c r="T194" s="17">
        <v>1</v>
      </c>
      <c r="U194" s="17" t="s">
        <v>42</v>
      </c>
      <c r="V194" s="17" t="s">
        <v>42</v>
      </c>
      <c r="W194" s="5" t="s">
        <v>1995</v>
      </c>
      <c r="X194" s="3" t="s">
        <v>1996</v>
      </c>
      <c r="Y194" s="9" t="str">
        <f>HYPERLINK("http://linkedin.com/in/ahmad-abdelkareem-48a98838/?originalsubdomain=sa", "http://linkedin.com/in/ahmad-abdelkareem-48a98838/?originalsubdomain=sa")</f>
        <v>http://linkedin.com/in/ahmad-abdelkareem-48a98838/?originalsubdomain=sa</v>
      </c>
      <c r="Z194" s="3" t="s">
        <v>55</v>
      </c>
      <c r="AA194" s="3" t="s">
        <v>1997</v>
      </c>
      <c r="AB194" s="3" t="s">
        <v>1998</v>
      </c>
      <c r="AC194" s="3" t="s">
        <v>58</v>
      </c>
      <c r="AD194" s="3" t="s">
        <v>42</v>
      </c>
      <c r="AE194" s="5" t="s">
        <v>1999</v>
      </c>
      <c r="AF194" s="3" t="s">
        <v>60</v>
      </c>
      <c r="AG194" s="5" t="s">
        <v>1995</v>
      </c>
      <c r="AH194" s="3" t="s">
        <v>61</v>
      </c>
      <c r="AI194" s="3" t="s">
        <v>61</v>
      </c>
      <c r="AJ194" s="3" t="s">
        <v>42</v>
      </c>
      <c r="AK194" s="3" t="s">
        <v>42</v>
      </c>
      <c r="AL194" s="29">
        <v>45814</v>
      </c>
      <c r="AM194" s="5" t="s">
        <v>42</v>
      </c>
      <c r="AN194" s="9" t="str">
        <f>HYPERLINK("https://my.pitchbook.com?p=437085-37P", "View People Online")</f>
        <v>View People Online</v>
      </c>
    </row>
    <row r="195" spans="1:40" x14ac:dyDescent="0.2">
      <c r="A195" s="2" t="s">
        <v>2000</v>
      </c>
      <c r="B195" s="2" t="s">
        <v>2001</v>
      </c>
      <c r="C195" s="2" t="s">
        <v>42</v>
      </c>
      <c r="D195" s="2" t="s">
        <v>42</v>
      </c>
      <c r="E195" s="2" t="s">
        <v>2000</v>
      </c>
      <c r="F195" s="2" t="s">
        <v>2002</v>
      </c>
      <c r="G195" s="2" t="s">
        <v>885</v>
      </c>
      <c r="H195" s="2" t="s">
        <v>1314</v>
      </c>
      <c r="I195" s="2" t="s">
        <v>46</v>
      </c>
      <c r="J195" s="2" t="s">
        <v>47</v>
      </c>
      <c r="K195" s="2" t="s">
        <v>2003</v>
      </c>
      <c r="L195" s="2" t="s">
        <v>111</v>
      </c>
      <c r="M195" s="8" t="str">
        <f>HYPERLINK("http://www.marbledesign.sa.com", "www.marbledesign.sa.com")</f>
        <v>www.marbledesign.sa.com</v>
      </c>
      <c r="N195" s="2" t="s">
        <v>2004</v>
      </c>
      <c r="O195" s="2" t="s">
        <v>42</v>
      </c>
      <c r="P195" s="2" t="s">
        <v>2005</v>
      </c>
      <c r="Q195" s="2" t="s">
        <v>42</v>
      </c>
      <c r="R195" s="16">
        <v>1</v>
      </c>
      <c r="S195" s="16">
        <v>1</v>
      </c>
      <c r="T195" s="16">
        <v>1</v>
      </c>
      <c r="U195" s="16" t="s">
        <v>42</v>
      </c>
      <c r="V195" s="16" t="s">
        <v>42</v>
      </c>
      <c r="W195" s="4" t="s">
        <v>2006</v>
      </c>
      <c r="X195" s="2" t="s">
        <v>2007</v>
      </c>
      <c r="Y195" s="8" t="str">
        <f>HYPERLINK("http://linkedin.com/in/ahmad-alkharashi-43598316/", "http://linkedin.com/in/ahmad-alkharashi-43598316/")</f>
        <v>http://linkedin.com/in/ahmad-alkharashi-43598316/</v>
      </c>
      <c r="Z195" s="2" t="s">
        <v>55</v>
      </c>
      <c r="AA195" s="2" t="s">
        <v>2008</v>
      </c>
      <c r="AB195" s="2" t="s">
        <v>42</v>
      </c>
      <c r="AC195" s="2" t="s">
        <v>58</v>
      </c>
      <c r="AD195" s="2" t="s">
        <v>42</v>
      </c>
      <c r="AE195" s="4" t="s">
        <v>2009</v>
      </c>
      <c r="AF195" s="2" t="s">
        <v>60</v>
      </c>
      <c r="AG195" s="4" t="s">
        <v>42</v>
      </c>
      <c r="AH195" s="2" t="s">
        <v>61</v>
      </c>
      <c r="AI195" s="2" t="s">
        <v>61</v>
      </c>
      <c r="AJ195" s="2" t="s">
        <v>42</v>
      </c>
      <c r="AK195" s="2" t="s">
        <v>42</v>
      </c>
      <c r="AL195" s="28">
        <v>45869</v>
      </c>
      <c r="AM195" s="4" t="s">
        <v>42</v>
      </c>
      <c r="AN195" s="8" t="str">
        <f>HYPERLINK("https://my.pitchbook.com?p=352855-63P", "View People Online")</f>
        <v>View People Online</v>
      </c>
    </row>
    <row r="196" spans="1:40" x14ac:dyDescent="0.2">
      <c r="A196" s="3" t="s">
        <v>2010</v>
      </c>
      <c r="B196" s="3" t="s">
        <v>2011</v>
      </c>
      <c r="C196" s="3" t="s">
        <v>42</v>
      </c>
      <c r="D196" s="3" t="s">
        <v>42</v>
      </c>
      <c r="E196" s="3" t="s">
        <v>2010</v>
      </c>
      <c r="F196" s="3" t="s">
        <v>2012</v>
      </c>
      <c r="G196" s="3" t="s">
        <v>885</v>
      </c>
      <c r="H196" s="3" t="s">
        <v>271</v>
      </c>
      <c r="I196" s="3" t="s">
        <v>46</v>
      </c>
      <c r="J196" s="3" t="s">
        <v>47</v>
      </c>
      <c r="K196" s="3" t="s">
        <v>2013</v>
      </c>
      <c r="L196" s="3" t="s">
        <v>111</v>
      </c>
      <c r="M196" s="9" t="str">
        <f>HYPERLINK("http://www.mawarid.com.sa", "www.mawarid.com.sa")</f>
        <v>www.mawarid.com.sa</v>
      </c>
      <c r="N196" s="3" t="s">
        <v>246</v>
      </c>
      <c r="O196" s="3" t="s">
        <v>42</v>
      </c>
      <c r="P196" s="3" t="s">
        <v>2014</v>
      </c>
      <c r="Q196" s="3" t="s">
        <v>42</v>
      </c>
      <c r="R196" s="17">
        <v>1</v>
      </c>
      <c r="S196" s="17">
        <v>1</v>
      </c>
      <c r="T196" s="17" t="s">
        <v>42</v>
      </c>
      <c r="U196" s="17" t="s">
        <v>42</v>
      </c>
      <c r="V196" s="17" t="s">
        <v>42</v>
      </c>
      <c r="W196" s="5" t="s">
        <v>2015</v>
      </c>
      <c r="X196" s="3" t="s">
        <v>42</v>
      </c>
      <c r="Y196" s="3" t="s">
        <v>42</v>
      </c>
      <c r="Z196" s="3" t="s">
        <v>55</v>
      </c>
      <c r="AA196" s="3" t="s">
        <v>2016</v>
      </c>
      <c r="AB196" s="3" t="s">
        <v>42</v>
      </c>
      <c r="AC196" s="3" t="s">
        <v>58</v>
      </c>
      <c r="AD196" s="3" t="s">
        <v>42</v>
      </c>
      <c r="AE196" s="5" t="s">
        <v>42</v>
      </c>
      <c r="AF196" s="3" t="s">
        <v>60</v>
      </c>
      <c r="AG196" s="5" t="s">
        <v>42</v>
      </c>
      <c r="AH196" s="3" t="s">
        <v>61</v>
      </c>
      <c r="AI196" s="3" t="s">
        <v>61</v>
      </c>
      <c r="AJ196" s="3" t="s">
        <v>42</v>
      </c>
      <c r="AK196" s="3" t="s">
        <v>42</v>
      </c>
      <c r="AL196" s="29">
        <v>45828</v>
      </c>
      <c r="AM196" s="5" t="s">
        <v>42</v>
      </c>
      <c r="AN196" s="9" t="str">
        <f>HYPERLINK("https://my.pitchbook.com?p=343438-03P", "View People Online")</f>
        <v>View People Online</v>
      </c>
    </row>
    <row r="197" spans="1:40" x14ac:dyDescent="0.2">
      <c r="A197" s="2" t="s">
        <v>2017</v>
      </c>
      <c r="B197" s="2" t="s">
        <v>2018</v>
      </c>
      <c r="C197" s="2" t="s">
        <v>42</v>
      </c>
      <c r="D197" s="2" t="s">
        <v>42</v>
      </c>
      <c r="E197" s="2" t="s">
        <v>2017</v>
      </c>
      <c r="F197" s="2" t="s">
        <v>2019</v>
      </c>
      <c r="G197" s="2" t="s">
        <v>885</v>
      </c>
      <c r="H197" s="2" t="s">
        <v>2020</v>
      </c>
      <c r="I197" s="2" t="s">
        <v>46</v>
      </c>
      <c r="J197" s="2" t="s">
        <v>47</v>
      </c>
      <c r="K197" s="2" t="s">
        <v>1370</v>
      </c>
      <c r="L197" s="2" t="s">
        <v>1316</v>
      </c>
      <c r="M197" s="8" t="str">
        <f>HYPERLINK("http://www.saico.com.sa", "www.saico.com.sa")</f>
        <v>www.saico.com.sa</v>
      </c>
      <c r="N197" s="2" t="s">
        <v>246</v>
      </c>
      <c r="O197" s="2" t="s">
        <v>42</v>
      </c>
      <c r="P197" s="2" t="s">
        <v>2021</v>
      </c>
      <c r="Q197" s="2" t="s">
        <v>42</v>
      </c>
      <c r="R197" s="16">
        <v>1</v>
      </c>
      <c r="S197" s="16">
        <v>1</v>
      </c>
      <c r="T197" s="16" t="s">
        <v>42</v>
      </c>
      <c r="U197" s="16" t="s">
        <v>42</v>
      </c>
      <c r="V197" s="16" t="s">
        <v>42</v>
      </c>
      <c r="W197" s="4" t="s">
        <v>1372</v>
      </c>
      <c r="X197" s="2" t="s">
        <v>42</v>
      </c>
      <c r="Y197" s="2" t="s">
        <v>42</v>
      </c>
      <c r="Z197" s="2" t="s">
        <v>55</v>
      </c>
      <c r="AA197" s="2" t="s">
        <v>1374</v>
      </c>
      <c r="AB197" s="2" t="s">
        <v>1375</v>
      </c>
      <c r="AC197" s="2" t="s">
        <v>58</v>
      </c>
      <c r="AD197" s="2" t="s">
        <v>42</v>
      </c>
      <c r="AE197" s="4" t="s">
        <v>1376</v>
      </c>
      <c r="AF197" s="2" t="s">
        <v>60</v>
      </c>
      <c r="AG197" s="4" t="s">
        <v>1377</v>
      </c>
      <c r="AH197" s="2" t="s">
        <v>61</v>
      </c>
      <c r="AI197" s="2" t="s">
        <v>61</v>
      </c>
      <c r="AJ197" s="2" t="s">
        <v>42</v>
      </c>
      <c r="AK197" s="2" t="s">
        <v>42</v>
      </c>
      <c r="AL197" s="28">
        <v>45904</v>
      </c>
      <c r="AM197" s="4" t="s">
        <v>42</v>
      </c>
      <c r="AN197" s="8" t="str">
        <f>HYPERLINK("https://my.pitchbook.com?p=463406-23P", "View People Online")</f>
        <v>View People Online</v>
      </c>
    </row>
    <row r="198" spans="1:40" x14ac:dyDescent="0.2">
      <c r="A198" s="3" t="s">
        <v>2022</v>
      </c>
      <c r="B198" s="3" t="s">
        <v>2023</v>
      </c>
      <c r="C198" s="3" t="s">
        <v>42</v>
      </c>
      <c r="D198" s="3" t="s">
        <v>42</v>
      </c>
      <c r="E198" s="3" t="s">
        <v>2022</v>
      </c>
      <c r="F198" s="3" t="s">
        <v>2024</v>
      </c>
      <c r="G198" s="3" t="s">
        <v>2025</v>
      </c>
      <c r="H198" s="3" t="s">
        <v>42</v>
      </c>
      <c r="I198" s="3" t="s">
        <v>196</v>
      </c>
      <c r="J198" s="3" t="s">
        <v>42</v>
      </c>
      <c r="K198" s="3" t="s">
        <v>369</v>
      </c>
      <c r="L198" s="3" t="s">
        <v>111</v>
      </c>
      <c r="M198" s="9" t="str">
        <f>HYPERLINK("http://www.dallahhealth.com", "www.dallahhealth.com")</f>
        <v>www.dallahhealth.com</v>
      </c>
      <c r="N198" s="3" t="s">
        <v>210</v>
      </c>
      <c r="O198" s="3" t="s">
        <v>42</v>
      </c>
      <c r="P198" s="3" t="s">
        <v>2026</v>
      </c>
      <c r="Q198" s="3" t="s">
        <v>2027</v>
      </c>
      <c r="R198" s="17" t="s">
        <v>42</v>
      </c>
      <c r="S198" s="17">
        <v>1</v>
      </c>
      <c r="T198" s="17">
        <v>1</v>
      </c>
      <c r="U198" s="17" t="s">
        <v>42</v>
      </c>
      <c r="V198" s="17" t="s">
        <v>42</v>
      </c>
      <c r="W198" s="5" t="s">
        <v>372</v>
      </c>
      <c r="X198" s="3" t="s">
        <v>2028</v>
      </c>
      <c r="Y198" s="9" t="str">
        <f>HYPERLINK("http://sa.linkedin.com/in/ahmad-babaeer-a90ab8a1", "http://sa.linkedin.com/in/ahmad-babaeer-a90ab8a1")</f>
        <v>http://sa.linkedin.com/in/ahmad-babaeer-a90ab8a1</v>
      </c>
      <c r="Z198" s="3" t="s">
        <v>55</v>
      </c>
      <c r="AA198" s="3" t="s">
        <v>373</v>
      </c>
      <c r="AB198" s="3" t="s">
        <v>42</v>
      </c>
      <c r="AC198" s="3" t="s">
        <v>58</v>
      </c>
      <c r="AD198" s="3" t="s">
        <v>42</v>
      </c>
      <c r="AE198" s="5" t="s">
        <v>374</v>
      </c>
      <c r="AF198" s="3" t="s">
        <v>60</v>
      </c>
      <c r="AG198" s="5" t="s">
        <v>375</v>
      </c>
      <c r="AH198" s="3" t="s">
        <v>61</v>
      </c>
      <c r="AI198" s="3" t="s">
        <v>61</v>
      </c>
      <c r="AJ198" s="3" t="s">
        <v>42</v>
      </c>
      <c r="AK198" s="3" t="s">
        <v>42</v>
      </c>
      <c r="AL198" s="29">
        <v>45805</v>
      </c>
      <c r="AM198" s="5" t="s">
        <v>42</v>
      </c>
      <c r="AN198" s="9" t="str">
        <f>HYPERLINK("https://my.pitchbook.com?p=380000-98P", "View People Online")</f>
        <v>View People Online</v>
      </c>
    </row>
    <row r="199" spans="1:40" x14ac:dyDescent="0.2">
      <c r="A199" s="2" t="s">
        <v>2029</v>
      </c>
      <c r="B199" s="2" t="s">
        <v>2030</v>
      </c>
      <c r="C199" s="2" t="s">
        <v>42</v>
      </c>
      <c r="D199" s="2" t="s">
        <v>42</v>
      </c>
      <c r="E199" s="2" t="s">
        <v>2029</v>
      </c>
      <c r="F199" s="2" t="s">
        <v>628</v>
      </c>
      <c r="G199" s="2" t="s">
        <v>885</v>
      </c>
      <c r="H199" s="2" t="s">
        <v>2031</v>
      </c>
      <c r="I199" s="2" t="s">
        <v>46</v>
      </c>
      <c r="J199" s="2" t="s">
        <v>47</v>
      </c>
      <c r="K199" s="2" t="s">
        <v>630</v>
      </c>
      <c r="L199" s="2" t="s">
        <v>111</v>
      </c>
      <c r="M199" s="8" t="str">
        <f>HYPERLINK("http://www.bindawoodholding.com", "www.bindawoodholding.com")</f>
        <v>www.bindawoodholding.com</v>
      </c>
      <c r="N199" s="2" t="s">
        <v>2032</v>
      </c>
      <c r="O199" s="2" t="s">
        <v>42</v>
      </c>
      <c r="P199" s="2" t="s">
        <v>2033</v>
      </c>
      <c r="Q199" s="2" t="s">
        <v>42</v>
      </c>
      <c r="R199" s="16">
        <v>1</v>
      </c>
      <c r="S199" s="16">
        <v>1</v>
      </c>
      <c r="T199" s="16">
        <v>1</v>
      </c>
      <c r="U199" s="16" t="s">
        <v>42</v>
      </c>
      <c r="V199" s="16" t="s">
        <v>42</v>
      </c>
      <c r="W199" s="4" t="s">
        <v>632</v>
      </c>
      <c r="X199" s="2" t="s">
        <v>42</v>
      </c>
      <c r="Y199" s="8" t="str">
        <f>HYPERLINK("http://linkedin.com/in/ahmadbindawood/", "http://linkedin.com/in/ahmadbindawood/")</f>
        <v>http://linkedin.com/in/ahmadbindawood/</v>
      </c>
      <c r="Z199" s="2" t="s">
        <v>174</v>
      </c>
      <c r="AA199" s="2" t="s">
        <v>634</v>
      </c>
      <c r="AB199" s="2" t="s">
        <v>635</v>
      </c>
      <c r="AC199" s="2" t="s">
        <v>176</v>
      </c>
      <c r="AD199" s="2" t="s">
        <v>42</v>
      </c>
      <c r="AE199" s="4" t="s">
        <v>636</v>
      </c>
      <c r="AF199" s="2" t="s">
        <v>60</v>
      </c>
      <c r="AG199" s="4" t="s">
        <v>42</v>
      </c>
      <c r="AH199" s="2" t="s">
        <v>61</v>
      </c>
      <c r="AI199" s="2" t="s">
        <v>61</v>
      </c>
      <c r="AJ199" s="2" t="s">
        <v>42</v>
      </c>
      <c r="AK199" s="2" t="s">
        <v>42</v>
      </c>
      <c r="AL199" s="28">
        <v>46051</v>
      </c>
      <c r="AM199" s="4" t="s">
        <v>42</v>
      </c>
      <c r="AN199" s="8" t="str">
        <f>HYPERLINK("https://my.pitchbook.com?p=188016-22P", "View People Online")</f>
        <v>View People Online</v>
      </c>
    </row>
    <row r="200" spans="1:40" x14ac:dyDescent="0.2">
      <c r="A200" s="3" t="s">
        <v>2034</v>
      </c>
      <c r="B200" s="3" t="s">
        <v>2035</v>
      </c>
      <c r="C200" s="3" t="s">
        <v>42</v>
      </c>
      <c r="D200" s="3" t="s">
        <v>42</v>
      </c>
      <c r="E200" s="3" t="s">
        <v>2034</v>
      </c>
      <c r="F200" s="3" t="s">
        <v>2036</v>
      </c>
      <c r="G200" s="3" t="s">
        <v>885</v>
      </c>
      <c r="H200" s="3" t="s">
        <v>2037</v>
      </c>
      <c r="I200" s="3" t="s">
        <v>46</v>
      </c>
      <c r="J200" s="3" t="s">
        <v>47</v>
      </c>
      <c r="K200" s="3" t="s">
        <v>2038</v>
      </c>
      <c r="L200" s="3" t="s">
        <v>111</v>
      </c>
      <c r="M200" s="9" t="str">
        <f>HYPERLINK("http://www.saudinetworkers.com", "www.saudinetworkers.com")</f>
        <v>www.saudinetworkers.com</v>
      </c>
      <c r="N200" s="3" t="s">
        <v>2039</v>
      </c>
      <c r="O200" s="3" t="s">
        <v>42</v>
      </c>
      <c r="P200" s="3" t="s">
        <v>2040</v>
      </c>
      <c r="Q200" s="3" t="s">
        <v>42</v>
      </c>
      <c r="R200" s="17" t="s">
        <v>42</v>
      </c>
      <c r="S200" s="17">
        <v>1</v>
      </c>
      <c r="T200" s="17">
        <v>1</v>
      </c>
      <c r="U200" s="17" t="s">
        <v>42</v>
      </c>
      <c r="V200" s="17" t="s">
        <v>42</v>
      </c>
      <c r="W200" s="5" t="s">
        <v>2041</v>
      </c>
      <c r="X200" s="3" t="s">
        <v>2042</v>
      </c>
      <c r="Y200" s="3" t="s">
        <v>42</v>
      </c>
      <c r="Z200" s="3" t="s">
        <v>55</v>
      </c>
      <c r="AA200" s="3" t="s">
        <v>2043</v>
      </c>
      <c r="AB200" s="3" t="s">
        <v>2044</v>
      </c>
      <c r="AC200" s="3" t="s">
        <v>58</v>
      </c>
      <c r="AD200" s="3" t="s">
        <v>42</v>
      </c>
      <c r="AE200" s="5" t="s">
        <v>2045</v>
      </c>
      <c r="AF200" s="3" t="s">
        <v>60</v>
      </c>
      <c r="AG200" s="5" t="s">
        <v>2046</v>
      </c>
      <c r="AH200" s="3" t="s">
        <v>61</v>
      </c>
      <c r="AI200" s="3" t="s">
        <v>61</v>
      </c>
      <c r="AJ200" s="3" t="s">
        <v>42</v>
      </c>
      <c r="AK200" s="3" t="s">
        <v>42</v>
      </c>
      <c r="AL200" s="29">
        <v>45783</v>
      </c>
      <c r="AM200" s="5" t="s">
        <v>42</v>
      </c>
      <c r="AN200" s="9" t="str">
        <f>HYPERLINK("https://my.pitchbook.com?p=445383-64P", "View People Online")</f>
        <v>View People Online</v>
      </c>
    </row>
    <row r="201" spans="1:40" x14ac:dyDescent="0.2">
      <c r="A201" s="2" t="s">
        <v>2047</v>
      </c>
      <c r="B201" s="2" t="s">
        <v>2048</v>
      </c>
      <c r="C201" s="2" t="s">
        <v>42</v>
      </c>
      <c r="D201" s="2" t="s">
        <v>42</v>
      </c>
      <c r="E201" s="2" t="s">
        <v>2047</v>
      </c>
      <c r="F201" s="2" t="s">
        <v>2049</v>
      </c>
      <c r="G201" s="2" t="s">
        <v>885</v>
      </c>
      <c r="H201" s="2" t="s">
        <v>2050</v>
      </c>
      <c r="I201" s="2" t="s">
        <v>46</v>
      </c>
      <c r="J201" s="2" t="s">
        <v>47</v>
      </c>
      <c r="K201" s="2" t="s">
        <v>1245</v>
      </c>
      <c r="L201" s="2" t="s">
        <v>111</v>
      </c>
      <c r="M201" s="8" t="str">
        <f>HYPERLINK("http://www.sidc.com.sa", "www.sidc.com.sa")</f>
        <v>www.sidc.com.sa</v>
      </c>
      <c r="N201" s="2" t="s">
        <v>534</v>
      </c>
      <c r="O201" s="2" t="s">
        <v>42</v>
      </c>
      <c r="P201" s="2" t="s">
        <v>2051</v>
      </c>
      <c r="Q201" s="2" t="s">
        <v>42</v>
      </c>
      <c r="R201" s="16" t="s">
        <v>42</v>
      </c>
      <c r="S201" s="16">
        <v>1</v>
      </c>
      <c r="T201" s="16">
        <v>1</v>
      </c>
      <c r="U201" s="16" t="s">
        <v>42</v>
      </c>
      <c r="V201" s="16" t="s">
        <v>42</v>
      </c>
      <c r="W201" s="4" t="s">
        <v>1247</v>
      </c>
      <c r="X201" s="2" t="s">
        <v>2052</v>
      </c>
      <c r="Y201" s="8" t="str">
        <f>HYPERLINK("http://linkedin.com/in/ahmad-shtaiwi-fmva-certifr-grcp-27b34831/", "http://linkedin.com/in/ahmad-shtaiwi-fmva-certifr-grcp-27b34831/")</f>
        <v>http://linkedin.com/in/ahmad-shtaiwi-fmva-certifr-grcp-27b34831/</v>
      </c>
      <c r="Z201" s="2" t="s">
        <v>174</v>
      </c>
      <c r="AA201" s="2" t="s">
        <v>1248</v>
      </c>
      <c r="AB201" s="2" t="s">
        <v>1249</v>
      </c>
      <c r="AC201" s="2" t="s">
        <v>176</v>
      </c>
      <c r="AD201" s="2" t="s">
        <v>42</v>
      </c>
      <c r="AE201" s="4" t="s">
        <v>1250</v>
      </c>
      <c r="AF201" s="2" t="s">
        <v>60</v>
      </c>
      <c r="AG201" s="4" t="s">
        <v>1251</v>
      </c>
      <c r="AH201" s="2" t="s">
        <v>61</v>
      </c>
      <c r="AI201" s="2" t="s">
        <v>61</v>
      </c>
      <c r="AJ201" s="2" t="s">
        <v>42</v>
      </c>
      <c r="AK201" s="2" t="s">
        <v>42</v>
      </c>
      <c r="AL201" s="28">
        <v>45979</v>
      </c>
      <c r="AM201" s="4" t="s">
        <v>42</v>
      </c>
      <c r="AN201" s="8" t="str">
        <f>HYPERLINK("https://my.pitchbook.com?p=385702-30P", "View People Online")</f>
        <v>View People Online</v>
      </c>
    </row>
    <row r="202" spans="1:40" x14ac:dyDescent="0.2">
      <c r="A202" s="3" t="s">
        <v>2053</v>
      </c>
      <c r="B202" s="3" t="s">
        <v>2054</v>
      </c>
      <c r="C202" s="3" t="s">
        <v>42</v>
      </c>
      <c r="D202" s="3" t="s">
        <v>42</v>
      </c>
      <c r="E202" s="3" t="s">
        <v>2053</v>
      </c>
      <c r="F202" s="3" t="s">
        <v>66</v>
      </c>
      <c r="G202" s="3" t="s">
        <v>167</v>
      </c>
      <c r="H202" s="3" t="s">
        <v>2055</v>
      </c>
      <c r="I202" s="3" t="s">
        <v>46</v>
      </c>
      <c r="J202" s="3" t="s">
        <v>47</v>
      </c>
      <c r="K202" s="3" t="s">
        <v>2056</v>
      </c>
      <c r="L202" s="3" t="s">
        <v>111</v>
      </c>
      <c r="M202" s="9" t="str">
        <f>HYPERLINK("http://www.lanamedical.com", "www.lanamedical.com")</f>
        <v>www.lanamedical.com</v>
      </c>
      <c r="N202" s="3" t="s">
        <v>534</v>
      </c>
      <c r="O202" s="3" t="s">
        <v>42</v>
      </c>
      <c r="P202" s="3" t="s">
        <v>2057</v>
      </c>
      <c r="Q202" s="3" t="s">
        <v>42</v>
      </c>
      <c r="R202" s="17" t="s">
        <v>42</v>
      </c>
      <c r="S202" s="17">
        <v>1</v>
      </c>
      <c r="T202" s="17">
        <v>1</v>
      </c>
      <c r="U202" s="17" t="s">
        <v>42</v>
      </c>
      <c r="V202" s="17" t="s">
        <v>42</v>
      </c>
      <c r="W202" s="5" t="s">
        <v>2058</v>
      </c>
      <c r="X202" s="3" t="s">
        <v>2059</v>
      </c>
      <c r="Y202" s="3" t="s">
        <v>42</v>
      </c>
      <c r="Z202" s="3" t="s">
        <v>55</v>
      </c>
      <c r="AA202" s="3" t="s">
        <v>2060</v>
      </c>
      <c r="AB202" s="3" t="s">
        <v>42</v>
      </c>
      <c r="AC202" s="3" t="s">
        <v>58</v>
      </c>
      <c r="AD202" s="3" t="s">
        <v>42</v>
      </c>
      <c r="AE202" s="5" t="s">
        <v>2061</v>
      </c>
      <c r="AF202" s="3" t="s">
        <v>60</v>
      </c>
      <c r="AG202" s="5" t="s">
        <v>42</v>
      </c>
      <c r="AH202" s="3" t="s">
        <v>61</v>
      </c>
      <c r="AI202" s="3" t="s">
        <v>61</v>
      </c>
      <c r="AJ202" s="3" t="s">
        <v>42</v>
      </c>
      <c r="AK202" s="3" t="s">
        <v>42</v>
      </c>
      <c r="AL202" s="29">
        <v>46055</v>
      </c>
      <c r="AM202" s="5" t="s">
        <v>42</v>
      </c>
      <c r="AN202" s="9" t="str">
        <f>HYPERLINK("https://my.pitchbook.com?p=368581-15P", "View People Online")</f>
        <v>View People Online</v>
      </c>
    </row>
    <row r="203" spans="1:40" x14ac:dyDescent="0.2">
      <c r="A203" s="2" t="s">
        <v>2062</v>
      </c>
      <c r="B203" s="2" t="s">
        <v>2063</v>
      </c>
      <c r="C203" s="2" t="s">
        <v>42</v>
      </c>
      <c r="D203" s="2" t="s">
        <v>42</v>
      </c>
      <c r="E203" s="2" t="s">
        <v>2062</v>
      </c>
      <c r="F203" s="2" t="s">
        <v>2064</v>
      </c>
      <c r="G203" s="2" t="s">
        <v>167</v>
      </c>
      <c r="H203" s="2" t="s">
        <v>42</v>
      </c>
      <c r="I203" s="2" t="s">
        <v>46</v>
      </c>
      <c r="J203" s="2" t="s">
        <v>47</v>
      </c>
      <c r="K203" s="2" t="s">
        <v>2065</v>
      </c>
      <c r="L203" s="2" t="s">
        <v>111</v>
      </c>
      <c r="M203" s="8" t="str">
        <f>HYPERLINK("http://www.al-sorayai.com/en/index", "www.al-sorayai.com/en/index")</f>
        <v>www.al-sorayai.com/en/index</v>
      </c>
      <c r="N203" s="2" t="s">
        <v>534</v>
      </c>
      <c r="O203" s="2" t="s">
        <v>42</v>
      </c>
      <c r="P203" s="2" t="s">
        <v>2066</v>
      </c>
      <c r="Q203" s="2" t="s">
        <v>42</v>
      </c>
      <c r="R203" s="16" t="s">
        <v>42</v>
      </c>
      <c r="S203" s="16">
        <v>1</v>
      </c>
      <c r="T203" s="16">
        <v>1</v>
      </c>
      <c r="U203" s="16" t="s">
        <v>42</v>
      </c>
      <c r="V203" s="16" t="s">
        <v>42</v>
      </c>
      <c r="W203" s="4" t="s">
        <v>2067</v>
      </c>
      <c r="X203" s="2" t="s">
        <v>2068</v>
      </c>
      <c r="Y203" s="2" t="s">
        <v>42</v>
      </c>
      <c r="Z203" s="2" t="s">
        <v>174</v>
      </c>
      <c r="AA203" s="2" t="s">
        <v>2069</v>
      </c>
      <c r="AB203" s="2" t="s">
        <v>2070</v>
      </c>
      <c r="AC203" s="2" t="s">
        <v>176</v>
      </c>
      <c r="AD203" s="2" t="s">
        <v>42</v>
      </c>
      <c r="AE203" s="4" t="s">
        <v>2071</v>
      </c>
      <c r="AF203" s="2" t="s">
        <v>60</v>
      </c>
      <c r="AG203" s="4" t="s">
        <v>2072</v>
      </c>
      <c r="AH203" s="2" t="s">
        <v>61</v>
      </c>
      <c r="AI203" s="2" t="s">
        <v>61</v>
      </c>
      <c r="AJ203" s="2" t="s">
        <v>42</v>
      </c>
      <c r="AK203" s="2" t="s">
        <v>2073</v>
      </c>
      <c r="AL203" s="28">
        <v>46055</v>
      </c>
      <c r="AM203" s="4" t="s">
        <v>42</v>
      </c>
      <c r="AN203" s="8" t="str">
        <f>HYPERLINK("https://my.pitchbook.com?p=484586-74P", "View People Online")</f>
        <v>View People Online</v>
      </c>
    </row>
    <row r="204" spans="1:40" x14ac:dyDescent="0.2">
      <c r="A204" s="3" t="s">
        <v>2074</v>
      </c>
      <c r="B204" s="3" t="s">
        <v>2075</v>
      </c>
      <c r="C204" s="3" t="s">
        <v>42</v>
      </c>
      <c r="D204" s="3" t="s">
        <v>42</v>
      </c>
      <c r="E204" s="3" t="s">
        <v>2074</v>
      </c>
      <c r="F204" s="3" t="s">
        <v>2076</v>
      </c>
      <c r="G204" s="3" t="s">
        <v>167</v>
      </c>
      <c r="H204" s="3" t="s">
        <v>2077</v>
      </c>
      <c r="I204" s="3" t="s">
        <v>46</v>
      </c>
      <c r="J204" s="3" t="s">
        <v>47</v>
      </c>
      <c r="K204" s="3" t="s">
        <v>2078</v>
      </c>
      <c r="L204" s="3" t="s">
        <v>111</v>
      </c>
      <c r="M204" s="9" t="str">
        <f>HYPERLINK("http://www.horizon.sch.sa", "www.horizon.sch.sa")</f>
        <v>www.horizon.sch.sa</v>
      </c>
      <c r="N204" s="3" t="s">
        <v>2079</v>
      </c>
      <c r="O204" s="3" t="s">
        <v>42</v>
      </c>
      <c r="P204" s="3" t="s">
        <v>2080</v>
      </c>
      <c r="Q204" s="3" t="s">
        <v>42</v>
      </c>
      <c r="R204" s="17" t="s">
        <v>42</v>
      </c>
      <c r="S204" s="17">
        <v>1</v>
      </c>
      <c r="T204" s="17">
        <v>1</v>
      </c>
      <c r="U204" s="17" t="s">
        <v>42</v>
      </c>
      <c r="V204" s="17" t="s">
        <v>42</v>
      </c>
      <c r="W204" s="5" t="s">
        <v>2081</v>
      </c>
      <c r="X204" s="3" t="s">
        <v>42</v>
      </c>
      <c r="Y204" s="3" t="s">
        <v>42</v>
      </c>
      <c r="Z204" s="3" t="s">
        <v>55</v>
      </c>
      <c r="AA204" s="3" t="s">
        <v>2082</v>
      </c>
      <c r="AB204" s="3" t="s">
        <v>2083</v>
      </c>
      <c r="AC204" s="3" t="s">
        <v>58</v>
      </c>
      <c r="AD204" s="3" t="s">
        <v>42</v>
      </c>
      <c r="AE204" s="5" t="s">
        <v>42</v>
      </c>
      <c r="AF204" s="3" t="s">
        <v>60</v>
      </c>
      <c r="AG204" s="5" t="s">
        <v>42</v>
      </c>
      <c r="AH204" s="3" t="s">
        <v>61</v>
      </c>
      <c r="AI204" s="3" t="s">
        <v>61</v>
      </c>
      <c r="AJ204" s="3" t="s">
        <v>42</v>
      </c>
      <c r="AK204" s="3" t="s">
        <v>42</v>
      </c>
      <c r="AL204" s="29">
        <v>46058</v>
      </c>
      <c r="AM204" s="5" t="s">
        <v>42</v>
      </c>
      <c r="AN204" s="9" t="str">
        <f>HYPERLINK("https://my.pitchbook.com?p=400273-12P", "View People Online")</f>
        <v>View People Online</v>
      </c>
    </row>
    <row r="205" spans="1:40" x14ac:dyDescent="0.2">
      <c r="A205" s="2" t="s">
        <v>2084</v>
      </c>
      <c r="B205" s="2" t="s">
        <v>2085</v>
      </c>
      <c r="C205" s="2" t="s">
        <v>42</v>
      </c>
      <c r="D205" s="2" t="s">
        <v>42</v>
      </c>
      <c r="E205" s="2" t="s">
        <v>2084</v>
      </c>
      <c r="F205" s="2" t="s">
        <v>2086</v>
      </c>
      <c r="G205" s="2" t="s">
        <v>167</v>
      </c>
      <c r="H205" s="2" t="s">
        <v>42</v>
      </c>
      <c r="I205" s="2" t="s">
        <v>46</v>
      </c>
      <c r="J205" s="2" t="s">
        <v>47</v>
      </c>
      <c r="K205" s="2" t="s">
        <v>2087</v>
      </c>
      <c r="L205" s="2" t="s">
        <v>111</v>
      </c>
      <c r="M205" s="8" t="str">
        <f>HYPERLINK("http://www.horizonfood.sa", "www.horizonfood.sa")</f>
        <v>www.horizonfood.sa</v>
      </c>
      <c r="N205" s="2" t="s">
        <v>534</v>
      </c>
      <c r="O205" s="2" t="s">
        <v>42</v>
      </c>
      <c r="P205" s="2" t="s">
        <v>2088</v>
      </c>
      <c r="Q205" s="2" t="s">
        <v>42</v>
      </c>
      <c r="R205" s="16" t="s">
        <v>42</v>
      </c>
      <c r="S205" s="16">
        <v>1</v>
      </c>
      <c r="T205" s="16">
        <v>1</v>
      </c>
      <c r="U205" s="16" t="s">
        <v>42</v>
      </c>
      <c r="V205" s="16" t="s">
        <v>42</v>
      </c>
      <c r="W205" s="4" t="s">
        <v>2089</v>
      </c>
      <c r="X205" s="2" t="s">
        <v>2090</v>
      </c>
      <c r="Y205" s="8" t="str">
        <f>HYPERLINK("http://linkedin.com/in/ahamad-atawneh-577a17252/?originalsubdomain=sa", "http://linkedin.com/in/ahamad-atawneh-577a17252/?originalsubdomain=sa")</f>
        <v>http://linkedin.com/in/ahamad-atawneh-577a17252/?originalsubdomain=sa</v>
      </c>
      <c r="Z205" s="2" t="s">
        <v>383</v>
      </c>
      <c r="AA205" s="2" t="s">
        <v>2091</v>
      </c>
      <c r="AB205" s="2" t="s">
        <v>42</v>
      </c>
      <c r="AC205" s="2" t="s">
        <v>385</v>
      </c>
      <c r="AD205" s="2" t="s">
        <v>42</v>
      </c>
      <c r="AE205" s="4" t="s">
        <v>2092</v>
      </c>
      <c r="AF205" s="2" t="s">
        <v>60</v>
      </c>
      <c r="AG205" s="4" t="s">
        <v>2093</v>
      </c>
      <c r="AH205" s="2" t="s">
        <v>61</v>
      </c>
      <c r="AI205" s="2" t="s">
        <v>61</v>
      </c>
      <c r="AJ205" s="2" t="s">
        <v>42</v>
      </c>
      <c r="AK205" s="2" t="s">
        <v>42</v>
      </c>
      <c r="AL205" s="28">
        <v>45728</v>
      </c>
      <c r="AM205" s="4" t="s">
        <v>42</v>
      </c>
      <c r="AN205" s="8" t="str">
        <f>HYPERLINK("https://my.pitchbook.com?p=341001-37P", "View People Online")</f>
        <v>View People Online</v>
      </c>
    </row>
    <row r="206" spans="1:40" x14ac:dyDescent="0.2">
      <c r="A206" s="3" t="s">
        <v>2094</v>
      </c>
      <c r="B206" s="3" t="s">
        <v>2095</v>
      </c>
      <c r="C206" s="3" t="s">
        <v>42</v>
      </c>
      <c r="D206" s="3" t="s">
        <v>42</v>
      </c>
      <c r="E206" s="3" t="s">
        <v>2094</v>
      </c>
      <c r="F206" s="3" t="s">
        <v>2096</v>
      </c>
      <c r="G206" s="3" t="s">
        <v>167</v>
      </c>
      <c r="H206" s="3" t="s">
        <v>195</v>
      </c>
      <c r="I206" s="3" t="s">
        <v>46</v>
      </c>
      <c r="J206" s="3" t="s">
        <v>47</v>
      </c>
      <c r="K206" s="3" t="s">
        <v>2097</v>
      </c>
      <c r="L206" s="3" t="s">
        <v>111</v>
      </c>
      <c r="M206" s="9" t="str">
        <f>HYPERLINK("http://saudigermanhealth.com", "saudigermanhealth.com")</f>
        <v>saudigermanhealth.com</v>
      </c>
      <c r="N206" s="3" t="s">
        <v>210</v>
      </c>
      <c r="O206" s="3" t="s">
        <v>42</v>
      </c>
      <c r="P206" s="3" t="s">
        <v>2098</v>
      </c>
      <c r="Q206" s="3" t="s">
        <v>42</v>
      </c>
      <c r="R206" s="17" t="s">
        <v>42</v>
      </c>
      <c r="S206" s="17">
        <v>1</v>
      </c>
      <c r="T206" s="17">
        <v>1</v>
      </c>
      <c r="U206" s="17" t="s">
        <v>42</v>
      </c>
      <c r="V206" s="17" t="s">
        <v>42</v>
      </c>
      <c r="W206" s="5" t="s">
        <v>2099</v>
      </c>
      <c r="X206" s="3" t="s">
        <v>2100</v>
      </c>
      <c r="Y206" s="3" t="s">
        <v>42</v>
      </c>
      <c r="Z206" s="3" t="s">
        <v>174</v>
      </c>
      <c r="AA206" s="3" t="s">
        <v>2101</v>
      </c>
      <c r="AB206" s="3" t="s">
        <v>2102</v>
      </c>
      <c r="AC206" s="3" t="s">
        <v>176</v>
      </c>
      <c r="AD206" s="3" t="s">
        <v>42</v>
      </c>
      <c r="AE206" s="5" t="s">
        <v>2103</v>
      </c>
      <c r="AF206" s="3" t="s">
        <v>60</v>
      </c>
      <c r="AG206" s="5" t="s">
        <v>42</v>
      </c>
      <c r="AH206" s="3" t="s">
        <v>61</v>
      </c>
      <c r="AI206" s="3" t="s">
        <v>61</v>
      </c>
      <c r="AJ206" s="3" t="s">
        <v>42</v>
      </c>
      <c r="AK206" s="3" t="s">
        <v>42</v>
      </c>
      <c r="AL206" s="29">
        <v>45691</v>
      </c>
      <c r="AM206" s="5" t="s">
        <v>42</v>
      </c>
      <c r="AN206" s="9" t="str">
        <f>HYPERLINK("https://my.pitchbook.com?p=330264-19P", "View People Online")</f>
        <v>View People Online</v>
      </c>
    </row>
    <row r="207" spans="1:40" x14ac:dyDescent="0.2">
      <c r="A207" s="2" t="s">
        <v>2104</v>
      </c>
      <c r="B207" s="2" t="s">
        <v>2105</v>
      </c>
      <c r="C207" s="2" t="s">
        <v>42</v>
      </c>
      <c r="D207" s="2" t="s">
        <v>42</v>
      </c>
      <c r="E207" s="2" t="s">
        <v>2104</v>
      </c>
      <c r="F207" s="2" t="s">
        <v>2106</v>
      </c>
      <c r="G207" s="2" t="s">
        <v>167</v>
      </c>
      <c r="H207" s="2" t="s">
        <v>2107</v>
      </c>
      <c r="I207" s="2" t="s">
        <v>46</v>
      </c>
      <c r="J207" s="2" t="s">
        <v>47</v>
      </c>
      <c r="K207" s="2" t="s">
        <v>2108</v>
      </c>
      <c r="L207" s="2" t="s">
        <v>111</v>
      </c>
      <c r="M207" s="8" t="str">
        <f>HYPERLINK("http://www.view.sa", "www.view.sa")</f>
        <v>www.view.sa</v>
      </c>
      <c r="N207" s="2" t="s">
        <v>2109</v>
      </c>
      <c r="O207" s="2" t="s">
        <v>42</v>
      </c>
      <c r="P207" s="2" t="s">
        <v>2110</v>
      </c>
      <c r="Q207" s="2" t="s">
        <v>2111</v>
      </c>
      <c r="R207" s="16">
        <v>1</v>
      </c>
      <c r="S207" s="16">
        <v>1</v>
      </c>
      <c r="T207" s="16">
        <v>1</v>
      </c>
      <c r="U207" s="16" t="s">
        <v>42</v>
      </c>
      <c r="V207" s="16" t="s">
        <v>42</v>
      </c>
      <c r="W207" s="4" t="s">
        <v>2112</v>
      </c>
      <c r="X207" s="2" t="s">
        <v>42</v>
      </c>
      <c r="Y207" s="2" t="s">
        <v>42</v>
      </c>
      <c r="Z207" s="2" t="s">
        <v>55</v>
      </c>
      <c r="AA207" s="2" t="s">
        <v>2113</v>
      </c>
      <c r="AB207" s="2" t="s">
        <v>2114</v>
      </c>
      <c r="AC207" s="2" t="s">
        <v>58</v>
      </c>
      <c r="AD207" s="2" t="s">
        <v>42</v>
      </c>
      <c r="AE207" s="4" t="s">
        <v>2115</v>
      </c>
      <c r="AF207" s="2" t="s">
        <v>60</v>
      </c>
      <c r="AG207" s="4" t="s">
        <v>2112</v>
      </c>
      <c r="AH207" s="2" t="s">
        <v>61</v>
      </c>
      <c r="AI207" s="2" t="s">
        <v>61</v>
      </c>
      <c r="AJ207" s="2" t="s">
        <v>42</v>
      </c>
      <c r="AK207" s="2" t="s">
        <v>42</v>
      </c>
      <c r="AL207" s="28">
        <v>45937</v>
      </c>
      <c r="AM207" s="4" t="s">
        <v>42</v>
      </c>
      <c r="AN207" s="8" t="str">
        <f>HYPERLINK("https://my.pitchbook.com?p=371836-18P", "View People Online")</f>
        <v>View People Online</v>
      </c>
    </row>
    <row r="208" spans="1:40" x14ac:dyDescent="0.2">
      <c r="A208" s="3" t="s">
        <v>2116</v>
      </c>
      <c r="B208" s="3" t="s">
        <v>2117</v>
      </c>
      <c r="C208" s="3" t="s">
        <v>42</v>
      </c>
      <c r="D208" s="3" t="s">
        <v>42</v>
      </c>
      <c r="E208" s="3" t="s">
        <v>2116</v>
      </c>
      <c r="F208" s="3" t="s">
        <v>2118</v>
      </c>
      <c r="G208" s="3" t="s">
        <v>167</v>
      </c>
      <c r="H208" s="3" t="s">
        <v>42</v>
      </c>
      <c r="I208" s="3" t="s">
        <v>46</v>
      </c>
      <c r="J208" s="3" t="s">
        <v>47</v>
      </c>
      <c r="K208" s="3" t="s">
        <v>2119</v>
      </c>
      <c r="L208" s="3" t="s">
        <v>111</v>
      </c>
      <c r="M208" s="9" t="str">
        <f>HYPERLINK("http://www.saudire.net", "www.saudire.net")</f>
        <v>www.saudire.net</v>
      </c>
      <c r="N208" s="3" t="s">
        <v>210</v>
      </c>
      <c r="O208" s="3" t="s">
        <v>42</v>
      </c>
      <c r="P208" s="3" t="s">
        <v>2120</v>
      </c>
      <c r="Q208" s="3" t="s">
        <v>42</v>
      </c>
      <c r="R208" s="17" t="s">
        <v>42</v>
      </c>
      <c r="S208" s="17">
        <v>1</v>
      </c>
      <c r="T208" s="17">
        <v>1</v>
      </c>
      <c r="U208" s="17" t="s">
        <v>42</v>
      </c>
      <c r="V208" s="17" t="s">
        <v>42</v>
      </c>
      <c r="W208" s="5" t="s">
        <v>2121</v>
      </c>
      <c r="X208" s="3" t="s">
        <v>42</v>
      </c>
      <c r="Y208" s="9" t="str">
        <f>HYPERLINK("http://linkedin.com/in/ahmed-aljabr-599580b/", "http://linkedin.com/in/ahmed-aljabr-599580b/")</f>
        <v>http://linkedin.com/in/ahmed-aljabr-599580b/</v>
      </c>
      <c r="Z208" s="3" t="s">
        <v>55</v>
      </c>
      <c r="AA208" s="3" t="s">
        <v>2122</v>
      </c>
      <c r="AB208" s="3" t="s">
        <v>2123</v>
      </c>
      <c r="AC208" s="3" t="s">
        <v>58</v>
      </c>
      <c r="AD208" s="3" t="s">
        <v>42</v>
      </c>
      <c r="AE208" s="5" t="s">
        <v>2124</v>
      </c>
      <c r="AF208" s="3" t="s">
        <v>60</v>
      </c>
      <c r="AG208" s="5" t="s">
        <v>2125</v>
      </c>
      <c r="AH208" s="3" t="s">
        <v>61</v>
      </c>
      <c r="AI208" s="3" t="s">
        <v>61</v>
      </c>
      <c r="AJ208" s="3" t="s">
        <v>42</v>
      </c>
      <c r="AK208" s="3" t="s">
        <v>42</v>
      </c>
      <c r="AL208" s="29">
        <v>46030</v>
      </c>
      <c r="AM208" s="5">
        <v>1976</v>
      </c>
      <c r="AN208" s="9" t="str">
        <f>HYPERLINK("https://my.pitchbook.com?p=250270-66P", "View People Online")</f>
        <v>View People Online</v>
      </c>
    </row>
    <row r="209" spans="1:40" x14ac:dyDescent="0.2">
      <c r="A209" s="2" t="s">
        <v>2126</v>
      </c>
      <c r="B209" s="2" t="s">
        <v>2127</v>
      </c>
      <c r="C209" s="2" t="s">
        <v>42</v>
      </c>
      <c r="D209" s="2" t="s">
        <v>42</v>
      </c>
      <c r="E209" s="2" t="s">
        <v>2126</v>
      </c>
      <c r="F209" s="2" t="s">
        <v>2128</v>
      </c>
      <c r="G209" s="2" t="s">
        <v>167</v>
      </c>
      <c r="H209" s="2" t="s">
        <v>356</v>
      </c>
      <c r="I209" s="2" t="s">
        <v>46</v>
      </c>
      <c r="J209" s="2" t="s">
        <v>47</v>
      </c>
      <c r="K209" s="2" t="s">
        <v>2129</v>
      </c>
      <c r="L209" s="2" t="s">
        <v>111</v>
      </c>
      <c r="M209" s="8" t="str">
        <f>HYPERLINK("http://www.arabian-pipes.com", "www.arabian-pipes.com")</f>
        <v>www.arabian-pipes.com</v>
      </c>
      <c r="N209" s="2" t="s">
        <v>112</v>
      </c>
      <c r="O209" s="2" t="s">
        <v>42</v>
      </c>
      <c r="P209" s="2" t="s">
        <v>2130</v>
      </c>
      <c r="Q209" s="2" t="s">
        <v>42</v>
      </c>
      <c r="R209" s="16">
        <v>1</v>
      </c>
      <c r="S209" s="16">
        <v>1</v>
      </c>
      <c r="T209" s="16">
        <v>1</v>
      </c>
      <c r="U209" s="16" t="s">
        <v>42</v>
      </c>
      <c r="V209" s="16" t="s">
        <v>42</v>
      </c>
      <c r="W209" s="4" t="s">
        <v>2131</v>
      </c>
      <c r="X209" s="2" t="s">
        <v>2132</v>
      </c>
      <c r="Y209" s="2" t="s">
        <v>42</v>
      </c>
      <c r="Z209" s="2" t="s">
        <v>55</v>
      </c>
      <c r="AA209" s="2" t="s">
        <v>2133</v>
      </c>
      <c r="AB209" s="2" t="s">
        <v>42</v>
      </c>
      <c r="AC209" s="2" t="s">
        <v>58</v>
      </c>
      <c r="AD209" s="2" t="s">
        <v>42</v>
      </c>
      <c r="AE209" s="4" t="s">
        <v>2134</v>
      </c>
      <c r="AF209" s="2" t="s">
        <v>60</v>
      </c>
      <c r="AG209" s="4" t="s">
        <v>2135</v>
      </c>
      <c r="AH209" s="2" t="s">
        <v>61</v>
      </c>
      <c r="AI209" s="2" t="s">
        <v>61</v>
      </c>
      <c r="AJ209" s="2" t="s">
        <v>42</v>
      </c>
      <c r="AK209" s="2" t="s">
        <v>42</v>
      </c>
      <c r="AL209" s="28">
        <v>45964</v>
      </c>
      <c r="AM209" s="4" t="s">
        <v>42</v>
      </c>
      <c r="AN209" s="8" t="str">
        <f>HYPERLINK("https://my.pitchbook.com?p=379203-85P", "View People Online")</f>
        <v>View People Online</v>
      </c>
    </row>
    <row r="210" spans="1:40" x14ac:dyDescent="0.2">
      <c r="A210" s="3" t="s">
        <v>2136</v>
      </c>
      <c r="B210" s="3" t="s">
        <v>2137</v>
      </c>
      <c r="C210" s="3" t="s">
        <v>42</v>
      </c>
      <c r="D210" s="3" t="s">
        <v>42</v>
      </c>
      <c r="E210" s="3" t="s">
        <v>2136</v>
      </c>
      <c r="F210" s="3" t="s">
        <v>2138</v>
      </c>
      <c r="G210" s="3" t="s">
        <v>167</v>
      </c>
      <c r="H210" s="3" t="s">
        <v>42</v>
      </c>
      <c r="I210" s="3" t="s">
        <v>46</v>
      </c>
      <c r="J210" s="3" t="s">
        <v>47</v>
      </c>
      <c r="K210" s="3" t="s">
        <v>2139</v>
      </c>
      <c r="L210" s="3" t="s">
        <v>111</v>
      </c>
      <c r="M210" s="9" t="str">
        <f>HYPERLINK("http://www.mrna.sa", "www.mrna.sa")</f>
        <v>www.mrna.sa</v>
      </c>
      <c r="N210" s="3" t="s">
        <v>2140</v>
      </c>
      <c r="O210" s="3" t="s">
        <v>42</v>
      </c>
      <c r="P210" s="3" t="s">
        <v>2141</v>
      </c>
      <c r="Q210" s="3" t="s">
        <v>42</v>
      </c>
      <c r="R210" s="17" t="s">
        <v>42</v>
      </c>
      <c r="S210" s="17">
        <v>1</v>
      </c>
      <c r="T210" s="17">
        <v>1</v>
      </c>
      <c r="U210" s="17" t="s">
        <v>42</v>
      </c>
      <c r="V210" s="17" t="s">
        <v>42</v>
      </c>
      <c r="W210" s="5" t="s">
        <v>42</v>
      </c>
      <c r="X210" s="3" t="s">
        <v>2142</v>
      </c>
      <c r="Y210" s="3" t="s">
        <v>42</v>
      </c>
      <c r="Z210" s="3" t="s">
        <v>55</v>
      </c>
      <c r="AA210" s="3" t="s">
        <v>2143</v>
      </c>
      <c r="AB210" s="3" t="s">
        <v>2144</v>
      </c>
      <c r="AC210" s="3" t="s">
        <v>58</v>
      </c>
      <c r="AD210" s="3" t="s">
        <v>2145</v>
      </c>
      <c r="AE210" s="5" t="s">
        <v>1587</v>
      </c>
      <c r="AF210" s="3" t="s">
        <v>60</v>
      </c>
      <c r="AG210" s="5" t="s">
        <v>42</v>
      </c>
      <c r="AH210" s="3" t="s">
        <v>61</v>
      </c>
      <c r="AI210" s="3" t="s">
        <v>61</v>
      </c>
      <c r="AJ210" s="3" t="s">
        <v>42</v>
      </c>
      <c r="AK210" s="3" t="s">
        <v>42</v>
      </c>
      <c r="AL210" s="29">
        <v>45761</v>
      </c>
      <c r="AM210" s="5" t="s">
        <v>42</v>
      </c>
      <c r="AN210" s="9" t="str">
        <f>HYPERLINK("https://my.pitchbook.com?p=345749-14P", "View People Online")</f>
        <v>View People Online</v>
      </c>
    </row>
    <row r="211" spans="1:40" x14ac:dyDescent="0.2">
      <c r="A211" s="2" t="s">
        <v>2146</v>
      </c>
      <c r="B211" s="2" t="s">
        <v>2147</v>
      </c>
      <c r="C211" s="2" t="s">
        <v>42</v>
      </c>
      <c r="D211" s="2" t="s">
        <v>42</v>
      </c>
      <c r="E211" s="2" t="s">
        <v>2146</v>
      </c>
      <c r="F211" s="2" t="s">
        <v>2148</v>
      </c>
      <c r="G211" s="2" t="s">
        <v>167</v>
      </c>
      <c r="H211" s="2" t="s">
        <v>45</v>
      </c>
      <c r="I211" s="2" t="s">
        <v>46</v>
      </c>
      <c r="J211" s="2" t="s">
        <v>47</v>
      </c>
      <c r="K211" s="2" t="s">
        <v>2149</v>
      </c>
      <c r="L211" s="2" t="s">
        <v>604</v>
      </c>
      <c r="M211" s="8" t="str">
        <f>HYPERLINK("http://www.purity.sa", "www.purity.sa")</f>
        <v>www.purity.sa</v>
      </c>
      <c r="N211" s="2" t="s">
        <v>210</v>
      </c>
      <c r="O211" s="2" t="s">
        <v>42</v>
      </c>
      <c r="P211" s="2" t="s">
        <v>2150</v>
      </c>
      <c r="Q211" s="2" t="s">
        <v>128</v>
      </c>
      <c r="R211" s="16" t="s">
        <v>42</v>
      </c>
      <c r="S211" s="16">
        <v>1</v>
      </c>
      <c r="T211" s="16">
        <v>1</v>
      </c>
      <c r="U211" s="16" t="s">
        <v>42</v>
      </c>
      <c r="V211" s="16" t="s">
        <v>42</v>
      </c>
      <c r="W211" s="4" t="s">
        <v>2151</v>
      </c>
      <c r="X211" s="2" t="s">
        <v>42</v>
      </c>
      <c r="Y211" s="2" t="s">
        <v>42</v>
      </c>
      <c r="Z211" s="2" t="s">
        <v>55</v>
      </c>
      <c r="AA211" s="2" t="s">
        <v>1226</v>
      </c>
      <c r="AB211" s="2" t="s">
        <v>132</v>
      </c>
      <c r="AC211" s="2" t="s">
        <v>58</v>
      </c>
      <c r="AD211" s="2" t="s">
        <v>42</v>
      </c>
      <c r="AE211" s="4" t="s">
        <v>133</v>
      </c>
      <c r="AF211" s="2" t="s">
        <v>60</v>
      </c>
      <c r="AG211" s="4" t="s">
        <v>42</v>
      </c>
      <c r="AH211" s="2" t="s">
        <v>61</v>
      </c>
      <c r="AI211" s="2" t="s">
        <v>61</v>
      </c>
      <c r="AJ211" s="2" t="s">
        <v>42</v>
      </c>
      <c r="AK211" s="2" t="s">
        <v>42</v>
      </c>
      <c r="AL211" s="28">
        <v>45757</v>
      </c>
      <c r="AM211" s="4" t="s">
        <v>42</v>
      </c>
      <c r="AN211" s="8" t="str">
        <f>HYPERLINK("https://my.pitchbook.com?p=427200-04P", "View People Online")</f>
        <v>View People Online</v>
      </c>
    </row>
    <row r="212" spans="1:40" x14ac:dyDescent="0.2">
      <c r="A212" s="3" t="s">
        <v>2152</v>
      </c>
      <c r="B212" s="3" t="s">
        <v>2153</v>
      </c>
      <c r="C212" s="3" t="s">
        <v>42</v>
      </c>
      <c r="D212" s="3" t="s">
        <v>42</v>
      </c>
      <c r="E212" s="3" t="s">
        <v>2152</v>
      </c>
      <c r="F212" s="3" t="s">
        <v>2154</v>
      </c>
      <c r="G212" s="3" t="s">
        <v>167</v>
      </c>
      <c r="H212" s="3" t="s">
        <v>2155</v>
      </c>
      <c r="I212" s="3" t="s">
        <v>42</v>
      </c>
      <c r="J212" s="3" t="s">
        <v>47</v>
      </c>
      <c r="K212" s="3" t="s">
        <v>533</v>
      </c>
      <c r="L212" s="3" t="s">
        <v>111</v>
      </c>
      <c r="M212" s="9" t="str">
        <f>HYPERLINK("http://www.spimaco.com.sa", "www.spimaco.com.sa")</f>
        <v>www.spimaco.com.sa</v>
      </c>
      <c r="N212" s="3" t="s">
        <v>69</v>
      </c>
      <c r="O212" s="3" t="s">
        <v>42</v>
      </c>
      <c r="P212" s="3" t="s">
        <v>2156</v>
      </c>
      <c r="Q212" s="3" t="s">
        <v>42</v>
      </c>
      <c r="R212" s="17">
        <v>1</v>
      </c>
      <c r="S212" s="17">
        <v>1</v>
      </c>
      <c r="T212" s="17" t="s">
        <v>42</v>
      </c>
      <c r="U212" s="17" t="s">
        <v>42</v>
      </c>
      <c r="V212" s="17" t="s">
        <v>42</v>
      </c>
      <c r="W212" s="5" t="s">
        <v>536</v>
      </c>
      <c r="X212" s="3" t="s">
        <v>42</v>
      </c>
      <c r="Y212" s="3" t="s">
        <v>42</v>
      </c>
      <c r="Z212" s="3" t="s">
        <v>55</v>
      </c>
      <c r="AA212" s="3" t="s">
        <v>538</v>
      </c>
      <c r="AB212" s="3" t="s">
        <v>42</v>
      </c>
      <c r="AC212" s="3" t="s">
        <v>58</v>
      </c>
      <c r="AD212" s="3" t="s">
        <v>42</v>
      </c>
      <c r="AE212" s="5" t="s">
        <v>539</v>
      </c>
      <c r="AF212" s="3" t="s">
        <v>60</v>
      </c>
      <c r="AG212" s="5" t="s">
        <v>540</v>
      </c>
      <c r="AH212" s="3" t="s">
        <v>61</v>
      </c>
      <c r="AI212" s="3" t="s">
        <v>61</v>
      </c>
      <c r="AJ212" s="3" t="s">
        <v>42</v>
      </c>
      <c r="AK212" s="3" t="s">
        <v>42</v>
      </c>
      <c r="AL212" s="29">
        <v>45810</v>
      </c>
      <c r="AM212" s="5" t="s">
        <v>42</v>
      </c>
      <c r="AN212" s="9" t="str">
        <f>HYPERLINK("https://my.pitchbook.com?p=395847-19P", "View People Online")</f>
        <v>View People Online</v>
      </c>
    </row>
    <row r="213" spans="1:40" x14ac:dyDescent="0.2">
      <c r="A213" s="2" t="s">
        <v>2157</v>
      </c>
      <c r="B213" s="2" t="s">
        <v>2158</v>
      </c>
      <c r="C213" s="2" t="s">
        <v>42</v>
      </c>
      <c r="D213" s="2" t="s">
        <v>42</v>
      </c>
      <c r="E213" s="2" t="s">
        <v>2157</v>
      </c>
      <c r="F213" s="2" t="s">
        <v>2159</v>
      </c>
      <c r="G213" s="2" t="s">
        <v>167</v>
      </c>
      <c r="H213" s="2" t="s">
        <v>391</v>
      </c>
      <c r="I213" s="2" t="s">
        <v>46</v>
      </c>
      <c r="J213" s="2" t="s">
        <v>47</v>
      </c>
      <c r="K213" s="2" t="s">
        <v>710</v>
      </c>
      <c r="L213" s="2" t="s">
        <v>481</v>
      </c>
      <c r="M213" s="8" t="str">
        <f>HYPERLINK("http://www.saib.com.sa", "www.saib.com.sa")</f>
        <v>www.saib.com.sa</v>
      </c>
      <c r="N213" s="2" t="s">
        <v>534</v>
      </c>
      <c r="O213" s="2" t="s">
        <v>42</v>
      </c>
      <c r="P213" s="2" t="s">
        <v>2160</v>
      </c>
      <c r="Q213" s="2" t="s">
        <v>42</v>
      </c>
      <c r="R213" s="16" t="s">
        <v>42</v>
      </c>
      <c r="S213" s="16">
        <v>1</v>
      </c>
      <c r="T213" s="16">
        <v>1</v>
      </c>
      <c r="U213" s="16" t="s">
        <v>42</v>
      </c>
      <c r="V213" s="16" t="s">
        <v>42</v>
      </c>
      <c r="W213" s="4" t="s">
        <v>42</v>
      </c>
      <c r="X213" s="2" t="s">
        <v>2161</v>
      </c>
      <c r="Y213" s="8" t="str">
        <f>HYPERLINK("http://sa.linkedin.com/in/ahmed-almohsen-04419568", "http://sa.linkedin.com/in/ahmed-almohsen-04419568")</f>
        <v>http://sa.linkedin.com/in/ahmed-almohsen-04419568</v>
      </c>
      <c r="Z213" s="2" t="s">
        <v>55</v>
      </c>
      <c r="AA213" s="2" t="s">
        <v>713</v>
      </c>
      <c r="AB213" s="2" t="s">
        <v>714</v>
      </c>
      <c r="AC213" s="2" t="s">
        <v>58</v>
      </c>
      <c r="AD213" s="2" t="s">
        <v>42</v>
      </c>
      <c r="AE213" s="4" t="s">
        <v>715</v>
      </c>
      <c r="AF213" s="2" t="s">
        <v>60</v>
      </c>
      <c r="AG213" s="4" t="s">
        <v>42</v>
      </c>
      <c r="AH213" s="2" t="s">
        <v>61</v>
      </c>
      <c r="AI213" s="2" t="s">
        <v>61</v>
      </c>
      <c r="AJ213" s="2" t="s">
        <v>42</v>
      </c>
      <c r="AK213" s="2" t="s">
        <v>42</v>
      </c>
      <c r="AL213" s="28">
        <v>45838</v>
      </c>
      <c r="AM213" s="4">
        <v>1982</v>
      </c>
      <c r="AN213" s="8" t="str">
        <f>HYPERLINK("https://my.pitchbook.com?p=400536-01P", "View People Online")</f>
        <v>View People Online</v>
      </c>
    </row>
    <row r="214" spans="1:40" x14ac:dyDescent="0.2">
      <c r="A214" s="3" t="s">
        <v>2162</v>
      </c>
      <c r="B214" s="3" t="s">
        <v>2163</v>
      </c>
      <c r="C214" s="3" t="s">
        <v>42</v>
      </c>
      <c r="D214" s="3" t="s">
        <v>42</v>
      </c>
      <c r="E214" s="3" t="s">
        <v>2162</v>
      </c>
      <c r="F214" s="3" t="s">
        <v>2164</v>
      </c>
      <c r="G214" s="3" t="s">
        <v>167</v>
      </c>
      <c r="H214" s="3" t="s">
        <v>42</v>
      </c>
      <c r="I214" s="3" t="s">
        <v>46</v>
      </c>
      <c r="J214" s="3" t="s">
        <v>47</v>
      </c>
      <c r="K214" s="3" t="s">
        <v>2165</v>
      </c>
      <c r="L214" s="3" t="s">
        <v>111</v>
      </c>
      <c r="M214" s="9" t="str">
        <f>HYPERLINK("http://www.riyadhsteel.com.sa", "www.riyadhsteel.com.sa")</f>
        <v>www.riyadhsteel.com.sa</v>
      </c>
      <c r="N214" s="3" t="s">
        <v>112</v>
      </c>
      <c r="O214" s="3" t="s">
        <v>42</v>
      </c>
      <c r="P214" s="3" t="s">
        <v>2166</v>
      </c>
      <c r="Q214" s="3" t="s">
        <v>2167</v>
      </c>
      <c r="R214" s="17">
        <v>1</v>
      </c>
      <c r="S214" s="17">
        <v>1</v>
      </c>
      <c r="T214" s="17">
        <v>1</v>
      </c>
      <c r="U214" s="17" t="s">
        <v>42</v>
      </c>
      <c r="V214" s="17" t="s">
        <v>42</v>
      </c>
      <c r="W214" s="5" t="s">
        <v>2168</v>
      </c>
      <c r="X214" s="3" t="s">
        <v>2169</v>
      </c>
      <c r="Y214" s="9" t="str">
        <f>HYPERLINK("http://sa.linkedin.com/in/aalnafie", "http://sa.linkedin.com/in/aalnafie")</f>
        <v>http://sa.linkedin.com/in/aalnafie</v>
      </c>
      <c r="Z214" s="3" t="s">
        <v>55</v>
      </c>
      <c r="AA214" s="3" t="s">
        <v>2170</v>
      </c>
      <c r="AB214" s="3" t="s">
        <v>2171</v>
      </c>
      <c r="AC214" s="3" t="s">
        <v>58</v>
      </c>
      <c r="AD214" s="3" t="s">
        <v>42</v>
      </c>
      <c r="AE214" s="5" t="s">
        <v>2172</v>
      </c>
      <c r="AF214" s="3" t="s">
        <v>60</v>
      </c>
      <c r="AG214" s="5" t="s">
        <v>42</v>
      </c>
      <c r="AH214" s="3" t="s">
        <v>61</v>
      </c>
      <c r="AI214" s="3" t="s">
        <v>61</v>
      </c>
      <c r="AJ214" s="3" t="s">
        <v>42</v>
      </c>
      <c r="AK214" s="3" t="s">
        <v>42</v>
      </c>
      <c r="AL214" s="29">
        <v>45838</v>
      </c>
      <c r="AM214" s="5">
        <v>1988</v>
      </c>
      <c r="AN214" s="9" t="str">
        <f>HYPERLINK("https://my.pitchbook.com?p=369257-59P", "View People Online")</f>
        <v>View People Online</v>
      </c>
    </row>
    <row r="215" spans="1:40" x14ac:dyDescent="0.2">
      <c r="A215" s="2" t="s">
        <v>2173</v>
      </c>
      <c r="B215" s="2" t="s">
        <v>2174</v>
      </c>
      <c r="C215" s="2" t="s">
        <v>42</v>
      </c>
      <c r="D215" s="2" t="s">
        <v>42</v>
      </c>
      <c r="E215" s="2" t="s">
        <v>2173</v>
      </c>
      <c r="F215" s="2" t="s">
        <v>2175</v>
      </c>
      <c r="G215" s="2" t="s">
        <v>167</v>
      </c>
      <c r="H215" s="2" t="s">
        <v>356</v>
      </c>
      <c r="I215" s="2" t="s">
        <v>46</v>
      </c>
      <c r="J215" s="2" t="s">
        <v>47</v>
      </c>
      <c r="K215" s="2" t="s">
        <v>663</v>
      </c>
      <c r="L215" s="2" t="s">
        <v>111</v>
      </c>
      <c r="M215" s="8" t="str">
        <f>HYPERLINK("http://www.bahri.sa", "www.bahri.sa")</f>
        <v>www.bahri.sa</v>
      </c>
      <c r="N215" s="2" t="s">
        <v>2176</v>
      </c>
      <c r="O215" s="2" t="s">
        <v>42</v>
      </c>
      <c r="P215" s="2" t="s">
        <v>2177</v>
      </c>
      <c r="Q215" s="2" t="s">
        <v>42</v>
      </c>
      <c r="R215" s="16">
        <v>1</v>
      </c>
      <c r="S215" s="16">
        <v>1</v>
      </c>
      <c r="T215" s="16">
        <v>1</v>
      </c>
      <c r="U215" s="16" t="s">
        <v>42</v>
      </c>
      <c r="V215" s="16" t="s">
        <v>42</v>
      </c>
      <c r="W215" s="4" t="s">
        <v>665</v>
      </c>
      <c r="X215" s="2" t="s">
        <v>2178</v>
      </c>
      <c r="Y215" s="2" t="s">
        <v>42</v>
      </c>
      <c r="Z215" s="2" t="s">
        <v>55</v>
      </c>
      <c r="AA215" s="2" t="s">
        <v>667</v>
      </c>
      <c r="AB215" s="2" t="s">
        <v>668</v>
      </c>
      <c r="AC215" s="2" t="s">
        <v>58</v>
      </c>
      <c r="AD215" s="2" t="s">
        <v>42</v>
      </c>
      <c r="AE215" s="4" t="s">
        <v>556</v>
      </c>
      <c r="AF215" s="2" t="s">
        <v>60</v>
      </c>
      <c r="AG215" s="4" t="s">
        <v>669</v>
      </c>
      <c r="AH215" s="2" t="s">
        <v>61</v>
      </c>
      <c r="AI215" s="2" t="s">
        <v>61</v>
      </c>
      <c r="AJ215" s="2" t="s">
        <v>42</v>
      </c>
      <c r="AK215" s="2" t="s">
        <v>42</v>
      </c>
      <c r="AL215" s="28">
        <v>45755</v>
      </c>
      <c r="AM215" s="4" t="s">
        <v>42</v>
      </c>
      <c r="AN215" s="8" t="str">
        <f>HYPERLINK("https://my.pitchbook.com?p=298757-89P", "View People Online")</f>
        <v>View People Online</v>
      </c>
    </row>
    <row r="216" spans="1:40" x14ac:dyDescent="0.2">
      <c r="A216" s="3" t="s">
        <v>2179</v>
      </c>
      <c r="B216" s="3" t="s">
        <v>2180</v>
      </c>
      <c r="C216" s="3" t="s">
        <v>42</v>
      </c>
      <c r="D216" s="3" t="s">
        <v>42</v>
      </c>
      <c r="E216" s="3" t="s">
        <v>2179</v>
      </c>
      <c r="F216" s="3" t="s">
        <v>2181</v>
      </c>
      <c r="G216" s="3" t="s">
        <v>167</v>
      </c>
      <c r="H216" s="3" t="s">
        <v>2182</v>
      </c>
      <c r="I216" s="3" t="s">
        <v>46</v>
      </c>
      <c r="J216" s="3" t="s">
        <v>47</v>
      </c>
      <c r="K216" s="3" t="s">
        <v>2183</v>
      </c>
      <c r="L216" s="3" t="s">
        <v>111</v>
      </c>
      <c r="M216" s="9" t="str">
        <f>HYPERLINK("http://www.serviceequipment.com.sa", "www.serviceequipment.com.sa")</f>
        <v>www.serviceequipment.com.sa</v>
      </c>
      <c r="N216" s="3" t="s">
        <v>246</v>
      </c>
      <c r="O216" s="3" t="s">
        <v>42</v>
      </c>
      <c r="P216" s="3" t="s">
        <v>2184</v>
      </c>
      <c r="Q216" s="3" t="s">
        <v>42</v>
      </c>
      <c r="R216" s="17">
        <v>1</v>
      </c>
      <c r="S216" s="17">
        <v>1</v>
      </c>
      <c r="T216" s="17">
        <v>1</v>
      </c>
      <c r="U216" s="17" t="s">
        <v>42</v>
      </c>
      <c r="V216" s="17" t="s">
        <v>42</v>
      </c>
      <c r="W216" s="5" t="s">
        <v>2185</v>
      </c>
      <c r="X216" s="3" t="s">
        <v>2186</v>
      </c>
      <c r="Y216" s="3" t="s">
        <v>42</v>
      </c>
      <c r="Z216" s="3" t="s">
        <v>174</v>
      </c>
      <c r="AA216" s="3" t="s">
        <v>2187</v>
      </c>
      <c r="AB216" s="3" t="s">
        <v>42</v>
      </c>
      <c r="AC216" s="3" t="s">
        <v>176</v>
      </c>
      <c r="AD216" s="3" t="s">
        <v>42</v>
      </c>
      <c r="AE216" s="5" t="s">
        <v>1454</v>
      </c>
      <c r="AF216" s="3" t="s">
        <v>60</v>
      </c>
      <c r="AG216" s="5" t="s">
        <v>42</v>
      </c>
      <c r="AH216" s="3" t="s">
        <v>61</v>
      </c>
      <c r="AI216" s="3" t="s">
        <v>61</v>
      </c>
      <c r="AJ216" s="3" t="s">
        <v>42</v>
      </c>
      <c r="AK216" s="3" t="s">
        <v>42</v>
      </c>
      <c r="AL216" s="29">
        <v>45737</v>
      </c>
      <c r="AM216" s="5" t="s">
        <v>42</v>
      </c>
      <c r="AN216" s="9" t="str">
        <f>HYPERLINK("https://my.pitchbook.com?p=439038-73P", "View People Online")</f>
        <v>View People Online</v>
      </c>
    </row>
    <row r="217" spans="1:40" x14ac:dyDescent="0.2">
      <c r="A217" s="2" t="s">
        <v>2188</v>
      </c>
      <c r="B217" s="2" t="s">
        <v>2189</v>
      </c>
      <c r="C217" s="2" t="s">
        <v>42</v>
      </c>
      <c r="D217" s="2" t="s">
        <v>42</v>
      </c>
      <c r="E217" s="2" t="s">
        <v>2188</v>
      </c>
      <c r="F217" s="2" t="s">
        <v>2190</v>
      </c>
      <c r="G217" s="2" t="s">
        <v>167</v>
      </c>
      <c r="H217" s="2" t="s">
        <v>2191</v>
      </c>
      <c r="I217" s="2" t="s">
        <v>46</v>
      </c>
      <c r="J217" s="2" t="s">
        <v>47</v>
      </c>
      <c r="K217" s="2" t="s">
        <v>2192</v>
      </c>
      <c r="L217" s="2" t="s">
        <v>111</v>
      </c>
      <c r="M217" s="8" t="str">
        <f>HYPERLINK("http://www.alhokair.com", "www.alhokair.com")</f>
        <v>www.alhokair.com</v>
      </c>
      <c r="N217" s="2" t="s">
        <v>534</v>
      </c>
      <c r="O217" s="2" t="s">
        <v>42</v>
      </c>
      <c r="P217" s="2" t="s">
        <v>2193</v>
      </c>
      <c r="Q217" s="2" t="s">
        <v>42</v>
      </c>
      <c r="R217" s="16" t="s">
        <v>42</v>
      </c>
      <c r="S217" s="16">
        <v>1</v>
      </c>
      <c r="T217" s="16">
        <v>1</v>
      </c>
      <c r="U217" s="16" t="s">
        <v>42</v>
      </c>
      <c r="V217" s="16" t="s">
        <v>42</v>
      </c>
      <c r="W217" s="4" t="s">
        <v>2194</v>
      </c>
      <c r="X217" s="2" t="s">
        <v>2195</v>
      </c>
      <c r="Y217" s="2" t="s">
        <v>42</v>
      </c>
      <c r="Z217" s="2" t="s">
        <v>55</v>
      </c>
      <c r="AA217" s="2" t="s">
        <v>2196</v>
      </c>
      <c r="AB217" s="2" t="s">
        <v>2197</v>
      </c>
      <c r="AC217" s="2" t="s">
        <v>58</v>
      </c>
      <c r="AD217" s="2" t="s">
        <v>42</v>
      </c>
      <c r="AE217" s="4" t="s">
        <v>2198</v>
      </c>
      <c r="AF217" s="2" t="s">
        <v>60</v>
      </c>
      <c r="AG217" s="4" t="s">
        <v>42</v>
      </c>
      <c r="AH217" s="2" t="s">
        <v>61</v>
      </c>
      <c r="AI217" s="2" t="s">
        <v>61</v>
      </c>
      <c r="AJ217" s="2" t="s">
        <v>42</v>
      </c>
      <c r="AK217" s="2" t="s">
        <v>42</v>
      </c>
      <c r="AL217" s="28">
        <v>45980</v>
      </c>
      <c r="AM217" s="4" t="s">
        <v>42</v>
      </c>
      <c r="AN217" s="8" t="str">
        <f>HYPERLINK("https://my.pitchbook.com?p=425591-20P", "View People Online")</f>
        <v>View People Online</v>
      </c>
    </row>
    <row r="218" spans="1:40" x14ac:dyDescent="0.2">
      <c r="A218" s="3" t="s">
        <v>2199</v>
      </c>
      <c r="B218" s="3" t="s">
        <v>2200</v>
      </c>
      <c r="C218" s="3" t="s">
        <v>42</v>
      </c>
      <c r="D218" s="3" t="s">
        <v>42</v>
      </c>
      <c r="E218" s="3" t="s">
        <v>2199</v>
      </c>
      <c r="F218" s="3" t="s">
        <v>2201</v>
      </c>
      <c r="G218" s="3" t="s">
        <v>167</v>
      </c>
      <c r="H218" s="3" t="s">
        <v>223</v>
      </c>
      <c r="I218" s="3" t="s">
        <v>46</v>
      </c>
      <c r="J218" s="3" t="s">
        <v>47</v>
      </c>
      <c r="K218" s="3" t="s">
        <v>801</v>
      </c>
      <c r="L218" s="3" t="s">
        <v>111</v>
      </c>
      <c r="M218" s="9" t="str">
        <f>HYPERLINK("http://www.srmg.com", "www.srmg.com")</f>
        <v>www.srmg.com</v>
      </c>
      <c r="N218" s="3" t="s">
        <v>2202</v>
      </c>
      <c r="O218" s="3" t="s">
        <v>42</v>
      </c>
      <c r="P218" s="3" t="s">
        <v>2203</v>
      </c>
      <c r="Q218" s="3" t="s">
        <v>1112</v>
      </c>
      <c r="R218" s="17" t="s">
        <v>42</v>
      </c>
      <c r="S218" s="17">
        <v>1</v>
      </c>
      <c r="T218" s="17">
        <v>1</v>
      </c>
      <c r="U218" s="17" t="s">
        <v>42</v>
      </c>
      <c r="V218" s="17" t="s">
        <v>42</v>
      </c>
      <c r="W218" s="5" t="s">
        <v>804</v>
      </c>
      <c r="X218" s="3" t="s">
        <v>2204</v>
      </c>
      <c r="Y218" s="9" t="str">
        <f>HYPERLINK("http://linkedin.com/in/ahmed-elshaer-fcca-cpa-cga-49044327/", "http://linkedin.com/in/ahmed-elshaer-fcca-cpa-cga-49044327/")</f>
        <v>http://linkedin.com/in/ahmed-elshaer-fcca-cpa-cga-49044327/</v>
      </c>
      <c r="Z218" s="3" t="s">
        <v>55</v>
      </c>
      <c r="AA218" s="3" t="s">
        <v>806</v>
      </c>
      <c r="AB218" s="3" t="s">
        <v>807</v>
      </c>
      <c r="AC218" s="3" t="s">
        <v>58</v>
      </c>
      <c r="AD218" s="3" t="s">
        <v>42</v>
      </c>
      <c r="AE218" s="5" t="s">
        <v>42</v>
      </c>
      <c r="AF218" s="3" t="s">
        <v>60</v>
      </c>
      <c r="AG218" s="5" t="s">
        <v>42</v>
      </c>
      <c r="AH218" s="3" t="s">
        <v>61</v>
      </c>
      <c r="AI218" s="3" t="s">
        <v>61</v>
      </c>
      <c r="AJ218" s="3" t="s">
        <v>42</v>
      </c>
      <c r="AK218" s="3" t="s">
        <v>42</v>
      </c>
      <c r="AL218" s="29">
        <v>45908</v>
      </c>
      <c r="AM218" s="5" t="s">
        <v>42</v>
      </c>
      <c r="AN218" s="9" t="str">
        <f>HYPERLINK("https://my.pitchbook.com?p=463680-64P", "View People Online")</f>
        <v>View People Online</v>
      </c>
    </row>
    <row r="219" spans="1:40" x14ac:dyDescent="0.2">
      <c r="A219" s="2" t="s">
        <v>2205</v>
      </c>
      <c r="B219" s="2" t="s">
        <v>2206</v>
      </c>
      <c r="C219" s="2" t="s">
        <v>42</v>
      </c>
      <c r="D219" s="2" t="s">
        <v>42</v>
      </c>
      <c r="E219" s="2" t="s">
        <v>2205</v>
      </c>
      <c r="F219" s="2" t="s">
        <v>2207</v>
      </c>
      <c r="G219" s="2" t="s">
        <v>167</v>
      </c>
      <c r="H219" s="2" t="s">
        <v>1025</v>
      </c>
      <c r="I219" s="2" t="s">
        <v>46</v>
      </c>
      <c r="J219" s="2" t="s">
        <v>47</v>
      </c>
      <c r="K219" s="2" t="s">
        <v>2208</v>
      </c>
      <c r="L219" s="2" t="s">
        <v>111</v>
      </c>
      <c r="M219" s="8" t="str">
        <f>HYPERLINK("http://www.arabsea.com", "www.arabsea.com")</f>
        <v>www.arabsea.com</v>
      </c>
      <c r="N219" s="2" t="s">
        <v>534</v>
      </c>
      <c r="O219" s="2" t="s">
        <v>42</v>
      </c>
      <c r="P219" s="2" t="s">
        <v>2209</v>
      </c>
      <c r="Q219" s="2" t="s">
        <v>42</v>
      </c>
      <c r="R219" s="16" t="s">
        <v>42</v>
      </c>
      <c r="S219" s="16">
        <v>1</v>
      </c>
      <c r="T219" s="16">
        <v>1</v>
      </c>
      <c r="U219" s="16" t="s">
        <v>42</v>
      </c>
      <c r="V219" s="16" t="s">
        <v>42</v>
      </c>
      <c r="W219" s="4" t="s">
        <v>2210</v>
      </c>
      <c r="X219" s="2" t="s">
        <v>2211</v>
      </c>
      <c r="Y219" s="8" t="str">
        <f>HYPERLINK("http://linkedin.com/in/ahmad-fayyad-509694107/?originalsubdomain=sa", "http://linkedin.com/in/ahmad-fayyad-509694107/?originalsubdomain=sa")</f>
        <v>http://linkedin.com/in/ahmad-fayyad-509694107/?originalsubdomain=sa</v>
      </c>
      <c r="Z219" s="2" t="s">
        <v>55</v>
      </c>
      <c r="AA219" s="2" t="s">
        <v>2212</v>
      </c>
      <c r="AB219" s="2" t="s">
        <v>42</v>
      </c>
      <c r="AC219" s="2" t="s">
        <v>58</v>
      </c>
      <c r="AD219" s="2" t="s">
        <v>42</v>
      </c>
      <c r="AE219" s="4" t="s">
        <v>2213</v>
      </c>
      <c r="AF219" s="2" t="s">
        <v>60</v>
      </c>
      <c r="AG219" s="4" t="s">
        <v>2214</v>
      </c>
      <c r="AH219" s="2" t="s">
        <v>61</v>
      </c>
      <c r="AI219" s="2" t="s">
        <v>61</v>
      </c>
      <c r="AJ219" s="2" t="s">
        <v>42</v>
      </c>
      <c r="AK219" s="2" t="s">
        <v>42</v>
      </c>
      <c r="AL219" s="28">
        <v>45676</v>
      </c>
      <c r="AM219" s="4" t="s">
        <v>42</v>
      </c>
      <c r="AN219" s="8" t="str">
        <f>HYPERLINK("https://my.pitchbook.com?p=328071-43P", "View People Online")</f>
        <v>View People Online</v>
      </c>
    </row>
    <row r="220" spans="1:40" x14ac:dyDescent="0.2">
      <c r="A220" s="3" t="s">
        <v>2215</v>
      </c>
      <c r="B220" s="3" t="s">
        <v>2216</v>
      </c>
      <c r="C220" s="3" t="s">
        <v>42</v>
      </c>
      <c r="D220" s="3" t="s">
        <v>42</v>
      </c>
      <c r="E220" s="3" t="s">
        <v>2215</v>
      </c>
      <c r="F220" s="3" t="s">
        <v>2217</v>
      </c>
      <c r="G220" s="3" t="s">
        <v>167</v>
      </c>
      <c r="H220" s="3" t="s">
        <v>2218</v>
      </c>
      <c r="I220" s="3" t="s">
        <v>46</v>
      </c>
      <c r="J220" s="3" t="s">
        <v>47</v>
      </c>
      <c r="K220" s="3" t="s">
        <v>2219</v>
      </c>
      <c r="L220" s="3" t="s">
        <v>111</v>
      </c>
      <c r="M220" s="9" t="str">
        <f>HYPERLINK("http://www.fitaihi.com.sa", "www.fitaihi.com.sa")</f>
        <v>www.fitaihi.com.sa</v>
      </c>
      <c r="N220" s="3" t="s">
        <v>2004</v>
      </c>
      <c r="O220" s="3" t="s">
        <v>42</v>
      </c>
      <c r="P220" s="3" t="s">
        <v>2220</v>
      </c>
      <c r="Q220" s="3" t="s">
        <v>42</v>
      </c>
      <c r="R220" s="17">
        <v>1</v>
      </c>
      <c r="S220" s="17">
        <v>1</v>
      </c>
      <c r="T220" s="17">
        <v>1</v>
      </c>
      <c r="U220" s="17" t="s">
        <v>42</v>
      </c>
      <c r="V220" s="17" t="s">
        <v>42</v>
      </c>
      <c r="W220" s="5" t="s">
        <v>2221</v>
      </c>
      <c r="X220" s="3" t="s">
        <v>2222</v>
      </c>
      <c r="Y220" s="9" t="str">
        <f>HYPERLINK("http://linkedin.com/in/ahmed-fitaihi-a0316b13b/", "http://linkedin.com/in/ahmed-fitaihi-a0316b13b/")</f>
        <v>http://linkedin.com/in/ahmed-fitaihi-a0316b13b/</v>
      </c>
      <c r="Z220" s="3" t="s">
        <v>174</v>
      </c>
      <c r="AA220" s="3" t="s">
        <v>2223</v>
      </c>
      <c r="AB220" s="3" t="s">
        <v>2224</v>
      </c>
      <c r="AC220" s="3" t="s">
        <v>176</v>
      </c>
      <c r="AD220" s="3" t="s">
        <v>42</v>
      </c>
      <c r="AE220" s="5" t="s">
        <v>2225</v>
      </c>
      <c r="AF220" s="3" t="s">
        <v>60</v>
      </c>
      <c r="AG220" s="5" t="s">
        <v>42</v>
      </c>
      <c r="AH220" s="3" t="s">
        <v>61</v>
      </c>
      <c r="AI220" s="3" t="s">
        <v>61</v>
      </c>
      <c r="AJ220" s="3" t="s">
        <v>42</v>
      </c>
      <c r="AK220" s="3" t="s">
        <v>42</v>
      </c>
      <c r="AL220" s="29">
        <v>45980</v>
      </c>
      <c r="AM220" s="5" t="s">
        <v>42</v>
      </c>
      <c r="AN220" s="9" t="str">
        <f>HYPERLINK("https://my.pitchbook.com?p=385354-99P", "View People Online")</f>
        <v>View People Online</v>
      </c>
    </row>
    <row r="221" spans="1:40" x14ac:dyDescent="0.2">
      <c r="A221" s="2" t="s">
        <v>2226</v>
      </c>
      <c r="B221" s="2" t="s">
        <v>2227</v>
      </c>
      <c r="C221" s="2" t="s">
        <v>42</v>
      </c>
      <c r="D221" s="2" t="s">
        <v>42</v>
      </c>
      <c r="E221" s="2" t="s">
        <v>2226</v>
      </c>
      <c r="F221" s="2" t="s">
        <v>2228</v>
      </c>
      <c r="G221" s="2" t="s">
        <v>167</v>
      </c>
      <c r="H221" s="2" t="s">
        <v>42</v>
      </c>
      <c r="I221" s="2" t="s">
        <v>46</v>
      </c>
      <c r="J221" s="2" t="s">
        <v>47</v>
      </c>
      <c r="K221" s="2" t="s">
        <v>2229</v>
      </c>
      <c r="L221" s="2" t="s">
        <v>111</v>
      </c>
      <c r="M221" s="8" t="str">
        <f>HYPERLINK("http://www.masareducation.com", "www.masareducation.com")</f>
        <v>www.masareducation.com</v>
      </c>
      <c r="N221" s="2" t="s">
        <v>534</v>
      </c>
      <c r="O221" s="2" t="s">
        <v>42</v>
      </c>
      <c r="P221" s="2" t="s">
        <v>2230</v>
      </c>
      <c r="Q221" s="2" t="s">
        <v>42</v>
      </c>
      <c r="R221" s="16" t="s">
        <v>42</v>
      </c>
      <c r="S221" s="16">
        <v>1</v>
      </c>
      <c r="T221" s="16">
        <v>1</v>
      </c>
      <c r="U221" s="16" t="s">
        <v>42</v>
      </c>
      <c r="V221" s="16" t="s">
        <v>42</v>
      </c>
      <c r="W221" s="4" t="s">
        <v>2231</v>
      </c>
      <c r="X221" s="2" t="s">
        <v>2232</v>
      </c>
      <c r="Y221" s="2" t="s">
        <v>42</v>
      </c>
      <c r="Z221" s="2" t="s">
        <v>55</v>
      </c>
      <c r="AA221" s="2" t="s">
        <v>2233</v>
      </c>
      <c r="AB221" s="2" t="s">
        <v>2234</v>
      </c>
      <c r="AC221" s="2" t="s">
        <v>58</v>
      </c>
      <c r="AD221" s="2" t="s">
        <v>42</v>
      </c>
      <c r="AE221" s="4" t="s">
        <v>818</v>
      </c>
      <c r="AF221" s="2" t="s">
        <v>60</v>
      </c>
      <c r="AG221" s="4" t="s">
        <v>42</v>
      </c>
      <c r="AH221" s="2" t="s">
        <v>61</v>
      </c>
      <c r="AI221" s="2" t="s">
        <v>61</v>
      </c>
      <c r="AJ221" s="2" t="s">
        <v>42</v>
      </c>
      <c r="AK221" s="2" t="s">
        <v>42</v>
      </c>
      <c r="AL221" s="28">
        <v>45930</v>
      </c>
      <c r="AM221" s="4" t="s">
        <v>42</v>
      </c>
      <c r="AN221" s="8" t="str">
        <f>HYPERLINK("https://my.pitchbook.com?p=467249-68P", "View People Online")</f>
        <v>View People Online</v>
      </c>
    </row>
    <row r="222" spans="1:40" x14ac:dyDescent="0.2">
      <c r="A222" s="3" t="s">
        <v>2235</v>
      </c>
      <c r="B222" s="3" t="s">
        <v>2236</v>
      </c>
      <c r="C222" s="3" t="s">
        <v>42</v>
      </c>
      <c r="D222" s="3" t="s">
        <v>42</v>
      </c>
      <c r="E222" s="3" t="s">
        <v>2235</v>
      </c>
      <c r="F222" s="3" t="s">
        <v>2155</v>
      </c>
      <c r="G222" s="3" t="s">
        <v>167</v>
      </c>
      <c r="H222" s="3" t="s">
        <v>2237</v>
      </c>
      <c r="I222" s="3" t="s">
        <v>42</v>
      </c>
      <c r="J222" s="3" t="s">
        <v>42</v>
      </c>
      <c r="K222" s="3" t="s">
        <v>2238</v>
      </c>
      <c r="L222" s="3" t="s">
        <v>111</v>
      </c>
      <c r="M222" s="9" t="str">
        <f>HYPERLINK("http://www.signworldme.com", "www.signworldme.com")</f>
        <v>www.signworldme.com</v>
      </c>
      <c r="N222" s="3" t="s">
        <v>534</v>
      </c>
      <c r="O222" s="3" t="s">
        <v>42</v>
      </c>
      <c r="P222" s="3" t="s">
        <v>2239</v>
      </c>
      <c r="Q222" s="3" t="s">
        <v>42</v>
      </c>
      <c r="R222" s="17" t="s">
        <v>42</v>
      </c>
      <c r="S222" s="17">
        <v>1</v>
      </c>
      <c r="T222" s="17">
        <v>1</v>
      </c>
      <c r="U222" s="17" t="s">
        <v>42</v>
      </c>
      <c r="V222" s="17" t="s">
        <v>42</v>
      </c>
      <c r="W222" s="5" t="s">
        <v>2240</v>
      </c>
      <c r="X222" s="3" t="s">
        <v>2241</v>
      </c>
      <c r="Y222" s="3" t="s">
        <v>42</v>
      </c>
      <c r="Z222" s="3" t="s">
        <v>55</v>
      </c>
      <c r="AA222" s="3" t="s">
        <v>2242</v>
      </c>
      <c r="AB222" s="3" t="s">
        <v>42</v>
      </c>
      <c r="AC222" s="3" t="s">
        <v>58</v>
      </c>
      <c r="AD222" s="3" t="s">
        <v>42</v>
      </c>
      <c r="AE222" s="5" t="s">
        <v>2243</v>
      </c>
      <c r="AF222" s="3" t="s">
        <v>60</v>
      </c>
      <c r="AG222" s="5" t="s">
        <v>42</v>
      </c>
      <c r="AH222" s="3" t="s">
        <v>61</v>
      </c>
      <c r="AI222" s="3" t="s">
        <v>61</v>
      </c>
      <c r="AJ222" s="3" t="s">
        <v>42</v>
      </c>
      <c r="AK222" s="3" t="s">
        <v>42</v>
      </c>
      <c r="AL222" s="29">
        <v>45904</v>
      </c>
      <c r="AM222" s="5" t="s">
        <v>42</v>
      </c>
      <c r="AN222" s="9" t="str">
        <f>HYPERLINK("https://my.pitchbook.com?p=463293-73P", "View People Online")</f>
        <v>View People Online</v>
      </c>
    </row>
    <row r="223" spans="1:40" x14ac:dyDescent="0.2">
      <c r="A223" s="2" t="s">
        <v>2244</v>
      </c>
      <c r="B223" s="2" t="s">
        <v>2245</v>
      </c>
      <c r="C223" s="2" t="s">
        <v>42</v>
      </c>
      <c r="D223" s="2" t="s">
        <v>42</v>
      </c>
      <c r="E223" s="2" t="s">
        <v>2244</v>
      </c>
      <c r="F223" s="2" t="s">
        <v>2246</v>
      </c>
      <c r="G223" s="2" t="s">
        <v>167</v>
      </c>
      <c r="H223" s="2" t="s">
        <v>2247</v>
      </c>
      <c r="I223" s="2" t="s">
        <v>46</v>
      </c>
      <c r="J223" s="2" t="s">
        <v>47</v>
      </c>
      <c r="K223" s="2" t="s">
        <v>2248</v>
      </c>
      <c r="L223" s="2" t="s">
        <v>111</v>
      </c>
      <c r="M223" s="8" t="str">
        <f>HYPERLINK("http://www.wajdlife.com", "www.wajdlife.com")</f>
        <v>www.wajdlife.com</v>
      </c>
      <c r="N223" s="2" t="s">
        <v>534</v>
      </c>
      <c r="O223" s="2" t="s">
        <v>42</v>
      </c>
      <c r="P223" s="2" t="s">
        <v>2249</v>
      </c>
      <c r="Q223" s="2" t="s">
        <v>42</v>
      </c>
      <c r="R223" s="16" t="s">
        <v>42</v>
      </c>
      <c r="S223" s="16">
        <v>1</v>
      </c>
      <c r="T223" s="16">
        <v>1</v>
      </c>
      <c r="U223" s="16" t="s">
        <v>42</v>
      </c>
      <c r="V223" s="16" t="s">
        <v>42</v>
      </c>
      <c r="W223" s="4" t="s">
        <v>42</v>
      </c>
      <c r="X223" s="2" t="s">
        <v>42</v>
      </c>
      <c r="Y223" s="2" t="s">
        <v>42</v>
      </c>
      <c r="Z223" s="2" t="s">
        <v>55</v>
      </c>
      <c r="AA223" s="2" t="s">
        <v>2250</v>
      </c>
      <c r="AB223" s="2" t="s">
        <v>42</v>
      </c>
      <c r="AC223" s="2" t="s">
        <v>58</v>
      </c>
      <c r="AD223" s="2" t="s">
        <v>42</v>
      </c>
      <c r="AE223" s="4" t="s">
        <v>42</v>
      </c>
      <c r="AF223" s="2" t="s">
        <v>60</v>
      </c>
      <c r="AG223" s="4" t="s">
        <v>42</v>
      </c>
      <c r="AH223" s="2" t="s">
        <v>61</v>
      </c>
      <c r="AI223" s="2" t="s">
        <v>61</v>
      </c>
      <c r="AJ223" s="2" t="s">
        <v>42</v>
      </c>
      <c r="AK223" s="2" t="s">
        <v>42</v>
      </c>
      <c r="AL223" s="28">
        <v>45884</v>
      </c>
      <c r="AM223" s="4" t="s">
        <v>42</v>
      </c>
      <c r="AN223" s="8" t="str">
        <f>HYPERLINK("https://my.pitchbook.com?p=460438-30P", "View People Online")</f>
        <v>View People Online</v>
      </c>
    </row>
    <row r="224" spans="1:40" x14ac:dyDescent="0.2">
      <c r="A224" s="3" t="s">
        <v>2251</v>
      </c>
      <c r="B224" s="3" t="s">
        <v>2252</v>
      </c>
      <c r="C224" s="3" t="s">
        <v>42</v>
      </c>
      <c r="D224" s="3" t="s">
        <v>42</v>
      </c>
      <c r="E224" s="3" t="s">
        <v>2251</v>
      </c>
      <c r="F224" s="3" t="s">
        <v>2253</v>
      </c>
      <c r="G224" s="3" t="s">
        <v>2254</v>
      </c>
      <c r="H224" s="3" t="s">
        <v>42</v>
      </c>
      <c r="I224" s="3" t="s">
        <v>46</v>
      </c>
      <c r="J224" s="3" t="s">
        <v>47</v>
      </c>
      <c r="K224" s="3" t="s">
        <v>2255</v>
      </c>
      <c r="L224" s="3" t="s">
        <v>111</v>
      </c>
      <c r="M224" s="9" t="str">
        <f>HYPERLINK("http://www.aictec.com", "www.aictec.com")</f>
        <v>www.aictec.com</v>
      </c>
      <c r="N224" s="3" t="s">
        <v>534</v>
      </c>
      <c r="O224" s="3" t="s">
        <v>42</v>
      </c>
      <c r="P224" s="3" t="s">
        <v>2256</v>
      </c>
      <c r="Q224" s="3" t="s">
        <v>42</v>
      </c>
      <c r="R224" s="17" t="s">
        <v>42</v>
      </c>
      <c r="S224" s="17">
        <v>1</v>
      </c>
      <c r="T224" s="17">
        <v>1</v>
      </c>
      <c r="U224" s="17" t="s">
        <v>42</v>
      </c>
      <c r="V224" s="17" t="s">
        <v>42</v>
      </c>
      <c r="W224" s="5" t="s">
        <v>42</v>
      </c>
      <c r="X224" s="3" t="s">
        <v>2257</v>
      </c>
      <c r="Y224" s="3" t="s">
        <v>42</v>
      </c>
      <c r="Z224" s="3" t="s">
        <v>55</v>
      </c>
      <c r="AA224" s="3" t="s">
        <v>2258</v>
      </c>
      <c r="AB224" s="3" t="s">
        <v>2259</v>
      </c>
      <c r="AC224" s="3" t="s">
        <v>58</v>
      </c>
      <c r="AD224" s="3" t="s">
        <v>42</v>
      </c>
      <c r="AE224" s="5" t="s">
        <v>2260</v>
      </c>
      <c r="AF224" s="3" t="s">
        <v>60</v>
      </c>
      <c r="AG224" s="5" t="s">
        <v>42</v>
      </c>
      <c r="AH224" s="3" t="s">
        <v>61</v>
      </c>
      <c r="AI224" s="3" t="s">
        <v>61</v>
      </c>
      <c r="AJ224" s="3" t="s">
        <v>42</v>
      </c>
      <c r="AK224" s="3" t="s">
        <v>42</v>
      </c>
      <c r="AL224" s="29">
        <v>45971</v>
      </c>
      <c r="AM224" s="5" t="s">
        <v>42</v>
      </c>
      <c r="AN224" s="9" t="str">
        <f>HYPERLINK("https://my.pitchbook.com?p=298824-31P", "View People Online")</f>
        <v>View People Online</v>
      </c>
    </row>
    <row r="225" spans="1:40" x14ac:dyDescent="0.2">
      <c r="A225" s="2" t="s">
        <v>2261</v>
      </c>
      <c r="B225" s="2" t="s">
        <v>2262</v>
      </c>
      <c r="C225" s="2" t="s">
        <v>42</v>
      </c>
      <c r="D225" s="2" t="s">
        <v>42</v>
      </c>
      <c r="E225" s="2" t="s">
        <v>2261</v>
      </c>
      <c r="F225" s="2" t="s">
        <v>2263</v>
      </c>
      <c r="G225" s="2" t="s">
        <v>167</v>
      </c>
      <c r="H225" s="2" t="s">
        <v>2264</v>
      </c>
      <c r="I225" s="2" t="s">
        <v>46</v>
      </c>
      <c r="J225" s="2" t="s">
        <v>47</v>
      </c>
      <c r="K225" s="2" t="s">
        <v>834</v>
      </c>
      <c r="L225" s="2" t="s">
        <v>111</v>
      </c>
      <c r="M225" s="8" t="str">
        <f>HYPERLINK("http://www.sgp.com.sa", "www.sgp.com.sa")</f>
        <v>www.sgp.com.sa</v>
      </c>
      <c r="N225" s="2" t="s">
        <v>534</v>
      </c>
      <c r="O225" s="2" t="s">
        <v>42</v>
      </c>
      <c r="P225" s="2" t="s">
        <v>2265</v>
      </c>
      <c r="Q225" s="2" t="s">
        <v>42</v>
      </c>
      <c r="R225" s="16" t="s">
        <v>42</v>
      </c>
      <c r="S225" s="16">
        <v>1</v>
      </c>
      <c r="T225" s="16">
        <v>1</v>
      </c>
      <c r="U225" s="16" t="s">
        <v>42</v>
      </c>
      <c r="V225" s="16" t="s">
        <v>42</v>
      </c>
      <c r="W225" s="4" t="s">
        <v>836</v>
      </c>
      <c r="X225" s="2" t="s">
        <v>42</v>
      </c>
      <c r="Y225" s="2" t="s">
        <v>42</v>
      </c>
      <c r="Z225" s="2" t="s">
        <v>55</v>
      </c>
      <c r="AA225" s="2" t="s">
        <v>837</v>
      </c>
      <c r="AB225" s="2" t="s">
        <v>838</v>
      </c>
      <c r="AC225" s="2" t="s">
        <v>58</v>
      </c>
      <c r="AD225" s="2" t="s">
        <v>42</v>
      </c>
      <c r="AE225" s="4" t="s">
        <v>42</v>
      </c>
      <c r="AF225" s="2" t="s">
        <v>60</v>
      </c>
      <c r="AG225" s="4" t="s">
        <v>836</v>
      </c>
      <c r="AH225" s="2" t="s">
        <v>61</v>
      </c>
      <c r="AI225" s="2" t="s">
        <v>61</v>
      </c>
      <c r="AJ225" s="2" t="s">
        <v>42</v>
      </c>
      <c r="AK225" s="2" t="s">
        <v>42</v>
      </c>
      <c r="AL225" s="28">
        <v>45643</v>
      </c>
      <c r="AM225" s="4" t="s">
        <v>42</v>
      </c>
      <c r="AN225" s="8" t="str">
        <f>HYPERLINK("https://my.pitchbook.com?p=328976-56P", "View People Online")</f>
        <v>View People Online</v>
      </c>
    </row>
    <row r="226" spans="1:40" x14ac:dyDescent="0.2">
      <c r="A226" s="3" t="s">
        <v>2266</v>
      </c>
      <c r="B226" s="3" t="s">
        <v>2267</v>
      </c>
      <c r="C226" s="3" t="s">
        <v>42</v>
      </c>
      <c r="D226" s="3" t="s">
        <v>42</v>
      </c>
      <c r="E226" s="3" t="s">
        <v>2266</v>
      </c>
      <c r="F226" s="3" t="s">
        <v>2077</v>
      </c>
      <c r="G226" s="3" t="s">
        <v>167</v>
      </c>
      <c r="H226" s="3" t="s">
        <v>2268</v>
      </c>
      <c r="I226" s="3" t="s">
        <v>46</v>
      </c>
      <c r="J226" s="3" t="s">
        <v>47</v>
      </c>
      <c r="K226" s="3" t="s">
        <v>1745</v>
      </c>
      <c r="L226" s="3" t="s">
        <v>111</v>
      </c>
      <c r="M226" s="9" t="str">
        <f>HYPERLINK("http://www.mayar.com.sa", "www.mayar.com.sa")</f>
        <v>www.mayar.com.sa</v>
      </c>
      <c r="N226" s="3" t="s">
        <v>534</v>
      </c>
      <c r="O226" s="3" t="s">
        <v>42</v>
      </c>
      <c r="P226" s="3" t="s">
        <v>2269</v>
      </c>
      <c r="Q226" s="3" t="s">
        <v>42</v>
      </c>
      <c r="R226" s="17" t="s">
        <v>42</v>
      </c>
      <c r="S226" s="17">
        <v>1</v>
      </c>
      <c r="T226" s="17">
        <v>1</v>
      </c>
      <c r="U226" s="17" t="s">
        <v>42</v>
      </c>
      <c r="V226" s="17" t="s">
        <v>42</v>
      </c>
      <c r="W226" s="5" t="s">
        <v>1747</v>
      </c>
      <c r="X226" s="3" t="s">
        <v>42</v>
      </c>
      <c r="Y226" s="3" t="s">
        <v>42</v>
      </c>
      <c r="Z226" s="3" t="s">
        <v>55</v>
      </c>
      <c r="AA226" s="3" t="s">
        <v>1748</v>
      </c>
      <c r="AB226" s="3" t="s">
        <v>1749</v>
      </c>
      <c r="AC226" s="3" t="s">
        <v>58</v>
      </c>
      <c r="AD226" s="3" t="s">
        <v>42</v>
      </c>
      <c r="AE226" s="5" t="s">
        <v>454</v>
      </c>
      <c r="AF226" s="3" t="s">
        <v>60</v>
      </c>
      <c r="AG226" s="5" t="s">
        <v>1750</v>
      </c>
      <c r="AH226" s="3" t="s">
        <v>61</v>
      </c>
      <c r="AI226" s="3" t="s">
        <v>61</v>
      </c>
      <c r="AJ226" s="3" t="s">
        <v>42</v>
      </c>
      <c r="AK226" s="3" t="s">
        <v>42</v>
      </c>
      <c r="AL226" s="29">
        <v>45456</v>
      </c>
      <c r="AM226" s="5" t="s">
        <v>42</v>
      </c>
      <c r="AN226" s="9" t="str">
        <f>HYPERLINK("https://my.pitchbook.com?p=357791-32P", "View People Online")</f>
        <v>View People Online</v>
      </c>
    </row>
    <row r="227" spans="1:40" x14ac:dyDescent="0.2">
      <c r="A227" s="2" t="s">
        <v>2270</v>
      </c>
      <c r="B227" s="2" t="s">
        <v>2271</v>
      </c>
      <c r="C227" s="2" t="s">
        <v>42</v>
      </c>
      <c r="D227" s="2" t="s">
        <v>42</v>
      </c>
      <c r="E227" s="2" t="s">
        <v>2270</v>
      </c>
      <c r="F227" s="2" t="s">
        <v>195</v>
      </c>
      <c r="G227" s="2" t="s">
        <v>167</v>
      </c>
      <c r="H227" s="2" t="s">
        <v>2272</v>
      </c>
      <c r="I227" s="2" t="s">
        <v>46</v>
      </c>
      <c r="J227" s="2" t="s">
        <v>47</v>
      </c>
      <c r="K227" s="2" t="s">
        <v>2273</v>
      </c>
      <c r="L227" s="2" t="s">
        <v>111</v>
      </c>
      <c r="M227" s="8" t="str">
        <f>HYPERLINK("http://www.siec.com.sa", "www.siec.com.sa")</f>
        <v>www.siec.com.sa</v>
      </c>
      <c r="N227" s="2" t="s">
        <v>534</v>
      </c>
      <c r="O227" s="2" t="s">
        <v>42</v>
      </c>
      <c r="P227" s="2" t="s">
        <v>2274</v>
      </c>
      <c r="Q227" s="2" t="s">
        <v>42</v>
      </c>
      <c r="R227" s="16" t="s">
        <v>42</v>
      </c>
      <c r="S227" s="16">
        <v>1</v>
      </c>
      <c r="T227" s="16">
        <v>1</v>
      </c>
      <c r="U227" s="16" t="s">
        <v>42</v>
      </c>
      <c r="V227" s="16" t="s">
        <v>42</v>
      </c>
      <c r="W227" s="4" t="s">
        <v>2275</v>
      </c>
      <c r="X227" s="2" t="s">
        <v>2276</v>
      </c>
      <c r="Y227" s="8" t="str">
        <f>HYPERLINK("http://linkedin.com/in/ahmed-talat-abdulaziz/", "http://linkedin.com/in/ahmed-talat-abdulaziz/")</f>
        <v>http://linkedin.com/in/ahmed-talat-abdulaziz/</v>
      </c>
      <c r="Z227" s="2" t="s">
        <v>55</v>
      </c>
      <c r="AA227" s="2" t="s">
        <v>2277</v>
      </c>
      <c r="AB227" s="2" t="s">
        <v>42</v>
      </c>
      <c r="AC227" s="2" t="s">
        <v>58</v>
      </c>
      <c r="AD227" s="2" t="s">
        <v>42</v>
      </c>
      <c r="AE227" s="4" t="s">
        <v>2278</v>
      </c>
      <c r="AF227" s="2" t="s">
        <v>60</v>
      </c>
      <c r="AG227" s="4" t="s">
        <v>2279</v>
      </c>
      <c r="AH227" s="2" t="s">
        <v>61</v>
      </c>
      <c r="AI227" s="2" t="s">
        <v>61</v>
      </c>
      <c r="AJ227" s="2" t="s">
        <v>42</v>
      </c>
      <c r="AK227" s="2" t="s">
        <v>42</v>
      </c>
      <c r="AL227" s="28">
        <v>45958</v>
      </c>
      <c r="AM227" s="4" t="s">
        <v>42</v>
      </c>
      <c r="AN227" s="8" t="str">
        <f>HYPERLINK("https://my.pitchbook.com?p=382780-99P", "View People Online")</f>
        <v>View People Online</v>
      </c>
    </row>
    <row r="228" spans="1:40" x14ac:dyDescent="0.2">
      <c r="A228" s="3" t="s">
        <v>2280</v>
      </c>
      <c r="B228" s="3" t="s">
        <v>2281</v>
      </c>
      <c r="C228" s="3" t="s">
        <v>42</v>
      </c>
      <c r="D228" s="3" t="s">
        <v>42</v>
      </c>
      <c r="E228" s="3" t="s">
        <v>2280</v>
      </c>
      <c r="F228" s="3" t="s">
        <v>2282</v>
      </c>
      <c r="G228" s="3" t="s">
        <v>167</v>
      </c>
      <c r="H228" s="3" t="s">
        <v>2283</v>
      </c>
      <c r="I228" s="3" t="s">
        <v>46</v>
      </c>
      <c r="J228" s="3" t="s">
        <v>47</v>
      </c>
      <c r="K228" s="3" t="s">
        <v>2284</v>
      </c>
      <c r="L228" s="3" t="s">
        <v>111</v>
      </c>
      <c r="M228" s="9" t="str">
        <f>HYPERLINK("http://axs.sa", "axs.sa")</f>
        <v>axs.sa</v>
      </c>
      <c r="N228" s="3" t="s">
        <v>2285</v>
      </c>
      <c r="O228" s="3" t="s">
        <v>42</v>
      </c>
      <c r="P228" s="3" t="s">
        <v>2286</v>
      </c>
      <c r="Q228" s="3" t="s">
        <v>42</v>
      </c>
      <c r="R228" s="17">
        <v>1</v>
      </c>
      <c r="S228" s="17">
        <v>1</v>
      </c>
      <c r="T228" s="17">
        <v>1</v>
      </c>
      <c r="U228" s="17" t="s">
        <v>42</v>
      </c>
      <c r="V228" s="17" t="s">
        <v>42</v>
      </c>
      <c r="W228" s="5" t="s">
        <v>42</v>
      </c>
      <c r="X228" s="3" t="s">
        <v>42</v>
      </c>
      <c r="Y228" s="3" t="s">
        <v>42</v>
      </c>
      <c r="Z228" s="3" t="s">
        <v>55</v>
      </c>
      <c r="AA228" s="3" t="s">
        <v>2287</v>
      </c>
      <c r="AB228" s="3" t="s">
        <v>1238</v>
      </c>
      <c r="AC228" s="3" t="s">
        <v>58</v>
      </c>
      <c r="AD228" s="3" t="s">
        <v>2288</v>
      </c>
      <c r="AE228" s="5" t="s">
        <v>42</v>
      </c>
      <c r="AF228" s="3" t="s">
        <v>60</v>
      </c>
      <c r="AG228" s="5" t="s">
        <v>42</v>
      </c>
      <c r="AH228" s="3" t="s">
        <v>61</v>
      </c>
      <c r="AI228" s="3" t="s">
        <v>61</v>
      </c>
      <c r="AJ228" s="3" t="s">
        <v>42</v>
      </c>
      <c r="AK228" s="3" t="s">
        <v>42</v>
      </c>
      <c r="AL228" s="29">
        <v>45985</v>
      </c>
      <c r="AM228" s="5" t="s">
        <v>42</v>
      </c>
      <c r="AN228" s="9" t="str">
        <f>HYPERLINK("https://my.pitchbook.com?p=446251-87P", "View People Online")</f>
        <v>View People Online</v>
      </c>
    </row>
    <row r="229" spans="1:40" x14ac:dyDescent="0.2">
      <c r="A229" s="2" t="s">
        <v>2289</v>
      </c>
      <c r="B229" s="2" t="s">
        <v>2290</v>
      </c>
      <c r="C229" s="2" t="s">
        <v>42</v>
      </c>
      <c r="D229" s="2" t="s">
        <v>42</v>
      </c>
      <c r="E229" s="2" t="s">
        <v>2289</v>
      </c>
      <c r="F229" s="2" t="s">
        <v>2291</v>
      </c>
      <c r="G229" s="2" t="s">
        <v>167</v>
      </c>
      <c r="H229" s="2" t="s">
        <v>42</v>
      </c>
      <c r="I229" s="2" t="s">
        <v>46</v>
      </c>
      <c r="J229" s="2" t="s">
        <v>47</v>
      </c>
      <c r="K229" s="2" t="s">
        <v>380</v>
      </c>
      <c r="L229" s="2" t="s">
        <v>111</v>
      </c>
      <c r="M229" s="8" t="str">
        <f>HYPERLINK("http://www.senaat.com", "www.senaat.com")</f>
        <v>www.senaat.com</v>
      </c>
      <c r="N229" s="2" t="s">
        <v>210</v>
      </c>
      <c r="O229" s="2" t="s">
        <v>42</v>
      </c>
      <c r="P229" s="2" t="s">
        <v>2292</v>
      </c>
      <c r="Q229" s="2" t="s">
        <v>42</v>
      </c>
      <c r="R229" s="16" t="s">
        <v>42</v>
      </c>
      <c r="S229" s="16">
        <v>1</v>
      </c>
      <c r="T229" s="16">
        <v>1</v>
      </c>
      <c r="U229" s="16" t="s">
        <v>42</v>
      </c>
      <c r="V229" s="16" t="s">
        <v>42</v>
      </c>
      <c r="W229" s="4" t="s">
        <v>382</v>
      </c>
      <c r="X229" s="2" t="s">
        <v>2293</v>
      </c>
      <c r="Y229" s="8" t="str">
        <f>HYPERLINK("http://linkedin.com/in/ahmed-zaatari-54b228158/", "http://linkedin.com/in/ahmed-zaatari-54b228158/")</f>
        <v>http://linkedin.com/in/ahmed-zaatari-54b228158/</v>
      </c>
      <c r="Z229" s="2" t="s">
        <v>383</v>
      </c>
      <c r="AA229" s="2" t="s">
        <v>384</v>
      </c>
      <c r="AB229" s="2" t="s">
        <v>42</v>
      </c>
      <c r="AC229" s="2" t="s">
        <v>385</v>
      </c>
      <c r="AD229" s="2" t="s">
        <v>42</v>
      </c>
      <c r="AE229" s="4" t="s">
        <v>386</v>
      </c>
      <c r="AF229" s="2" t="s">
        <v>60</v>
      </c>
      <c r="AG229" s="4" t="s">
        <v>387</v>
      </c>
      <c r="AH229" s="2" t="s">
        <v>61</v>
      </c>
      <c r="AI229" s="2" t="s">
        <v>61</v>
      </c>
      <c r="AJ229" s="2" t="s">
        <v>42</v>
      </c>
      <c r="AK229" s="2" t="s">
        <v>42</v>
      </c>
      <c r="AL229" s="28">
        <v>45938</v>
      </c>
      <c r="AM229" s="4" t="s">
        <v>42</v>
      </c>
      <c r="AN229" s="8" t="str">
        <f>HYPERLINK("https://my.pitchbook.com?p=391301-56P", "View People Online")</f>
        <v>View People Online</v>
      </c>
    </row>
    <row r="230" spans="1:40" x14ac:dyDescent="0.2">
      <c r="A230" s="3" t="s">
        <v>2294</v>
      </c>
      <c r="B230" s="3" t="s">
        <v>2295</v>
      </c>
      <c r="C230" s="3" t="s">
        <v>42</v>
      </c>
      <c r="D230" s="3" t="s">
        <v>42</v>
      </c>
      <c r="E230" s="3" t="s">
        <v>2294</v>
      </c>
      <c r="F230" s="3" t="s">
        <v>2296</v>
      </c>
      <c r="G230" s="3" t="s">
        <v>2297</v>
      </c>
      <c r="H230" s="3" t="s">
        <v>2298</v>
      </c>
      <c r="I230" s="3" t="s">
        <v>46</v>
      </c>
      <c r="J230" s="3" t="s">
        <v>47</v>
      </c>
      <c r="K230" s="3" t="s">
        <v>2299</v>
      </c>
      <c r="L230" s="3" t="s">
        <v>111</v>
      </c>
      <c r="M230" s="9" t="str">
        <f>HYPERLINK("http://www.saudikayan.com", "www.saudikayan.com")</f>
        <v>www.saudikayan.com</v>
      </c>
      <c r="N230" s="3" t="s">
        <v>2300</v>
      </c>
      <c r="O230" s="3" t="s">
        <v>42</v>
      </c>
      <c r="P230" s="3" t="s">
        <v>2301</v>
      </c>
      <c r="Q230" s="3" t="s">
        <v>42</v>
      </c>
      <c r="R230" s="17" t="s">
        <v>42</v>
      </c>
      <c r="S230" s="17">
        <v>1</v>
      </c>
      <c r="T230" s="17">
        <v>1</v>
      </c>
      <c r="U230" s="17" t="s">
        <v>42</v>
      </c>
      <c r="V230" s="17" t="s">
        <v>42</v>
      </c>
      <c r="W230" s="5" t="s">
        <v>2302</v>
      </c>
      <c r="X230" s="3" t="s">
        <v>2303</v>
      </c>
      <c r="Y230" s="9" t="str">
        <f>HYPERLINK("http://linkedin.com/in/aiman-khayat-a1708a268/", "http://linkedin.com/in/aiman-khayat-a1708a268/")</f>
        <v>http://linkedin.com/in/aiman-khayat-a1708a268/</v>
      </c>
      <c r="Z230" s="3" t="s">
        <v>396</v>
      </c>
      <c r="AA230" s="3" t="s">
        <v>2304</v>
      </c>
      <c r="AB230" s="3" t="s">
        <v>2305</v>
      </c>
      <c r="AC230" s="3" t="s">
        <v>398</v>
      </c>
      <c r="AD230" s="3" t="s">
        <v>42</v>
      </c>
      <c r="AE230" s="5" t="s">
        <v>2306</v>
      </c>
      <c r="AF230" s="3" t="s">
        <v>60</v>
      </c>
      <c r="AG230" s="5" t="s">
        <v>2307</v>
      </c>
      <c r="AH230" s="3" t="s">
        <v>61</v>
      </c>
      <c r="AI230" s="3" t="s">
        <v>61</v>
      </c>
      <c r="AJ230" s="3" t="s">
        <v>42</v>
      </c>
      <c r="AK230" s="3" t="s">
        <v>42</v>
      </c>
      <c r="AL230" s="29">
        <v>45735</v>
      </c>
      <c r="AM230" s="5" t="s">
        <v>42</v>
      </c>
      <c r="AN230" s="9" t="str">
        <f>HYPERLINK("https://my.pitchbook.com?p=341797-42P", "View People Online")</f>
        <v>View People Online</v>
      </c>
    </row>
    <row r="231" spans="1:40" x14ac:dyDescent="0.2">
      <c r="A231" s="2" t="s">
        <v>2308</v>
      </c>
      <c r="B231" s="2" t="s">
        <v>2309</v>
      </c>
      <c r="C231" s="2" t="s">
        <v>42</v>
      </c>
      <c r="D231" s="2" t="s">
        <v>42</v>
      </c>
      <c r="E231" s="2" t="s">
        <v>2308</v>
      </c>
      <c r="F231" s="2" t="s">
        <v>2310</v>
      </c>
      <c r="G231" s="2" t="s">
        <v>2311</v>
      </c>
      <c r="H231" s="2" t="s">
        <v>42</v>
      </c>
      <c r="I231" s="2" t="s">
        <v>46</v>
      </c>
      <c r="J231" s="2" t="s">
        <v>47</v>
      </c>
      <c r="K231" s="2" t="s">
        <v>2312</v>
      </c>
      <c r="L231" s="2" t="s">
        <v>111</v>
      </c>
      <c r="M231" s="8" t="str">
        <f>HYPERLINK("http://www.arabianmills.com", "www.arabianmills.com")</f>
        <v>www.arabianmills.com</v>
      </c>
      <c r="N231" s="2" t="s">
        <v>246</v>
      </c>
      <c r="O231" s="2" t="s">
        <v>42</v>
      </c>
      <c r="P231" s="2" t="s">
        <v>2313</v>
      </c>
      <c r="Q231" s="2" t="s">
        <v>42</v>
      </c>
      <c r="R231" s="16">
        <v>1</v>
      </c>
      <c r="S231" s="16">
        <v>1</v>
      </c>
      <c r="T231" s="16" t="s">
        <v>42</v>
      </c>
      <c r="U231" s="16" t="s">
        <v>42</v>
      </c>
      <c r="V231" s="16" t="s">
        <v>42</v>
      </c>
      <c r="W231" s="4" t="s">
        <v>42</v>
      </c>
      <c r="X231" s="2" t="s">
        <v>42</v>
      </c>
      <c r="Y231" s="2" t="s">
        <v>42</v>
      </c>
      <c r="Z231" s="2" t="s">
        <v>55</v>
      </c>
      <c r="AA231" s="2" t="s">
        <v>2314</v>
      </c>
      <c r="AB231" s="2" t="s">
        <v>42</v>
      </c>
      <c r="AC231" s="2" t="s">
        <v>58</v>
      </c>
      <c r="AD231" s="2" t="s">
        <v>42</v>
      </c>
      <c r="AE231" s="4" t="s">
        <v>2315</v>
      </c>
      <c r="AF231" s="2" t="s">
        <v>60</v>
      </c>
      <c r="AG231" s="4" t="s">
        <v>42</v>
      </c>
      <c r="AH231" s="2" t="s">
        <v>61</v>
      </c>
      <c r="AI231" s="2" t="s">
        <v>61</v>
      </c>
      <c r="AJ231" s="2" t="s">
        <v>42</v>
      </c>
      <c r="AK231" s="2" t="s">
        <v>42</v>
      </c>
      <c r="AL231" s="28">
        <v>45544</v>
      </c>
      <c r="AM231" s="4" t="s">
        <v>42</v>
      </c>
      <c r="AN231" s="8" t="str">
        <f>HYPERLINK("https://my.pitchbook.com?p=412034-41P", "View People Online")</f>
        <v>View People Online</v>
      </c>
    </row>
    <row r="232" spans="1:40" x14ac:dyDescent="0.2">
      <c r="A232" s="3" t="s">
        <v>2316</v>
      </c>
      <c r="B232" s="3" t="s">
        <v>2317</v>
      </c>
      <c r="C232" s="3" t="s">
        <v>42</v>
      </c>
      <c r="D232" s="3" t="s">
        <v>42</v>
      </c>
      <c r="E232" s="3" t="s">
        <v>2316</v>
      </c>
      <c r="F232" s="3" t="s">
        <v>298</v>
      </c>
      <c r="G232" s="3" t="s">
        <v>2318</v>
      </c>
      <c r="H232" s="3" t="s">
        <v>2319</v>
      </c>
      <c r="I232" s="3" t="s">
        <v>46</v>
      </c>
      <c r="J232" s="3" t="s">
        <v>47</v>
      </c>
      <c r="K232" s="3" t="s">
        <v>2320</v>
      </c>
      <c r="L232" s="3" t="s">
        <v>111</v>
      </c>
      <c r="M232" s="9" t="str">
        <f>HYPERLINK("http://www.seera.sa", "www.seera.sa")</f>
        <v>www.seera.sa</v>
      </c>
      <c r="N232" s="3" t="s">
        <v>210</v>
      </c>
      <c r="O232" s="3" t="s">
        <v>42</v>
      </c>
      <c r="P232" s="3" t="s">
        <v>2321</v>
      </c>
      <c r="Q232" s="3" t="s">
        <v>42</v>
      </c>
      <c r="R232" s="17" t="s">
        <v>42</v>
      </c>
      <c r="S232" s="17">
        <v>1</v>
      </c>
      <c r="T232" s="17">
        <v>1</v>
      </c>
      <c r="U232" s="17" t="s">
        <v>42</v>
      </c>
      <c r="V232" s="17" t="s">
        <v>42</v>
      </c>
      <c r="W232" s="5" t="s">
        <v>2322</v>
      </c>
      <c r="X232" s="3" t="s">
        <v>2323</v>
      </c>
      <c r="Y232" s="3" t="s">
        <v>42</v>
      </c>
      <c r="Z232" s="3" t="s">
        <v>55</v>
      </c>
      <c r="AA232" s="3" t="s">
        <v>2324</v>
      </c>
      <c r="AB232" s="3" t="s">
        <v>2325</v>
      </c>
      <c r="AC232" s="3" t="s">
        <v>58</v>
      </c>
      <c r="AD232" s="3" t="s">
        <v>42</v>
      </c>
      <c r="AE232" s="5" t="s">
        <v>2326</v>
      </c>
      <c r="AF232" s="3" t="s">
        <v>60</v>
      </c>
      <c r="AG232" s="5" t="s">
        <v>42</v>
      </c>
      <c r="AH232" s="3" t="s">
        <v>61</v>
      </c>
      <c r="AI232" s="3" t="s">
        <v>61</v>
      </c>
      <c r="AJ232" s="3" t="s">
        <v>42</v>
      </c>
      <c r="AK232" s="3" t="s">
        <v>42</v>
      </c>
      <c r="AL232" s="29">
        <v>46031</v>
      </c>
      <c r="AM232" s="5" t="s">
        <v>42</v>
      </c>
      <c r="AN232" s="9" t="str">
        <f>HYPERLINK("https://my.pitchbook.com?p=391725-28P", "View People Online")</f>
        <v>View People Online</v>
      </c>
    </row>
    <row r="233" spans="1:40" x14ac:dyDescent="0.2">
      <c r="A233" s="2" t="s">
        <v>2327</v>
      </c>
      <c r="B233" s="2" t="s">
        <v>2328</v>
      </c>
      <c r="C233" s="2" t="s">
        <v>42</v>
      </c>
      <c r="D233" s="2" t="s">
        <v>42</v>
      </c>
      <c r="E233" s="2" t="s">
        <v>2327</v>
      </c>
      <c r="F233" s="2" t="s">
        <v>2329</v>
      </c>
      <c r="G233" s="2" t="s">
        <v>2330</v>
      </c>
      <c r="H233" s="2" t="s">
        <v>2331</v>
      </c>
      <c r="I233" s="2" t="s">
        <v>46</v>
      </c>
      <c r="J233" s="2" t="s">
        <v>47</v>
      </c>
      <c r="K233" s="2" t="s">
        <v>2332</v>
      </c>
      <c r="L233" s="2" t="s">
        <v>111</v>
      </c>
      <c r="M233" s="8" t="str">
        <f>HYPERLINK("http://www.asgplastic.sa", "www.asgplastic.sa")</f>
        <v>www.asgplastic.sa</v>
      </c>
      <c r="N233" s="2" t="s">
        <v>210</v>
      </c>
      <c r="O233" s="2" t="s">
        <v>42</v>
      </c>
      <c r="P233" s="2" t="s">
        <v>2333</v>
      </c>
      <c r="Q233" s="2" t="s">
        <v>42</v>
      </c>
      <c r="R233" s="16" t="s">
        <v>42</v>
      </c>
      <c r="S233" s="16">
        <v>1</v>
      </c>
      <c r="T233" s="16">
        <v>1</v>
      </c>
      <c r="U233" s="16" t="s">
        <v>42</v>
      </c>
      <c r="V233" s="16" t="s">
        <v>42</v>
      </c>
      <c r="W233" s="4" t="s">
        <v>42</v>
      </c>
      <c r="X233" s="2" t="s">
        <v>42</v>
      </c>
      <c r="Y233" s="2" t="s">
        <v>42</v>
      </c>
      <c r="Z233" s="2" t="s">
        <v>55</v>
      </c>
      <c r="AA233" s="2" t="s">
        <v>58</v>
      </c>
      <c r="AB233" s="2" t="s">
        <v>42</v>
      </c>
      <c r="AC233" s="2" t="s">
        <v>58</v>
      </c>
      <c r="AD233" s="2" t="s">
        <v>42</v>
      </c>
      <c r="AE233" s="4" t="s">
        <v>42</v>
      </c>
      <c r="AF233" s="2" t="s">
        <v>60</v>
      </c>
      <c r="AG233" s="4" t="s">
        <v>42</v>
      </c>
      <c r="AH233" s="2" t="s">
        <v>61</v>
      </c>
      <c r="AI233" s="2" t="s">
        <v>61</v>
      </c>
      <c r="AJ233" s="2" t="s">
        <v>42</v>
      </c>
      <c r="AK233" s="2" t="s">
        <v>42</v>
      </c>
      <c r="AL233" s="28">
        <v>45483</v>
      </c>
      <c r="AM233" s="4" t="s">
        <v>42</v>
      </c>
      <c r="AN233" s="8" t="str">
        <f>HYPERLINK("https://my.pitchbook.com?p=404294-14P", "View People Online")</f>
        <v>View People Online</v>
      </c>
    </row>
    <row r="234" spans="1:40" x14ac:dyDescent="0.2">
      <c r="A234" s="3" t="s">
        <v>2334</v>
      </c>
      <c r="B234" s="3" t="s">
        <v>2335</v>
      </c>
      <c r="C234" s="3" t="s">
        <v>42</v>
      </c>
      <c r="D234" s="3" t="s">
        <v>42</v>
      </c>
      <c r="E234" s="3" t="s">
        <v>2334</v>
      </c>
      <c r="F234" s="3" t="s">
        <v>2336</v>
      </c>
      <c r="G234" s="3" t="s">
        <v>2330</v>
      </c>
      <c r="H234" s="3" t="s">
        <v>42</v>
      </c>
      <c r="I234" s="3" t="s">
        <v>799</v>
      </c>
      <c r="J234" s="3" t="s">
        <v>800</v>
      </c>
      <c r="K234" s="3" t="s">
        <v>2337</v>
      </c>
      <c r="L234" s="3" t="s">
        <v>111</v>
      </c>
      <c r="M234" s="9" t="str">
        <f>HYPERLINK("http://www.wsmco.sa", "www.wsmco.sa")</f>
        <v>www.wsmco.sa</v>
      </c>
      <c r="N234" s="3" t="s">
        <v>210</v>
      </c>
      <c r="O234" s="3" t="s">
        <v>42</v>
      </c>
      <c r="P234" s="3" t="s">
        <v>2338</v>
      </c>
      <c r="Q234" s="3" t="s">
        <v>42</v>
      </c>
      <c r="R234" s="17" t="s">
        <v>42</v>
      </c>
      <c r="S234" s="17">
        <v>1</v>
      </c>
      <c r="T234" s="17">
        <v>1</v>
      </c>
      <c r="U234" s="17" t="s">
        <v>42</v>
      </c>
      <c r="V234" s="17" t="s">
        <v>42</v>
      </c>
      <c r="W234" s="5" t="s">
        <v>2339</v>
      </c>
      <c r="X234" s="3" t="s">
        <v>42</v>
      </c>
      <c r="Y234" s="3" t="s">
        <v>42</v>
      </c>
      <c r="Z234" s="3" t="s">
        <v>55</v>
      </c>
      <c r="AA234" s="3" t="s">
        <v>2340</v>
      </c>
      <c r="AB234" s="3" t="s">
        <v>42</v>
      </c>
      <c r="AC234" s="3" t="s">
        <v>58</v>
      </c>
      <c r="AD234" s="3" t="s">
        <v>42</v>
      </c>
      <c r="AE234" s="5" t="s">
        <v>42</v>
      </c>
      <c r="AF234" s="3" t="s">
        <v>60</v>
      </c>
      <c r="AG234" s="5" t="s">
        <v>2339</v>
      </c>
      <c r="AH234" s="3" t="s">
        <v>61</v>
      </c>
      <c r="AI234" s="3" t="s">
        <v>61</v>
      </c>
      <c r="AJ234" s="3" t="s">
        <v>42</v>
      </c>
      <c r="AK234" s="3" t="s">
        <v>42</v>
      </c>
      <c r="AL234" s="29">
        <v>45903</v>
      </c>
      <c r="AM234" s="5" t="s">
        <v>42</v>
      </c>
      <c r="AN234" s="9" t="str">
        <f>HYPERLINK("https://my.pitchbook.com?p=378783-19P", "View People Online")</f>
        <v>View People Online</v>
      </c>
    </row>
    <row r="235" spans="1:40" x14ac:dyDescent="0.2">
      <c r="A235" s="2" t="s">
        <v>2341</v>
      </c>
      <c r="B235" s="2" t="s">
        <v>2342</v>
      </c>
      <c r="C235" s="2" t="s">
        <v>42</v>
      </c>
      <c r="D235" s="2" t="s">
        <v>42</v>
      </c>
      <c r="E235" s="2" t="s">
        <v>2341</v>
      </c>
      <c r="F235" s="2" t="s">
        <v>2343</v>
      </c>
      <c r="G235" s="2" t="s">
        <v>2344</v>
      </c>
      <c r="H235" s="2" t="s">
        <v>2345</v>
      </c>
      <c r="I235" s="2" t="s">
        <v>46</v>
      </c>
      <c r="J235" s="2" t="s">
        <v>47</v>
      </c>
      <c r="K235" s="2" t="s">
        <v>2346</v>
      </c>
      <c r="L235" s="2" t="s">
        <v>111</v>
      </c>
      <c r="M235" s="8" t="str">
        <f>HYPERLINK("http://www.bci.sa", "www.bci.sa")</f>
        <v>www.bci.sa</v>
      </c>
      <c r="N235" s="2" t="s">
        <v>112</v>
      </c>
      <c r="O235" s="2" t="s">
        <v>42</v>
      </c>
      <c r="P235" s="2" t="s">
        <v>2347</v>
      </c>
      <c r="Q235" s="2" t="s">
        <v>42</v>
      </c>
      <c r="R235" s="16">
        <v>1</v>
      </c>
      <c r="S235" s="16">
        <v>1</v>
      </c>
      <c r="T235" s="16">
        <v>1</v>
      </c>
      <c r="U235" s="16" t="s">
        <v>42</v>
      </c>
      <c r="V235" s="16" t="s">
        <v>42</v>
      </c>
      <c r="W235" s="4" t="s">
        <v>2348</v>
      </c>
      <c r="X235" s="2" t="s">
        <v>42</v>
      </c>
      <c r="Y235" s="8" t="str">
        <f>HYPERLINK("http://linkedin.com/in/alaabdullahalshaikh/", "http://linkedin.com/in/alaabdullahalshaikh/")</f>
        <v>http://linkedin.com/in/alaabdullahalshaikh/</v>
      </c>
      <c r="Z235" s="2" t="s">
        <v>383</v>
      </c>
      <c r="AA235" s="2" t="s">
        <v>2349</v>
      </c>
      <c r="AB235" s="2" t="s">
        <v>42</v>
      </c>
      <c r="AC235" s="2" t="s">
        <v>385</v>
      </c>
      <c r="AD235" s="2" t="s">
        <v>42</v>
      </c>
      <c r="AE235" s="4" t="s">
        <v>2350</v>
      </c>
      <c r="AF235" s="2" t="s">
        <v>60</v>
      </c>
      <c r="AG235" s="4" t="s">
        <v>42</v>
      </c>
      <c r="AH235" s="2" t="s">
        <v>61</v>
      </c>
      <c r="AI235" s="2" t="s">
        <v>61</v>
      </c>
      <c r="AJ235" s="2" t="s">
        <v>42</v>
      </c>
      <c r="AK235" s="2" t="s">
        <v>42</v>
      </c>
      <c r="AL235" s="28">
        <v>45722</v>
      </c>
      <c r="AM235" s="4" t="s">
        <v>42</v>
      </c>
      <c r="AN235" s="8" t="str">
        <f>HYPERLINK("https://my.pitchbook.com?p=339956-65P", "View People Online")</f>
        <v>View People Online</v>
      </c>
    </row>
    <row r="236" spans="1:40" x14ac:dyDescent="0.2">
      <c r="A236" s="3" t="s">
        <v>2351</v>
      </c>
      <c r="B236" s="3" t="s">
        <v>2352</v>
      </c>
      <c r="C236" s="3" t="s">
        <v>42</v>
      </c>
      <c r="D236" s="3" t="s">
        <v>42</v>
      </c>
      <c r="E236" s="3" t="s">
        <v>2351</v>
      </c>
      <c r="F236" s="3" t="s">
        <v>2353</v>
      </c>
      <c r="G236" s="3" t="s">
        <v>2354</v>
      </c>
      <c r="H236" s="3" t="s">
        <v>42</v>
      </c>
      <c r="I236" s="3" t="s">
        <v>46</v>
      </c>
      <c r="J236" s="3" t="s">
        <v>47</v>
      </c>
      <c r="K236" s="3" t="s">
        <v>2355</v>
      </c>
      <c r="L236" s="3" t="s">
        <v>111</v>
      </c>
      <c r="M236" s="9" t="str">
        <f>HYPERLINK("http://aqaseem.com", "aqaseem.com")</f>
        <v>aqaseem.com</v>
      </c>
      <c r="N236" s="3" t="s">
        <v>2356</v>
      </c>
      <c r="O236" s="3" t="s">
        <v>42</v>
      </c>
      <c r="P236" s="3" t="s">
        <v>2357</v>
      </c>
      <c r="Q236" s="3" t="s">
        <v>42</v>
      </c>
      <c r="R236" s="17" t="s">
        <v>42</v>
      </c>
      <c r="S236" s="17">
        <v>1</v>
      </c>
      <c r="T236" s="17">
        <v>1</v>
      </c>
      <c r="U236" s="17" t="s">
        <v>42</v>
      </c>
      <c r="V236" s="17" t="s">
        <v>42</v>
      </c>
      <c r="W236" s="5" t="s">
        <v>2358</v>
      </c>
      <c r="X236" s="3" t="s">
        <v>42</v>
      </c>
      <c r="Y236" s="3" t="s">
        <v>42</v>
      </c>
      <c r="Z236" s="3" t="s">
        <v>55</v>
      </c>
      <c r="AA236" s="3" t="s">
        <v>2359</v>
      </c>
      <c r="AB236" s="3" t="s">
        <v>42</v>
      </c>
      <c r="AC236" s="3" t="s">
        <v>58</v>
      </c>
      <c r="AD236" s="3" t="s">
        <v>42</v>
      </c>
      <c r="AE236" s="5" t="s">
        <v>1021</v>
      </c>
      <c r="AF236" s="3" t="s">
        <v>60</v>
      </c>
      <c r="AG236" s="5" t="s">
        <v>2360</v>
      </c>
      <c r="AH236" s="3" t="s">
        <v>61</v>
      </c>
      <c r="AI236" s="3" t="s">
        <v>61</v>
      </c>
      <c r="AJ236" s="3" t="s">
        <v>42</v>
      </c>
      <c r="AK236" s="3" t="s">
        <v>42</v>
      </c>
      <c r="AL236" s="29">
        <v>45651</v>
      </c>
      <c r="AM236" s="5" t="s">
        <v>42</v>
      </c>
      <c r="AN236" s="9" t="str">
        <f>HYPERLINK("https://my.pitchbook.com?p=316672-21P", "View People Online")</f>
        <v>View People Online</v>
      </c>
    </row>
    <row r="237" spans="1:40" x14ac:dyDescent="0.2">
      <c r="A237" s="2" t="s">
        <v>2361</v>
      </c>
      <c r="B237" s="2" t="s">
        <v>2362</v>
      </c>
      <c r="C237" s="2" t="s">
        <v>42</v>
      </c>
      <c r="D237" s="2" t="s">
        <v>42</v>
      </c>
      <c r="E237" s="2" t="s">
        <v>2361</v>
      </c>
      <c r="F237" s="2" t="s">
        <v>2363</v>
      </c>
      <c r="G237" s="2" t="s">
        <v>2364</v>
      </c>
      <c r="H237" s="2" t="s">
        <v>42</v>
      </c>
      <c r="I237" s="2" t="s">
        <v>46</v>
      </c>
      <c r="J237" s="2" t="s">
        <v>47</v>
      </c>
      <c r="K237" s="2" t="s">
        <v>1510</v>
      </c>
      <c r="L237" s="2" t="s">
        <v>111</v>
      </c>
      <c r="M237" s="8" t="str">
        <f>HYPERLINK("http://www.firstmills.com", "www.firstmills.com")</f>
        <v>www.firstmills.com</v>
      </c>
      <c r="N237" s="2" t="s">
        <v>534</v>
      </c>
      <c r="O237" s="2" t="s">
        <v>42</v>
      </c>
      <c r="P237" s="2" t="s">
        <v>2365</v>
      </c>
      <c r="Q237" s="2" t="s">
        <v>42</v>
      </c>
      <c r="R237" s="16" t="s">
        <v>42</v>
      </c>
      <c r="S237" s="16">
        <v>1</v>
      </c>
      <c r="T237" s="16">
        <v>1</v>
      </c>
      <c r="U237" s="16" t="s">
        <v>42</v>
      </c>
      <c r="V237" s="16" t="s">
        <v>42</v>
      </c>
      <c r="W237" s="4" t="s">
        <v>1512</v>
      </c>
      <c r="X237" s="2" t="s">
        <v>42</v>
      </c>
      <c r="Y237" s="8" t="str">
        <f>HYPERLINK("http://linkedin.com/in/alaaeldin-shousha-a43943", "http://linkedin.com/in/alaaeldin-shousha-a43943")</f>
        <v>http://linkedin.com/in/alaaeldin-shousha-a43943</v>
      </c>
      <c r="Z237" s="2" t="s">
        <v>174</v>
      </c>
      <c r="AA237" s="2" t="s">
        <v>1513</v>
      </c>
      <c r="AB237" s="2" t="s">
        <v>1514</v>
      </c>
      <c r="AC237" s="2" t="s">
        <v>176</v>
      </c>
      <c r="AD237" s="2" t="s">
        <v>42</v>
      </c>
      <c r="AE237" s="4" t="s">
        <v>1515</v>
      </c>
      <c r="AF237" s="2" t="s">
        <v>60</v>
      </c>
      <c r="AG237" s="4" t="s">
        <v>1516</v>
      </c>
      <c r="AH237" s="2" t="s">
        <v>61</v>
      </c>
      <c r="AI237" s="2" t="s">
        <v>61</v>
      </c>
      <c r="AJ237" s="2" t="s">
        <v>42</v>
      </c>
      <c r="AK237" s="2" t="s">
        <v>42</v>
      </c>
      <c r="AL237" s="28">
        <v>45887</v>
      </c>
      <c r="AM237" s="4" t="s">
        <v>42</v>
      </c>
      <c r="AN237" s="8" t="str">
        <f>HYPERLINK("https://my.pitchbook.com?p=460574-20P", "View People Online")</f>
        <v>View People Online</v>
      </c>
    </row>
    <row r="238" spans="1:40" x14ac:dyDescent="0.2">
      <c r="A238" s="3" t="s">
        <v>2366</v>
      </c>
      <c r="B238" s="3" t="s">
        <v>2367</v>
      </c>
      <c r="C238" s="3" t="s">
        <v>42</v>
      </c>
      <c r="D238" s="3" t="s">
        <v>42</v>
      </c>
      <c r="E238" s="3" t="s">
        <v>2366</v>
      </c>
      <c r="F238" s="3" t="s">
        <v>2368</v>
      </c>
      <c r="G238" s="3" t="s">
        <v>2369</v>
      </c>
      <c r="H238" s="3" t="s">
        <v>42</v>
      </c>
      <c r="I238" s="3" t="s">
        <v>46</v>
      </c>
      <c r="J238" s="3" t="s">
        <v>47</v>
      </c>
      <c r="K238" s="3" t="s">
        <v>2370</v>
      </c>
      <c r="L238" s="3" t="s">
        <v>111</v>
      </c>
      <c r="M238" s="9" t="str">
        <f>HYPERLINK("http://www.joufcem.com.sa", "www.joufcem.com.sa")</f>
        <v>www.joufcem.com.sa</v>
      </c>
      <c r="N238" s="3" t="s">
        <v>534</v>
      </c>
      <c r="O238" s="3" t="s">
        <v>42</v>
      </c>
      <c r="P238" s="3" t="s">
        <v>2371</v>
      </c>
      <c r="Q238" s="3" t="s">
        <v>42</v>
      </c>
      <c r="R238" s="17" t="s">
        <v>42</v>
      </c>
      <c r="S238" s="17">
        <v>1</v>
      </c>
      <c r="T238" s="17">
        <v>1</v>
      </c>
      <c r="U238" s="17" t="s">
        <v>42</v>
      </c>
      <c r="V238" s="17" t="s">
        <v>42</v>
      </c>
      <c r="W238" s="5" t="s">
        <v>2372</v>
      </c>
      <c r="X238" s="3" t="s">
        <v>2373</v>
      </c>
      <c r="Y238" s="3" t="s">
        <v>42</v>
      </c>
      <c r="Z238" s="3" t="s">
        <v>55</v>
      </c>
      <c r="AA238" s="3" t="s">
        <v>2374</v>
      </c>
      <c r="AB238" s="3" t="s">
        <v>2375</v>
      </c>
      <c r="AC238" s="3" t="s">
        <v>58</v>
      </c>
      <c r="AD238" s="3" t="s">
        <v>42</v>
      </c>
      <c r="AE238" s="5" t="s">
        <v>618</v>
      </c>
      <c r="AF238" s="3" t="s">
        <v>60</v>
      </c>
      <c r="AG238" s="5" t="s">
        <v>2376</v>
      </c>
      <c r="AH238" s="3" t="s">
        <v>61</v>
      </c>
      <c r="AI238" s="3" t="s">
        <v>61</v>
      </c>
      <c r="AJ238" s="3" t="s">
        <v>42</v>
      </c>
      <c r="AK238" s="3" t="s">
        <v>42</v>
      </c>
      <c r="AL238" s="29">
        <v>45727</v>
      </c>
      <c r="AM238" s="5" t="s">
        <v>42</v>
      </c>
      <c r="AN238" s="9" t="str">
        <f>HYPERLINK("https://my.pitchbook.com?p=339555-34P", "View People Online")</f>
        <v>View People Online</v>
      </c>
    </row>
    <row r="239" spans="1:40" x14ac:dyDescent="0.2">
      <c r="A239" s="2" t="s">
        <v>2377</v>
      </c>
      <c r="B239" s="2" t="s">
        <v>2378</v>
      </c>
      <c r="C239" s="2" t="s">
        <v>42</v>
      </c>
      <c r="D239" s="2" t="s">
        <v>42</v>
      </c>
      <c r="E239" s="2" t="s">
        <v>2377</v>
      </c>
      <c r="F239" s="2" t="s">
        <v>2379</v>
      </c>
      <c r="G239" s="2" t="s">
        <v>2380</v>
      </c>
      <c r="H239" s="2" t="s">
        <v>2381</v>
      </c>
      <c r="I239" s="2" t="s">
        <v>46</v>
      </c>
      <c r="J239" s="2" t="s">
        <v>47</v>
      </c>
      <c r="K239" s="2" t="s">
        <v>2382</v>
      </c>
      <c r="L239" s="2" t="s">
        <v>111</v>
      </c>
      <c r="M239" s="8" t="str">
        <f>HYPERLINK("http://www.entaj.com", "www.entaj.com")</f>
        <v>www.entaj.com</v>
      </c>
      <c r="N239" s="2" t="s">
        <v>534</v>
      </c>
      <c r="O239" s="2" t="s">
        <v>42</v>
      </c>
      <c r="P239" s="2" t="s">
        <v>2383</v>
      </c>
      <c r="Q239" s="2" t="s">
        <v>42</v>
      </c>
      <c r="R239" s="16" t="s">
        <v>42</v>
      </c>
      <c r="S239" s="16">
        <v>1</v>
      </c>
      <c r="T239" s="16">
        <v>1</v>
      </c>
      <c r="U239" s="16" t="s">
        <v>42</v>
      </c>
      <c r="V239" s="16" t="s">
        <v>42</v>
      </c>
      <c r="W239" s="4" t="s">
        <v>42</v>
      </c>
      <c r="X239" s="2" t="s">
        <v>2384</v>
      </c>
      <c r="Y239" s="2" t="s">
        <v>42</v>
      </c>
      <c r="Z239" s="2" t="s">
        <v>55</v>
      </c>
      <c r="AA239" s="2" t="s">
        <v>2385</v>
      </c>
      <c r="AB239" s="2" t="s">
        <v>42</v>
      </c>
      <c r="AC239" s="2" t="s">
        <v>58</v>
      </c>
      <c r="AD239" s="2" t="s">
        <v>42</v>
      </c>
      <c r="AE239" s="4" t="s">
        <v>2386</v>
      </c>
      <c r="AF239" s="2" t="s">
        <v>60</v>
      </c>
      <c r="AG239" s="4" t="s">
        <v>42</v>
      </c>
      <c r="AH239" s="2" t="s">
        <v>61</v>
      </c>
      <c r="AI239" s="2" t="s">
        <v>61</v>
      </c>
      <c r="AJ239" s="2" t="s">
        <v>42</v>
      </c>
      <c r="AK239" s="2" t="s">
        <v>42</v>
      </c>
      <c r="AL239" s="28">
        <v>45916</v>
      </c>
      <c r="AM239" s="4" t="s">
        <v>42</v>
      </c>
      <c r="AN239" s="8" t="str">
        <f>HYPERLINK("https://my.pitchbook.com?p=465010-57P", "View People Online")</f>
        <v>View People Online</v>
      </c>
    </row>
    <row r="240" spans="1:40" x14ac:dyDescent="0.2">
      <c r="A240" s="3" t="s">
        <v>2387</v>
      </c>
      <c r="B240" s="3" t="s">
        <v>2388</v>
      </c>
      <c r="C240" s="3" t="s">
        <v>42</v>
      </c>
      <c r="D240" s="3" t="s">
        <v>42</v>
      </c>
      <c r="E240" s="3" t="s">
        <v>2387</v>
      </c>
      <c r="F240" s="3" t="s">
        <v>2389</v>
      </c>
      <c r="G240" s="3" t="s">
        <v>2390</v>
      </c>
      <c r="H240" s="3" t="s">
        <v>2391</v>
      </c>
      <c r="I240" s="3" t="s">
        <v>46</v>
      </c>
      <c r="J240" s="3" t="s">
        <v>47</v>
      </c>
      <c r="K240" s="3" t="s">
        <v>812</v>
      </c>
      <c r="L240" s="3" t="s">
        <v>111</v>
      </c>
      <c r="M240" s="9" t="str">
        <f>HYPERLINK("http://www.tadawulgroup.sa", "www.tadawulgroup.sa")</f>
        <v>www.tadawulgroup.sa</v>
      </c>
      <c r="N240" s="3" t="s">
        <v>2392</v>
      </c>
      <c r="O240" s="3" t="s">
        <v>42</v>
      </c>
      <c r="P240" s="3" t="s">
        <v>2393</v>
      </c>
      <c r="Q240" s="3" t="s">
        <v>2394</v>
      </c>
      <c r="R240" s="17" t="s">
        <v>42</v>
      </c>
      <c r="S240" s="17">
        <v>1</v>
      </c>
      <c r="T240" s="17">
        <v>1</v>
      </c>
      <c r="U240" s="17" t="s">
        <v>42</v>
      </c>
      <c r="V240" s="17" t="s">
        <v>42</v>
      </c>
      <c r="W240" s="5" t="s">
        <v>2395</v>
      </c>
      <c r="X240" s="3" t="s">
        <v>2396</v>
      </c>
      <c r="Y240" s="9" t="str">
        <f>HYPERLINK("http://linkedin.com/in/alhasanashram/?miniprofileurn=urn:li:fs_miniprofile:acoaaabeomebmu2mialfhyggsorbggman7xkvuk", "http://linkedin.com/in/alhasanashram/?miniprofileurn=urn:li:fs_miniprofile:acoaaabeomebmu2mialfhyggsorbggman7xkvuk")</f>
        <v>http://linkedin.com/in/alhasanashram/?miniprofileurn=urn:li:fs_miniprofile:acoaaabeomebmu2mialfhyggsorbggman7xkvuk</v>
      </c>
      <c r="Z240" s="3" t="s">
        <v>55</v>
      </c>
      <c r="AA240" s="3" t="s">
        <v>816</v>
      </c>
      <c r="AB240" s="3" t="s">
        <v>817</v>
      </c>
      <c r="AC240" s="3" t="s">
        <v>58</v>
      </c>
      <c r="AD240" s="3" t="s">
        <v>42</v>
      </c>
      <c r="AE240" s="5" t="s">
        <v>818</v>
      </c>
      <c r="AF240" s="3" t="s">
        <v>60</v>
      </c>
      <c r="AG240" s="5" t="s">
        <v>42</v>
      </c>
      <c r="AH240" s="3" t="s">
        <v>61</v>
      </c>
      <c r="AI240" s="3" t="s">
        <v>61</v>
      </c>
      <c r="AJ240" s="3" t="s">
        <v>42</v>
      </c>
      <c r="AK240" s="3" t="s">
        <v>42</v>
      </c>
      <c r="AL240" s="29">
        <v>45838</v>
      </c>
      <c r="AM240" s="5">
        <v>1979</v>
      </c>
      <c r="AN240" s="9" t="str">
        <f>HYPERLINK("https://my.pitchbook.com?p=178108-57P", "View People Online")</f>
        <v>View People Online</v>
      </c>
    </row>
    <row r="241" spans="1:40" x14ac:dyDescent="0.2">
      <c r="A241" s="2" t="s">
        <v>2397</v>
      </c>
      <c r="B241" s="2" t="s">
        <v>2398</v>
      </c>
      <c r="C241" s="2" t="s">
        <v>42</v>
      </c>
      <c r="D241" s="2" t="s">
        <v>42</v>
      </c>
      <c r="E241" s="2" t="s">
        <v>2397</v>
      </c>
      <c r="F241" s="2" t="s">
        <v>2399</v>
      </c>
      <c r="G241" s="2" t="s">
        <v>356</v>
      </c>
      <c r="H241" s="2" t="s">
        <v>2400</v>
      </c>
      <c r="I241" s="2" t="s">
        <v>46</v>
      </c>
      <c r="J241" s="2" t="s">
        <v>47</v>
      </c>
      <c r="K241" s="2" t="s">
        <v>2401</v>
      </c>
      <c r="L241" s="2" t="s">
        <v>111</v>
      </c>
      <c r="M241" s="8" t="str">
        <f>HYPERLINK("http://www.ycc.sa", "www.ycc.sa")</f>
        <v>www.ycc.sa</v>
      </c>
      <c r="N241" s="2" t="s">
        <v>112</v>
      </c>
      <c r="O241" s="2" t="s">
        <v>42</v>
      </c>
      <c r="P241" s="2" t="s">
        <v>2402</v>
      </c>
      <c r="Q241" s="2" t="s">
        <v>42</v>
      </c>
      <c r="R241" s="16">
        <v>1</v>
      </c>
      <c r="S241" s="16">
        <v>1</v>
      </c>
      <c r="T241" s="16">
        <v>1</v>
      </c>
      <c r="U241" s="16" t="s">
        <v>42</v>
      </c>
      <c r="V241" s="16" t="s">
        <v>42</v>
      </c>
      <c r="W241" s="4" t="s">
        <v>2403</v>
      </c>
      <c r="X241" s="2" t="s">
        <v>2404</v>
      </c>
      <c r="Y241" s="2" t="s">
        <v>42</v>
      </c>
      <c r="Z241" s="2" t="s">
        <v>174</v>
      </c>
      <c r="AA241" s="2" t="s">
        <v>2405</v>
      </c>
      <c r="AB241" s="2" t="s">
        <v>42</v>
      </c>
      <c r="AC241" s="2" t="s">
        <v>176</v>
      </c>
      <c r="AD241" s="2" t="s">
        <v>42</v>
      </c>
      <c r="AE241" s="4" t="s">
        <v>879</v>
      </c>
      <c r="AF241" s="2" t="s">
        <v>60</v>
      </c>
      <c r="AG241" s="4" t="s">
        <v>2406</v>
      </c>
      <c r="AH241" s="2" t="s">
        <v>61</v>
      </c>
      <c r="AI241" s="2" t="s">
        <v>61</v>
      </c>
      <c r="AJ241" s="2" t="s">
        <v>42</v>
      </c>
      <c r="AK241" s="2" t="s">
        <v>42</v>
      </c>
      <c r="AL241" s="28">
        <v>45922</v>
      </c>
      <c r="AM241" s="4" t="s">
        <v>42</v>
      </c>
      <c r="AN241" s="8" t="str">
        <f>HYPERLINK("https://my.pitchbook.com?p=401986-09P", "View People Online")</f>
        <v>View People Online</v>
      </c>
    </row>
    <row r="242" spans="1:40" x14ac:dyDescent="0.2">
      <c r="A242" s="3" t="s">
        <v>2407</v>
      </c>
      <c r="B242" s="3" t="s">
        <v>2408</v>
      </c>
      <c r="C242" s="3" t="s">
        <v>42</v>
      </c>
      <c r="D242" s="3" t="s">
        <v>42</v>
      </c>
      <c r="E242" s="3" t="s">
        <v>2407</v>
      </c>
      <c r="F242" s="3" t="s">
        <v>2409</v>
      </c>
      <c r="G242" s="3" t="s">
        <v>356</v>
      </c>
      <c r="H242" s="3" t="s">
        <v>2410</v>
      </c>
      <c r="I242" s="3" t="s">
        <v>46</v>
      </c>
      <c r="J242" s="3" t="s">
        <v>47</v>
      </c>
      <c r="K242" s="3" t="s">
        <v>2411</v>
      </c>
      <c r="L242" s="3" t="s">
        <v>111</v>
      </c>
      <c r="M242" s="9" t="str">
        <f>HYPERLINK("http://www.taqatco.sa", "www.taqatco.sa")</f>
        <v>www.taqatco.sa</v>
      </c>
      <c r="N242" s="3" t="s">
        <v>112</v>
      </c>
      <c r="O242" s="3" t="s">
        <v>42</v>
      </c>
      <c r="P242" s="3" t="s">
        <v>2412</v>
      </c>
      <c r="Q242" s="3" t="s">
        <v>42</v>
      </c>
      <c r="R242" s="17">
        <v>1</v>
      </c>
      <c r="S242" s="17">
        <v>1</v>
      </c>
      <c r="T242" s="17">
        <v>1</v>
      </c>
      <c r="U242" s="17" t="s">
        <v>42</v>
      </c>
      <c r="V242" s="17" t="s">
        <v>42</v>
      </c>
      <c r="W242" s="5" t="s">
        <v>2413</v>
      </c>
      <c r="X242" s="3" t="s">
        <v>2414</v>
      </c>
      <c r="Y242" s="3" t="s">
        <v>42</v>
      </c>
      <c r="Z242" s="3" t="s">
        <v>55</v>
      </c>
      <c r="AA242" s="3" t="s">
        <v>2415</v>
      </c>
      <c r="AB242" s="3" t="s">
        <v>2416</v>
      </c>
      <c r="AC242" s="3" t="s">
        <v>58</v>
      </c>
      <c r="AD242" s="3" t="s">
        <v>42</v>
      </c>
      <c r="AE242" s="5" t="s">
        <v>2417</v>
      </c>
      <c r="AF242" s="3" t="s">
        <v>60</v>
      </c>
      <c r="AG242" s="5" t="s">
        <v>42</v>
      </c>
      <c r="AH242" s="3" t="s">
        <v>61</v>
      </c>
      <c r="AI242" s="3" t="s">
        <v>61</v>
      </c>
      <c r="AJ242" s="3" t="s">
        <v>42</v>
      </c>
      <c r="AK242" s="3" t="s">
        <v>42</v>
      </c>
      <c r="AL242" s="29">
        <v>45971</v>
      </c>
      <c r="AM242" s="5" t="s">
        <v>42</v>
      </c>
      <c r="AN242" s="9" t="str">
        <f>HYPERLINK("https://my.pitchbook.com?p=386089-66P", "View People Online")</f>
        <v>View People Online</v>
      </c>
    </row>
    <row r="243" spans="1:40" x14ac:dyDescent="0.2">
      <c r="A243" s="2" t="s">
        <v>2418</v>
      </c>
      <c r="B243" s="2" t="s">
        <v>2419</v>
      </c>
      <c r="C243" s="2" t="s">
        <v>42</v>
      </c>
      <c r="D243" s="2" t="s">
        <v>42</v>
      </c>
      <c r="E243" s="2" t="s">
        <v>2418</v>
      </c>
      <c r="F243" s="2" t="s">
        <v>2336</v>
      </c>
      <c r="G243" s="2" t="s">
        <v>356</v>
      </c>
      <c r="H243" s="2" t="s">
        <v>2420</v>
      </c>
      <c r="I243" s="2" t="s">
        <v>46</v>
      </c>
      <c r="J243" s="2" t="s">
        <v>47</v>
      </c>
      <c r="K243" s="2" t="s">
        <v>2421</v>
      </c>
      <c r="L243" s="2" t="s">
        <v>111</v>
      </c>
      <c r="M243" s="8" t="str">
        <f>HYPERLINK("http://tcc-sa.com", "tcc-sa.com")</f>
        <v>tcc-sa.com</v>
      </c>
      <c r="N243" s="2" t="s">
        <v>112</v>
      </c>
      <c r="O243" s="2" t="s">
        <v>42</v>
      </c>
      <c r="P243" s="2" t="s">
        <v>2422</v>
      </c>
      <c r="Q243" s="2" t="s">
        <v>42</v>
      </c>
      <c r="R243" s="16">
        <v>1</v>
      </c>
      <c r="S243" s="16">
        <v>1</v>
      </c>
      <c r="T243" s="16">
        <v>1</v>
      </c>
      <c r="U243" s="16" t="s">
        <v>42</v>
      </c>
      <c r="V243" s="16" t="s">
        <v>42</v>
      </c>
      <c r="W243" s="4" t="s">
        <v>2423</v>
      </c>
      <c r="X243" s="2" t="s">
        <v>2424</v>
      </c>
      <c r="Y243" s="2" t="s">
        <v>42</v>
      </c>
      <c r="Z243" s="2" t="s">
        <v>2425</v>
      </c>
      <c r="AA243" s="2" t="s">
        <v>2426</v>
      </c>
      <c r="AB243" s="2" t="s">
        <v>42</v>
      </c>
      <c r="AC243" s="2" t="s">
        <v>2427</v>
      </c>
      <c r="AD243" s="2" t="s">
        <v>42</v>
      </c>
      <c r="AE243" s="4" t="s">
        <v>2428</v>
      </c>
      <c r="AF243" s="2" t="s">
        <v>60</v>
      </c>
      <c r="AG243" s="4" t="s">
        <v>2429</v>
      </c>
      <c r="AH243" s="2" t="s">
        <v>61</v>
      </c>
      <c r="AI243" s="2" t="s">
        <v>61</v>
      </c>
      <c r="AJ243" s="2" t="s">
        <v>42</v>
      </c>
      <c r="AK243" s="2" t="s">
        <v>42</v>
      </c>
      <c r="AL243" s="28">
        <v>45729</v>
      </c>
      <c r="AM243" s="4" t="s">
        <v>42</v>
      </c>
      <c r="AN243" s="8" t="str">
        <f>HYPERLINK("https://my.pitchbook.com?p=341846-65P", "View People Online")</f>
        <v>View People Online</v>
      </c>
    </row>
    <row r="244" spans="1:40" x14ac:dyDescent="0.2">
      <c r="A244" s="3" t="s">
        <v>2430</v>
      </c>
      <c r="B244" s="3" t="s">
        <v>2431</v>
      </c>
      <c r="C244" s="3" t="s">
        <v>42</v>
      </c>
      <c r="D244" s="3" t="s">
        <v>42</v>
      </c>
      <c r="E244" s="3" t="s">
        <v>2430</v>
      </c>
      <c r="F244" s="3" t="s">
        <v>2432</v>
      </c>
      <c r="G244" s="3" t="s">
        <v>356</v>
      </c>
      <c r="H244" s="3" t="s">
        <v>42</v>
      </c>
      <c r="I244" s="3" t="s">
        <v>46</v>
      </c>
      <c r="J244" s="3" t="s">
        <v>47</v>
      </c>
      <c r="K244" s="3" t="s">
        <v>1968</v>
      </c>
      <c r="L244" s="3" t="s">
        <v>111</v>
      </c>
      <c r="M244" s="9" t="str">
        <f>HYPERLINK("http://www.leejam.com.sa", "www.leejam.com.sa")</f>
        <v>www.leejam.com.sa</v>
      </c>
      <c r="N244" s="3" t="s">
        <v>2433</v>
      </c>
      <c r="O244" s="3" t="s">
        <v>42</v>
      </c>
      <c r="P244" s="3" t="s">
        <v>2434</v>
      </c>
      <c r="Q244" s="3" t="s">
        <v>42</v>
      </c>
      <c r="R244" s="17">
        <v>1</v>
      </c>
      <c r="S244" s="17">
        <v>1</v>
      </c>
      <c r="T244" s="17">
        <v>1</v>
      </c>
      <c r="U244" s="17" t="s">
        <v>42</v>
      </c>
      <c r="V244" s="17" t="s">
        <v>42</v>
      </c>
      <c r="W244" s="5" t="s">
        <v>1970</v>
      </c>
      <c r="X244" s="3" t="s">
        <v>42</v>
      </c>
      <c r="Y244" s="9" t="str">
        <f>HYPERLINK("http://linkedin.com/in/ali-alsagri-5422561a0/?originalsubdomain=sa", "http://linkedin.com/in/ali-alsagri-5422561a0/?originalsubdomain=sa")</f>
        <v>http://linkedin.com/in/ali-alsagri-5422561a0/?originalsubdomain=sa</v>
      </c>
      <c r="Z244" s="3" t="s">
        <v>55</v>
      </c>
      <c r="AA244" s="3" t="s">
        <v>1972</v>
      </c>
      <c r="AB244" s="3" t="s">
        <v>1973</v>
      </c>
      <c r="AC244" s="3" t="s">
        <v>58</v>
      </c>
      <c r="AD244" s="3" t="s">
        <v>1974</v>
      </c>
      <c r="AE244" s="5" t="s">
        <v>618</v>
      </c>
      <c r="AF244" s="3" t="s">
        <v>60</v>
      </c>
      <c r="AG244" s="5" t="s">
        <v>1975</v>
      </c>
      <c r="AH244" s="3" t="s">
        <v>61</v>
      </c>
      <c r="AI244" s="3" t="s">
        <v>61</v>
      </c>
      <c r="AJ244" s="3" t="s">
        <v>42</v>
      </c>
      <c r="AK244" s="3" t="s">
        <v>42</v>
      </c>
      <c r="AL244" s="29">
        <v>46055</v>
      </c>
      <c r="AM244" s="5" t="s">
        <v>42</v>
      </c>
      <c r="AN244" s="9" t="str">
        <f>HYPERLINK("https://my.pitchbook.com?p=353429-29P", "View People Online")</f>
        <v>View People Online</v>
      </c>
    </row>
    <row r="245" spans="1:40" x14ac:dyDescent="0.2">
      <c r="A245" s="2" t="s">
        <v>2435</v>
      </c>
      <c r="B245" s="2" t="s">
        <v>2436</v>
      </c>
      <c r="C245" s="2" t="s">
        <v>42</v>
      </c>
      <c r="D245" s="2" t="s">
        <v>42</v>
      </c>
      <c r="E245" s="2" t="s">
        <v>2435</v>
      </c>
      <c r="F245" s="2" t="s">
        <v>2437</v>
      </c>
      <c r="G245" s="2" t="s">
        <v>356</v>
      </c>
      <c r="H245" s="2" t="s">
        <v>284</v>
      </c>
      <c r="I245" s="2" t="s">
        <v>46</v>
      </c>
      <c r="J245" s="2" t="s">
        <v>47</v>
      </c>
      <c r="K245" s="2" t="s">
        <v>2438</v>
      </c>
      <c r="L245" s="2" t="s">
        <v>111</v>
      </c>
      <c r="M245" s="2" t="s">
        <v>42</v>
      </c>
      <c r="N245" s="2" t="s">
        <v>2439</v>
      </c>
      <c r="O245" s="2" t="s">
        <v>42</v>
      </c>
      <c r="P245" s="2" t="s">
        <v>2440</v>
      </c>
      <c r="Q245" s="2" t="s">
        <v>42</v>
      </c>
      <c r="R245" s="16" t="s">
        <v>42</v>
      </c>
      <c r="S245" s="16">
        <v>1</v>
      </c>
      <c r="T245" s="16">
        <v>1</v>
      </c>
      <c r="U245" s="16" t="s">
        <v>42</v>
      </c>
      <c r="V245" s="16" t="s">
        <v>42</v>
      </c>
      <c r="W245" s="4" t="s">
        <v>2441</v>
      </c>
      <c r="X245" s="2" t="s">
        <v>42</v>
      </c>
      <c r="Y245" s="2" t="s">
        <v>42</v>
      </c>
      <c r="Z245" s="2" t="s">
        <v>55</v>
      </c>
      <c r="AA245" s="2" t="s">
        <v>2442</v>
      </c>
      <c r="AB245" s="2" t="s">
        <v>2443</v>
      </c>
      <c r="AC245" s="2" t="s">
        <v>58</v>
      </c>
      <c r="AD245" s="2" t="s">
        <v>42</v>
      </c>
      <c r="AE245" s="4" t="s">
        <v>2444</v>
      </c>
      <c r="AF245" s="2" t="s">
        <v>60</v>
      </c>
      <c r="AG245" s="4" t="s">
        <v>42</v>
      </c>
      <c r="AH245" s="2" t="s">
        <v>61</v>
      </c>
      <c r="AI245" s="2" t="s">
        <v>61</v>
      </c>
      <c r="AJ245" s="2" t="s">
        <v>42</v>
      </c>
      <c r="AK245" s="2" t="s">
        <v>42</v>
      </c>
      <c r="AL245" s="28">
        <v>45677</v>
      </c>
      <c r="AM245" s="4" t="s">
        <v>42</v>
      </c>
      <c r="AN245" s="8" t="str">
        <f>HYPERLINK("https://my.pitchbook.com?p=326039-50P", "View People Online")</f>
        <v>View People Online</v>
      </c>
    </row>
    <row r="246" spans="1:40" x14ac:dyDescent="0.2">
      <c r="A246" s="3" t="s">
        <v>2445</v>
      </c>
      <c r="B246" s="3" t="s">
        <v>2446</v>
      </c>
      <c r="C246" s="3" t="s">
        <v>42</v>
      </c>
      <c r="D246" s="3" t="s">
        <v>42</v>
      </c>
      <c r="E246" s="3" t="s">
        <v>2445</v>
      </c>
      <c r="F246" s="3" t="s">
        <v>2447</v>
      </c>
      <c r="G246" s="3" t="s">
        <v>356</v>
      </c>
      <c r="H246" s="3" t="s">
        <v>66</v>
      </c>
      <c r="I246" s="3" t="s">
        <v>46</v>
      </c>
      <c r="J246" s="3" t="s">
        <v>47</v>
      </c>
      <c r="K246" s="3" t="s">
        <v>1143</v>
      </c>
      <c r="L246" s="3" t="s">
        <v>111</v>
      </c>
      <c r="M246" s="9" t="str">
        <f>HYPERLINK("http://www.munawlacargo.com.sa", "www.munawlacargo.com.sa")</f>
        <v>www.munawlacargo.com.sa</v>
      </c>
      <c r="N246" s="3" t="s">
        <v>210</v>
      </c>
      <c r="O246" s="3" t="s">
        <v>42</v>
      </c>
      <c r="P246" s="3" t="s">
        <v>2448</v>
      </c>
      <c r="Q246" s="3" t="s">
        <v>42</v>
      </c>
      <c r="R246" s="17" t="s">
        <v>42</v>
      </c>
      <c r="S246" s="17">
        <v>1</v>
      </c>
      <c r="T246" s="17">
        <v>1</v>
      </c>
      <c r="U246" s="17" t="s">
        <v>42</v>
      </c>
      <c r="V246" s="17" t="s">
        <v>42</v>
      </c>
      <c r="W246" s="5" t="s">
        <v>1145</v>
      </c>
      <c r="X246" s="3" t="s">
        <v>42</v>
      </c>
      <c r="Y246" s="9" t="str">
        <f>HYPERLINK("http://linkedin.com/in/ali-alhabdan-a8769469/", "http://linkedin.com/in/ali-alhabdan-a8769469/")</f>
        <v>http://linkedin.com/in/ali-alhabdan-a8769469/</v>
      </c>
      <c r="Z246" s="3" t="s">
        <v>383</v>
      </c>
      <c r="AA246" s="3" t="s">
        <v>1146</v>
      </c>
      <c r="AB246" s="3" t="s">
        <v>1147</v>
      </c>
      <c r="AC246" s="3" t="s">
        <v>385</v>
      </c>
      <c r="AD246" s="3" t="s">
        <v>42</v>
      </c>
      <c r="AE246" s="5" t="s">
        <v>1148</v>
      </c>
      <c r="AF246" s="3" t="s">
        <v>60</v>
      </c>
      <c r="AG246" s="5" t="s">
        <v>1149</v>
      </c>
      <c r="AH246" s="3" t="s">
        <v>61</v>
      </c>
      <c r="AI246" s="3" t="s">
        <v>61</v>
      </c>
      <c r="AJ246" s="3" t="s">
        <v>42</v>
      </c>
      <c r="AK246" s="3" t="s">
        <v>42</v>
      </c>
      <c r="AL246" s="29">
        <v>45905</v>
      </c>
      <c r="AM246" s="5" t="s">
        <v>42</v>
      </c>
      <c r="AN246" s="9" t="str">
        <f>HYPERLINK("https://my.pitchbook.com?p=364781-08P", "View People Online")</f>
        <v>View People Online</v>
      </c>
    </row>
    <row r="247" spans="1:40" x14ac:dyDescent="0.2">
      <c r="A247" s="2" t="s">
        <v>2449</v>
      </c>
      <c r="B247" s="2" t="s">
        <v>2450</v>
      </c>
      <c r="C247" s="2" t="s">
        <v>42</v>
      </c>
      <c r="D247" s="2" t="s">
        <v>42</v>
      </c>
      <c r="E247" s="2" t="s">
        <v>2449</v>
      </c>
      <c r="F247" s="2" t="s">
        <v>2451</v>
      </c>
      <c r="G247" s="2" t="s">
        <v>356</v>
      </c>
      <c r="H247" s="2" t="s">
        <v>391</v>
      </c>
      <c r="I247" s="2" t="s">
        <v>46</v>
      </c>
      <c r="J247" s="2" t="s">
        <v>47</v>
      </c>
      <c r="K247" s="2" t="s">
        <v>886</v>
      </c>
      <c r="L247" s="2" t="s">
        <v>97</v>
      </c>
      <c r="M247" s="8" t="str">
        <f>HYPERLINK("http://www.mefic.com.sa", "www.mefic.com.sa")</f>
        <v>www.mefic.com.sa</v>
      </c>
      <c r="N247" s="2" t="s">
        <v>246</v>
      </c>
      <c r="O247" s="2" t="s">
        <v>42</v>
      </c>
      <c r="P247" s="2" t="s">
        <v>2452</v>
      </c>
      <c r="Q247" s="2" t="s">
        <v>42</v>
      </c>
      <c r="R247" s="16">
        <v>1</v>
      </c>
      <c r="S247" s="16">
        <v>1</v>
      </c>
      <c r="T247" s="16" t="s">
        <v>42</v>
      </c>
      <c r="U247" s="16" t="s">
        <v>42</v>
      </c>
      <c r="V247" s="16" t="s">
        <v>42</v>
      </c>
      <c r="W247" s="4" t="s">
        <v>888</v>
      </c>
      <c r="X247" s="2" t="s">
        <v>2453</v>
      </c>
      <c r="Y247" s="8" t="str">
        <f>HYPERLINK("http://linkedin.com/in/ali-alsubaihin-1025a4a/", "http://linkedin.com/in/ali-alsubaihin-1025a4a/")</f>
        <v>http://linkedin.com/in/ali-alsubaihin-1025a4a/</v>
      </c>
      <c r="Z247" s="2" t="s">
        <v>55</v>
      </c>
      <c r="AA247" s="2" t="s">
        <v>890</v>
      </c>
      <c r="AB247" s="2" t="s">
        <v>891</v>
      </c>
      <c r="AC247" s="2" t="s">
        <v>58</v>
      </c>
      <c r="AD247" s="2" t="s">
        <v>42</v>
      </c>
      <c r="AE247" s="4" t="s">
        <v>892</v>
      </c>
      <c r="AF247" s="2" t="s">
        <v>60</v>
      </c>
      <c r="AG247" s="4" t="s">
        <v>893</v>
      </c>
      <c r="AH247" s="2" t="s">
        <v>61</v>
      </c>
      <c r="AI247" s="2" t="s">
        <v>61</v>
      </c>
      <c r="AJ247" s="2" t="s">
        <v>42</v>
      </c>
      <c r="AK247" s="2" t="s">
        <v>42</v>
      </c>
      <c r="AL247" s="28">
        <v>45999</v>
      </c>
      <c r="AM247" s="4" t="s">
        <v>42</v>
      </c>
      <c r="AN247" s="8" t="str">
        <f>HYPERLINK("https://my.pitchbook.com?p=324216-10P", "View People Online")</f>
        <v>View People Online</v>
      </c>
    </row>
    <row r="248" spans="1:40" x14ac:dyDescent="0.2">
      <c r="A248" s="3" t="s">
        <v>2454</v>
      </c>
      <c r="B248" s="3" t="s">
        <v>2455</v>
      </c>
      <c r="C248" s="3" t="s">
        <v>42</v>
      </c>
      <c r="D248" s="3" t="s">
        <v>42</v>
      </c>
      <c r="E248" s="3" t="s">
        <v>2454</v>
      </c>
      <c r="F248" s="3" t="s">
        <v>2456</v>
      </c>
      <c r="G248" s="3" t="s">
        <v>356</v>
      </c>
      <c r="H248" s="3" t="s">
        <v>2457</v>
      </c>
      <c r="I248" s="3" t="s">
        <v>46</v>
      </c>
      <c r="J248" s="3" t="s">
        <v>47</v>
      </c>
      <c r="K248" s="3" t="s">
        <v>2458</v>
      </c>
      <c r="L248" s="3" t="s">
        <v>111</v>
      </c>
      <c r="M248" s="9" t="str">
        <f>HYPERLINK("http://www.baazeem.com", "www.baazeem.com")</f>
        <v>www.baazeem.com</v>
      </c>
      <c r="N248" s="3" t="s">
        <v>210</v>
      </c>
      <c r="O248" s="3" t="s">
        <v>42</v>
      </c>
      <c r="P248" s="3" t="s">
        <v>2459</v>
      </c>
      <c r="Q248" s="3" t="s">
        <v>42</v>
      </c>
      <c r="R248" s="17" t="s">
        <v>42</v>
      </c>
      <c r="S248" s="17">
        <v>1</v>
      </c>
      <c r="T248" s="17">
        <v>1</v>
      </c>
      <c r="U248" s="17" t="s">
        <v>42</v>
      </c>
      <c r="V248" s="17" t="s">
        <v>42</v>
      </c>
      <c r="W248" s="5" t="s">
        <v>2460</v>
      </c>
      <c r="X248" s="3" t="s">
        <v>2461</v>
      </c>
      <c r="Y248" s="9" t="str">
        <f>HYPERLINK("http://linkedin.com/in/ali-al-waqedi-1aa6b54/?originalsubdomain=sa", "http://linkedin.com/in/ali-al-waqedi-1aa6b54/?originalsubdomain=sa")</f>
        <v>http://linkedin.com/in/ali-al-waqedi-1aa6b54/?originalsubdomain=sa</v>
      </c>
      <c r="Z248" s="3" t="s">
        <v>55</v>
      </c>
      <c r="AA248" s="3" t="s">
        <v>2462</v>
      </c>
      <c r="AB248" s="3" t="s">
        <v>2463</v>
      </c>
      <c r="AC248" s="3" t="s">
        <v>58</v>
      </c>
      <c r="AD248" s="3" t="s">
        <v>42</v>
      </c>
      <c r="AE248" s="5" t="s">
        <v>42</v>
      </c>
      <c r="AF248" s="3" t="s">
        <v>60</v>
      </c>
      <c r="AG248" s="5" t="s">
        <v>2460</v>
      </c>
      <c r="AH248" s="3" t="s">
        <v>61</v>
      </c>
      <c r="AI248" s="3" t="s">
        <v>61</v>
      </c>
      <c r="AJ248" s="3" t="s">
        <v>42</v>
      </c>
      <c r="AK248" s="3" t="s">
        <v>42</v>
      </c>
      <c r="AL248" s="29">
        <v>45715</v>
      </c>
      <c r="AM248" s="5" t="s">
        <v>42</v>
      </c>
      <c r="AN248" s="9" t="str">
        <f>HYPERLINK("https://my.pitchbook.com?p=327637-00P", "View People Online")</f>
        <v>View People Online</v>
      </c>
    </row>
    <row r="249" spans="1:40" x14ac:dyDescent="0.2">
      <c r="A249" s="2" t="s">
        <v>2464</v>
      </c>
      <c r="B249" s="2" t="s">
        <v>2465</v>
      </c>
      <c r="C249" s="2" t="s">
        <v>42</v>
      </c>
      <c r="D249" s="2" t="s">
        <v>42</v>
      </c>
      <c r="E249" s="2" t="s">
        <v>2464</v>
      </c>
      <c r="F249" s="2" t="s">
        <v>2466</v>
      </c>
      <c r="G249" s="2" t="s">
        <v>356</v>
      </c>
      <c r="H249" s="2" t="s">
        <v>284</v>
      </c>
      <c r="I249" s="2" t="s">
        <v>46</v>
      </c>
      <c r="J249" s="2" t="s">
        <v>47</v>
      </c>
      <c r="K249" s="2" t="s">
        <v>2458</v>
      </c>
      <c r="L249" s="2" t="s">
        <v>111</v>
      </c>
      <c r="M249" s="8" t="str">
        <f>HYPERLINK("http://www.baazeem.com", "www.baazeem.com")</f>
        <v>www.baazeem.com</v>
      </c>
      <c r="N249" s="2" t="s">
        <v>534</v>
      </c>
      <c r="O249" s="2" t="s">
        <v>42</v>
      </c>
      <c r="P249" s="2" t="s">
        <v>2467</v>
      </c>
      <c r="Q249" s="2" t="s">
        <v>42</v>
      </c>
      <c r="R249" s="16" t="s">
        <v>42</v>
      </c>
      <c r="S249" s="16">
        <v>1</v>
      </c>
      <c r="T249" s="16">
        <v>1</v>
      </c>
      <c r="U249" s="16" t="s">
        <v>42</v>
      </c>
      <c r="V249" s="16" t="s">
        <v>42</v>
      </c>
      <c r="W249" s="4" t="s">
        <v>2460</v>
      </c>
      <c r="X249" s="2" t="s">
        <v>2468</v>
      </c>
      <c r="Y249" s="2" t="s">
        <v>42</v>
      </c>
      <c r="Z249" s="2" t="s">
        <v>55</v>
      </c>
      <c r="AA249" s="2" t="s">
        <v>2462</v>
      </c>
      <c r="AB249" s="2" t="s">
        <v>2463</v>
      </c>
      <c r="AC249" s="2" t="s">
        <v>58</v>
      </c>
      <c r="AD249" s="2" t="s">
        <v>42</v>
      </c>
      <c r="AE249" s="4" t="s">
        <v>42</v>
      </c>
      <c r="AF249" s="2" t="s">
        <v>60</v>
      </c>
      <c r="AG249" s="4" t="s">
        <v>2460</v>
      </c>
      <c r="AH249" s="2" t="s">
        <v>61</v>
      </c>
      <c r="AI249" s="2" t="s">
        <v>61</v>
      </c>
      <c r="AJ249" s="2" t="s">
        <v>42</v>
      </c>
      <c r="AK249" s="2" t="s">
        <v>42</v>
      </c>
      <c r="AL249" s="28">
        <v>45677</v>
      </c>
      <c r="AM249" s="4" t="s">
        <v>42</v>
      </c>
      <c r="AN249" s="8" t="str">
        <f>HYPERLINK("https://my.pitchbook.com?p=327637-72P", "View People Online")</f>
        <v>View People Online</v>
      </c>
    </row>
    <row r="250" spans="1:40" x14ac:dyDescent="0.2">
      <c r="A250" s="3" t="s">
        <v>2469</v>
      </c>
      <c r="B250" s="3" t="s">
        <v>2470</v>
      </c>
      <c r="C250" s="3" t="s">
        <v>42</v>
      </c>
      <c r="D250" s="3" t="s">
        <v>42</v>
      </c>
      <c r="E250" s="3" t="s">
        <v>2469</v>
      </c>
      <c r="F250" s="3" t="s">
        <v>613</v>
      </c>
      <c r="G250" s="3" t="s">
        <v>356</v>
      </c>
      <c r="H250" s="3" t="s">
        <v>2471</v>
      </c>
      <c r="I250" s="3" t="s">
        <v>46</v>
      </c>
      <c r="J250" s="3" t="s">
        <v>47</v>
      </c>
      <c r="K250" s="3" t="s">
        <v>2472</v>
      </c>
      <c r="L250" s="3" t="s">
        <v>111</v>
      </c>
      <c r="M250" s="9" t="str">
        <f>HYPERLINK("http://www.almunajemfoods.com", "www.almunajemfoods.com")</f>
        <v>www.almunajemfoods.com</v>
      </c>
      <c r="N250" s="3" t="s">
        <v>210</v>
      </c>
      <c r="O250" s="3" t="s">
        <v>42</v>
      </c>
      <c r="P250" s="3" t="s">
        <v>2473</v>
      </c>
      <c r="Q250" s="3" t="s">
        <v>42</v>
      </c>
      <c r="R250" s="17" t="s">
        <v>42</v>
      </c>
      <c r="S250" s="17">
        <v>1</v>
      </c>
      <c r="T250" s="17">
        <v>1</v>
      </c>
      <c r="U250" s="17" t="s">
        <v>42</v>
      </c>
      <c r="V250" s="17" t="s">
        <v>42</v>
      </c>
      <c r="W250" s="5" t="s">
        <v>2474</v>
      </c>
      <c r="X250" s="3" t="s">
        <v>2475</v>
      </c>
      <c r="Y250" s="9" t="str">
        <f>HYPERLINK("http://linkedin.com/in/ali-el-zein-53ba7a32/?originalsubdomain=sa", "http://linkedin.com/in/ali-el-zein-53ba7a32/?originalsubdomain=sa")</f>
        <v>http://linkedin.com/in/ali-el-zein-53ba7a32/?originalsubdomain=sa</v>
      </c>
      <c r="Z250" s="3" t="s">
        <v>55</v>
      </c>
      <c r="AA250" s="3" t="s">
        <v>2476</v>
      </c>
      <c r="AB250" s="3" t="s">
        <v>2477</v>
      </c>
      <c r="AC250" s="3" t="s">
        <v>58</v>
      </c>
      <c r="AD250" s="3" t="s">
        <v>42</v>
      </c>
      <c r="AE250" s="5" t="s">
        <v>2478</v>
      </c>
      <c r="AF250" s="3" t="s">
        <v>60</v>
      </c>
      <c r="AG250" s="5" t="s">
        <v>42</v>
      </c>
      <c r="AH250" s="3" t="s">
        <v>61</v>
      </c>
      <c r="AI250" s="3" t="s">
        <v>61</v>
      </c>
      <c r="AJ250" s="3" t="s">
        <v>42</v>
      </c>
      <c r="AK250" s="3" t="s">
        <v>42</v>
      </c>
      <c r="AL250" s="29">
        <v>46041</v>
      </c>
      <c r="AM250" s="5" t="s">
        <v>42</v>
      </c>
      <c r="AN250" s="9" t="str">
        <f>HYPERLINK("https://my.pitchbook.com?p=482573-44P", "View People Online")</f>
        <v>View People Online</v>
      </c>
    </row>
    <row r="251" spans="1:40" x14ac:dyDescent="0.2">
      <c r="A251" s="2" t="s">
        <v>2479</v>
      </c>
      <c r="B251" s="2" t="s">
        <v>2480</v>
      </c>
      <c r="C251" s="2" t="s">
        <v>42</v>
      </c>
      <c r="D251" s="2" t="s">
        <v>42</v>
      </c>
      <c r="E251" s="2" t="s">
        <v>2479</v>
      </c>
      <c r="F251" s="2" t="s">
        <v>2481</v>
      </c>
      <c r="G251" s="2" t="s">
        <v>2482</v>
      </c>
      <c r="H251" s="2" t="s">
        <v>42</v>
      </c>
      <c r="I251" s="2" t="s">
        <v>46</v>
      </c>
      <c r="J251" s="2" t="s">
        <v>47</v>
      </c>
      <c r="K251" s="2" t="s">
        <v>2483</v>
      </c>
      <c r="L251" s="2" t="s">
        <v>111</v>
      </c>
      <c r="M251" s="8" t="str">
        <f>HYPERLINK("http://centers.cenomi.com", "centers.cenomi.com")</f>
        <v>centers.cenomi.com</v>
      </c>
      <c r="N251" s="2" t="s">
        <v>210</v>
      </c>
      <c r="O251" s="2" t="s">
        <v>42</v>
      </c>
      <c r="P251" s="2" t="s">
        <v>2484</v>
      </c>
      <c r="Q251" s="2" t="s">
        <v>2485</v>
      </c>
      <c r="R251" s="16" t="s">
        <v>42</v>
      </c>
      <c r="S251" s="16">
        <v>1</v>
      </c>
      <c r="T251" s="16">
        <v>1</v>
      </c>
      <c r="U251" s="16" t="s">
        <v>42</v>
      </c>
      <c r="V251" s="16" t="s">
        <v>42</v>
      </c>
      <c r="W251" s="4" t="s">
        <v>2486</v>
      </c>
      <c r="X251" s="2" t="s">
        <v>42</v>
      </c>
      <c r="Y251" s="8" t="str">
        <f>HYPERLINK("http://linkedin.com/in/alisonrehillerguven/?", "http://linkedin.com/in/alisonrehillerguven/?")</f>
        <v>http://linkedin.com/in/alisonrehillerguven/?</v>
      </c>
      <c r="Z251" s="2" t="s">
        <v>55</v>
      </c>
      <c r="AA251" s="2" t="s">
        <v>2487</v>
      </c>
      <c r="AB251" s="2" t="s">
        <v>42</v>
      </c>
      <c r="AC251" s="2" t="s">
        <v>58</v>
      </c>
      <c r="AD251" s="2" t="s">
        <v>42</v>
      </c>
      <c r="AE251" s="4" t="s">
        <v>646</v>
      </c>
      <c r="AF251" s="2" t="s">
        <v>60</v>
      </c>
      <c r="AG251" s="4" t="s">
        <v>42</v>
      </c>
      <c r="AH251" s="2" t="s">
        <v>61</v>
      </c>
      <c r="AI251" s="2" t="s">
        <v>61</v>
      </c>
      <c r="AJ251" s="2" t="s">
        <v>42</v>
      </c>
      <c r="AK251" s="2" t="s">
        <v>42</v>
      </c>
      <c r="AL251" s="28">
        <v>45726</v>
      </c>
      <c r="AM251" s="4" t="s">
        <v>42</v>
      </c>
      <c r="AN251" s="8" t="str">
        <f>HYPERLINK("https://my.pitchbook.com?p=334231-75P", "View People Online")</f>
        <v>View People Online</v>
      </c>
    </row>
    <row r="252" spans="1:40" x14ac:dyDescent="0.2">
      <c r="A252" s="3" t="s">
        <v>2488</v>
      </c>
      <c r="B252" s="3" t="s">
        <v>2489</v>
      </c>
      <c r="C252" s="3" t="s">
        <v>42</v>
      </c>
      <c r="D252" s="3" t="s">
        <v>42</v>
      </c>
      <c r="E252" s="3" t="s">
        <v>2488</v>
      </c>
      <c r="F252" s="3" t="s">
        <v>2490</v>
      </c>
      <c r="G252" s="3" t="s">
        <v>2491</v>
      </c>
      <c r="H252" s="3" t="s">
        <v>686</v>
      </c>
      <c r="I252" s="3" t="s">
        <v>46</v>
      </c>
      <c r="J252" s="3" t="s">
        <v>47</v>
      </c>
      <c r="K252" s="3" t="s">
        <v>224</v>
      </c>
      <c r="L252" s="3" t="s">
        <v>111</v>
      </c>
      <c r="M252" s="9" t="str">
        <f>HYPERLINK("http://www.stc.com.sa", "www.stc.com.sa")</f>
        <v>www.stc.com.sa</v>
      </c>
      <c r="N252" s="3" t="s">
        <v>1281</v>
      </c>
      <c r="O252" s="3" t="s">
        <v>42</v>
      </c>
      <c r="P252" s="3" t="s">
        <v>2492</v>
      </c>
      <c r="Q252" s="3" t="s">
        <v>42</v>
      </c>
      <c r="R252" s="17" t="s">
        <v>42</v>
      </c>
      <c r="S252" s="17">
        <v>1</v>
      </c>
      <c r="T252" s="17">
        <v>1</v>
      </c>
      <c r="U252" s="17" t="s">
        <v>42</v>
      </c>
      <c r="V252" s="17" t="s">
        <v>42</v>
      </c>
      <c r="W252" s="5" t="s">
        <v>227</v>
      </c>
      <c r="X252" s="3" t="s">
        <v>42</v>
      </c>
      <c r="Y252" s="3" t="s">
        <v>42</v>
      </c>
      <c r="Z252" s="3" t="s">
        <v>55</v>
      </c>
      <c r="AA252" s="3" t="s">
        <v>229</v>
      </c>
      <c r="AB252" s="3" t="s">
        <v>230</v>
      </c>
      <c r="AC252" s="3" t="s">
        <v>58</v>
      </c>
      <c r="AD252" s="3" t="s">
        <v>42</v>
      </c>
      <c r="AE252" s="5" t="s">
        <v>231</v>
      </c>
      <c r="AF252" s="3" t="s">
        <v>60</v>
      </c>
      <c r="AG252" s="5" t="s">
        <v>232</v>
      </c>
      <c r="AH252" s="3" t="s">
        <v>61</v>
      </c>
      <c r="AI252" s="3" t="s">
        <v>61</v>
      </c>
      <c r="AJ252" s="3" t="s">
        <v>42</v>
      </c>
      <c r="AK252" s="3" t="s">
        <v>42</v>
      </c>
      <c r="AL252" s="29">
        <v>45903</v>
      </c>
      <c r="AM252" s="5" t="s">
        <v>42</v>
      </c>
      <c r="AN252" s="9" t="str">
        <f>HYPERLINK("https://my.pitchbook.com?p=146360-98P", "View People Online")</f>
        <v>View People Online</v>
      </c>
    </row>
    <row r="253" spans="1:40" x14ac:dyDescent="0.2">
      <c r="A253" s="2" t="s">
        <v>2493</v>
      </c>
      <c r="B253" s="2" t="s">
        <v>2494</v>
      </c>
      <c r="C253" s="2" t="s">
        <v>42</v>
      </c>
      <c r="D253" s="2" t="s">
        <v>42</v>
      </c>
      <c r="E253" s="2" t="s">
        <v>2493</v>
      </c>
      <c r="F253" s="2" t="s">
        <v>2495</v>
      </c>
      <c r="G253" s="2" t="s">
        <v>2496</v>
      </c>
      <c r="H253" s="2" t="s">
        <v>479</v>
      </c>
      <c r="I253" s="2" t="s">
        <v>46</v>
      </c>
      <c r="J253" s="2" t="s">
        <v>47</v>
      </c>
      <c r="K253" s="2" t="s">
        <v>2497</v>
      </c>
      <c r="L253" s="2" t="s">
        <v>111</v>
      </c>
      <c r="M253" s="8" t="str">
        <f>HYPERLINK("http://www.lastmade.com", "www.lastmade.com")</f>
        <v>www.lastmade.com</v>
      </c>
      <c r="N253" s="2" t="s">
        <v>534</v>
      </c>
      <c r="O253" s="2" t="s">
        <v>42</v>
      </c>
      <c r="P253" s="2" t="s">
        <v>2498</v>
      </c>
      <c r="Q253" s="2" t="s">
        <v>42</v>
      </c>
      <c r="R253" s="16" t="s">
        <v>42</v>
      </c>
      <c r="S253" s="16">
        <v>1</v>
      </c>
      <c r="T253" s="16">
        <v>1</v>
      </c>
      <c r="U253" s="16" t="s">
        <v>42</v>
      </c>
      <c r="V253" s="16" t="s">
        <v>42</v>
      </c>
      <c r="W253" s="4" t="s">
        <v>2499</v>
      </c>
      <c r="X253" s="2" t="s">
        <v>42</v>
      </c>
      <c r="Y253" s="2" t="s">
        <v>42</v>
      </c>
      <c r="Z253" s="2" t="s">
        <v>55</v>
      </c>
      <c r="AA253" s="2" t="s">
        <v>2500</v>
      </c>
      <c r="AB253" s="2" t="s">
        <v>42</v>
      </c>
      <c r="AC253" s="2" t="s">
        <v>58</v>
      </c>
      <c r="AD253" s="2" t="s">
        <v>42</v>
      </c>
      <c r="AE253" s="4" t="s">
        <v>2501</v>
      </c>
      <c r="AF253" s="2" t="s">
        <v>60</v>
      </c>
      <c r="AG253" s="4" t="s">
        <v>42</v>
      </c>
      <c r="AH253" s="2" t="s">
        <v>61</v>
      </c>
      <c r="AI253" s="2" t="s">
        <v>61</v>
      </c>
      <c r="AJ253" s="2" t="s">
        <v>42</v>
      </c>
      <c r="AK253" s="2" t="s">
        <v>42</v>
      </c>
      <c r="AL253" s="28">
        <v>45905</v>
      </c>
      <c r="AM253" s="4" t="s">
        <v>42</v>
      </c>
      <c r="AN253" s="8" t="str">
        <f>HYPERLINK("https://my.pitchbook.com?p=365693-23P", "View People Online")</f>
        <v>View People Online</v>
      </c>
    </row>
    <row r="254" spans="1:40" x14ac:dyDescent="0.2">
      <c r="A254" s="3" t="s">
        <v>2502</v>
      </c>
      <c r="B254" s="3" t="s">
        <v>2503</v>
      </c>
      <c r="C254" s="3" t="s">
        <v>42</v>
      </c>
      <c r="D254" s="3" t="s">
        <v>42</v>
      </c>
      <c r="E254" s="3" t="s">
        <v>2502</v>
      </c>
      <c r="F254" s="3" t="s">
        <v>2504</v>
      </c>
      <c r="G254" s="3" t="s">
        <v>2505</v>
      </c>
      <c r="H254" s="3" t="s">
        <v>42</v>
      </c>
      <c r="I254" s="3" t="s">
        <v>46</v>
      </c>
      <c r="J254" s="3" t="s">
        <v>47</v>
      </c>
      <c r="K254" s="3" t="s">
        <v>1120</v>
      </c>
      <c r="L254" s="3" t="s">
        <v>111</v>
      </c>
      <c r="M254" s="9" t="str">
        <f>HYPERLINK("http://www.saco.sa", "www.saco.sa")</f>
        <v>www.saco.sa</v>
      </c>
      <c r="N254" s="3" t="s">
        <v>534</v>
      </c>
      <c r="O254" s="3" t="s">
        <v>42</v>
      </c>
      <c r="P254" s="3" t="s">
        <v>2506</v>
      </c>
      <c r="Q254" s="3" t="s">
        <v>42</v>
      </c>
      <c r="R254" s="17" t="s">
        <v>42</v>
      </c>
      <c r="S254" s="17">
        <v>1</v>
      </c>
      <c r="T254" s="17">
        <v>1</v>
      </c>
      <c r="U254" s="17" t="s">
        <v>42</v>
      </c>
      <c r="V254" s="17" t="s">
        <v>42</v>
      </c>
      <c r="W254" s="5" t="s">
        <v>1122</v>
      </c>
      <c r="X254" s="3" t="s">
        <v>2507</v>
      </c>
      <c r="Y254" s="9" t="str">
        <f>HYPERLINK("http://linkedin.com/in/amer-o-omar-cpa-63039892/", "http://linkedin.com/in/amer-o-omar-cpa-63039892/")</f>
        <v>http://linkedin.com/in/amer-o-omar-cpa-63039892/</v>
      </c>
      <c r="Z254" s="3" t="s">
        <v>55</v>
      </c>
      <c r="AA254" s="3" t="s">
        <v>1124</v>
      </c>
      <c r="AB254" s="3" t="s">
        <v>1125</v>
      </c>
      <c r="AC254" s="3" t="s">
        <v>58</v>
      </c>
      <c r="AD254" s="3" t="s">
        <v>42</v>
      </c>
      <c r="AE254" s="5" t="s">
        <v>1126</v>
      </c>
      <c r="AF254" s="3" t="s">
        <v>60</v>
      </c>
      <c r="AG254" s="5" t="s">
        <v>1127</v>
      </c>
      <c r="AH254" s="3" t="s">
        <v>61</v>
      </c>
      <c r="AI254" s="3" t="s">
        <v>61</v>
      </c>
      <c r="AJ254" s="3" t="s">
        <v>42</v>
      </c>
      <c r="AK254" s="3" t="s">
        <v>42</v>
      </c>
      <c r="AL254" s="29">
        <v>45399</v>
      </c>
      <c r="AM254" s="5" t="s">
        <v>42</v>
      </c>
      <c r="AN254" s="9" t="str">
        <f>HYPERLINK("https://my.pitchbook.com?p=331339-33P", "View People Online")</f>
        <v>View People Online</v>
      </c>
    </row>
    <row r="255" spans="1:40" x14ac:dyDescent="0.2">
      <c r="A255" s="2" t="s">
        <v>2508</v>
      </c>
      <c r="B255" s="2" t="s">
        <v>2509</v>
      </c>
      <c r="C255" s="2" t="s">
        <v>42</v>
      </c>
      <c r="D255" s="2" t="s">
        <v>42</v>
      </c>
      <c r="E255" s="2" t="s">
        <v>2508</v>
      </c>
      <c r="F255" s="2" t="s">
        <v>2510</v>
      </c>
      <c r="G255" s="2" t="s">
        <v>236</v>
      </c>
      <c r="H255" s="2" t="s">
        <v>423</v>
      </c>
      <c r="I255" s="2" t="s">
        <v>46</v>
      </c>
      <c r="J255" s="2" t="s">
        <v>47</v>
      </c>
      <c r="K255" s="2" t="s">
        <v>2511</v>
      </c>
      <c r="L255" s="2" t="s">
        <v>111</v>
      </c>
      <c r="M255" s="8" t="str">
        <f>HYPERLINK("http://www.ggi-sa.com", "www.ggi-sa.com")</f>
        <v>www.ggi-sa.com</v>
      </c>
      <c r="N255" s="2" t="s">
        <v>534</v>
      </c>
      <c r="O255" s="2" t="s">
        <v>42</v>
      </c>
      <c r="P255" s="2" t="s">
        <v>2512</v>
      </c>
      <c r="Q255" s="2" t="s">
        <v>42</v>
      </c>
      <c r="R255" s="16" t="s">
        <v>42</v>
      </c>
      <c r="S255" s="16">
        <v>1</v>
      </c>
      <c r="T255" s="16">
        <v>1</v>
      </c>
      <c r="U255" s="16" t="s">
        <v>42</v>
      </c>
      <c r="V255" s="16" t="s">
        <v>42</v>
      </c>
      <c r="W255" s="4" t="s">
        <v>2513</v>
      </c>
      <c r="X255" s="2" t="s">
        <v>2514</v>
      </c>
      <c r="Y255" s="8" t="str">
        <f>HYPERLINK("http://linkedin.com/in/ammar-alsayrafi-aaa26853", "http://linkedin.com/in/ammar-alsayrafi-aaa26853")</f>
        <v>http://linkedin.com/in/ammar-alsayrafi-aaa26853</v>
      </c>
      <c r="Z255" s="2" t="s">
        <v>174</v>
      </c>
      <c r="AA255" s="2" t="s">
        <v>2515</v>
      </c>
      <c r="AB255" s="2" t="s">
        <v>2516</v>
      </c>
      <c r="AC255" s="2" t="s">
        <v>176</v>
      </c>
      <c r="AD255" s="2" t="s">
        <v>42</v>
      </c>
      <c r="AE255" s="4" t="s">
        <v>2517</v>
      </c>
      <c r="AF255" s="2" t="s">
        <v>60</v>
      </c>
      <c r="AG255" s="4" t="s">
        <v>2518</v>
      </c>
      <c r="AH255" s="2" t="s">
        <v>61</v>
      </c>
      <c r="AI255" s="2" t="s">
        <v>61</v>
      </c>
      <c r="AJ255" s="2" t="s">
        <v>42</v>
      </c>
      <c r="AK255" s="2" t="s">
        <v>42</v>
      </c>
      <c r="AL255" s="28">
        <v>45916</v>
      </c>
      <c r="AM255" s="4" t="s">
        <v>42</v>
      </c>
      <c r="AN255" s="8" t="str">
        <f>HYPERLINK("https://my.pitchbook.com?p=301805-83P", "View People Online")</f>
        <v>View People Online</v>
      </c>
    </row>
    <row r="256" spans="1:40" x14ac:dyDescent="0.2">
      <c r="A256" s="3" t="s">
        <v>2519</v>
      </c>
      <c r="B256" s="3" t="s">
        <v>2520</v>
      </c>
      <c r="C256" s="3" t="s">
        <v>42</v>
      </c>
      <c r="D256" s="3" t="s">
        <v>42</v>
      </c>
      <c r="E256" s="3" t="s">
        <v>2519</v>
      </c>
      <c r="F256" s="3" t="s">
        <v>2521</v>
      </c>
      <c r="G256" s="3" t="s">
        <v>236</v>
      </c>
      <c r="H256" s="3" t="s">
        <v>2522</v>
      </c>
      <c r="I256" s="3" t="s">
        <v>42</v>
      </c>
      <c r="J256" s="3" t="s">
        <v>47</v>
      </c>
      <c r="K256" s="3" t="s">
        <v>2523</v>
      </c>
      <c r="L256" s="3" t="s">
        <v>111</v>
      </c>
      <c r="M256" s="9" t="str">
        <f>HYPERLINK("http://www.fakeeh.care", "www.fakeeh.care")</f>
        <v>www.fakeeh.care</v>
      </c>
      <c r="N256" s="3" t="s">
        <v>69</v>
      </c>
      <c r="O256" s="3" t="s">
        <v>42</v>
      </c>
      <c r="P256" s="3" t="s">
        <v>2524</v>
      </c>
      <c r="Q256" s="3" t="s">
        <v>42</v>
      </c>
      <c r="R256" s="17">
        <v>1</v>
      </c>
      <c r="S256" s="17">
        <v>1</v>
      </c>
      <c r="T256" s="17" t="s">
        <v>42</v>
      </c>
      <c r="U256" s="17" t="s">
        <v>42</v>
      </c>
      <c r="V256" s="17" t="s">
        <v>42</v>
      </c>
      <c r="W256" s="5" t="s">
        <v>2525</v>
      </c>
      <c r="X256" s="3" t="s">
        <v>42</v>
      </c>
      <c r="Y256" s="3" t="s">
        <v>42</v>
      </c>
      <c r="Z256" s="3" t="s">
        <v>174</v>
      </c>
      <c r="AA256" s="3" t="s">
        <v>2526</v>
      </c>
      <c r="AB256" s="3" t="s">
        <v>42</v>
      </c>
      <c r="AC256" s="3" t="s">
        <v>176</v>
      </c>
      <c r="AD256" s="3" t="s">
        <v>42</v>
      </c>
      <c r="AE256" s="5" t="s">
        <v>2103</v>
      </c>
      <c r="AF256" s="3" t="s">
        <v>60</v>
      </c>
      <c r="AG256" s="5" t="s">
        <v>42</v>
      </c>
      <c r="AH256" s="3" t="s">
        <v>61</v>
      </c>
      <c r="AI256" s="3" t="s">
        <v>61</v>
      </c>
      <c r="AJ256" s="3" t="s">
        <v>42</v>
      </c>
      <c r="AK256" s="3" t="s">
        <v>42</v>
      </c>
      <c r="AL256" s="29">
        <v>45842</v>
      </c>
      <c r="AM256" s="5" t="s">
        <v>42</v>
      </c>
      <c r="AN256" s="9" t="str">
        <f>HYPERLINK("https://my.pitchbook.com?p=437819-50P", "View People Online")</f>
        <v>View People Online</v>
      </c>
    </row>
    <row r="257" spans="1:40" x14ac:dyDescent="0.2">
      <c r="A257" s="2" t="s">
        <v>2527</v>
      </c>
      <c r="B257" s="2" t="s">
        <v>2528</v>
      </c>
      <c r="C257" s="2" t="s">
        <v>42</v>
      </c>
      <c r="D257" s="2" t="s">
        <v>42</v>
      </c>
      <c r="E257" s="2" t="s">
        <v>2527</v>
      </c>
      <c r="F257" s="2" t="s">
        <v>2529</v>
      </c>
      <c r="G257" s="2" t="s">
        <v>236</v>
      </c>
      <c r="H257" s="2" t="s">
        <v>42</v>
      </c>
      <c r="I257" s="2" t="s">
        <v>46</v>
      </c>
      <c r="J257" s="2" t="s">
        <v>47</v>
      </c>
      <c r="K257" s="2" t="s">
        <v>2530</v>
      </c>
      <c r="L257" s="2" t="s">
        <v>111</v>
      </c>
      <c r="M257" s="8" t="str">
        <f>HYPERLINK("http://www.salama.com.sa", "www.salama.com.sa")</f>
        <v>www.salama.com.sa</v>
      </c>
      <c r="N257" s="2" t="s">
        <v>370</v>
      </c>
      <c r="O257" s="2" t="s">
        <v>42</v>
      </c>
      <c r="P257" s="2" t="s">
        <v>2531</v>
      </c>
      <c r="Q257" s="2" t="s">
        <v>42</v>
      </c>
      <c r="R257" s="16" t="s">
        <v>42</v>
      </c>
      <c r="S257" s="16">
        <v>1</v>
      </c>
      <c r="T257" s="16">
        <v>1</v>
      </c>
      <c r="U257" s="16" t="s">
        <v>42</v>
      </c>
      <c r="V257" s="16" t="s">
        <v>42</v>
      </c>
      <c r="W257" s="4" t="s">
        <v>2532</v>
      </c>
      <c r="X257" s="2" t="s">
        <v>2533</v>
      </c>
      <c r="Y257" s="8" t="str">
        <f>HYPERLINK("http://linkedin.com/in/ammar-ahmed-ghurab-3b64a2b2/", "http://linkedin.com/in/ammar-ahmed-ghurab-3b64a2b2/")</f>
        <v>http://linkedin.com/in/ammar-ahmed-ghurab-3b64a2b2/</v>
      </c>
      <c r="Z257" s="2" t="s">
        <v>174</v>
      </c>
      <c r="AA257" s="2" t="s">
        <v>2534</v>
      </c>
      <c r="AB257" s="2" t="s">
        <v>2535</v>
      </c>
      <c r="AC257" s="2" t="s">
        <v>176</v>
      </c>
      <c r="AD257" s="2" t="s">
        <v>42</v>
      </c>
      <c r="AE257" s="4" t="s">
        <v>42</v>
      </c>
      <c r="AF257" s="2" t="s">
        <v>60</v>
      </c>
      <c r="AG257" s="4" t="s">
        <v>42</v>
      </c>
      <c r="AH257" s="2" t="s">
        <v>61</v>
      </c>
      <c r="AI257" s="2" t="s">
        <v>61</v>
      </c>
      <c r="AJ257" s="2" t="s">
        <v>42</v>
      </c>
      <c r="AK257" s="2" t="s">
        <v>42</v>
      </c>
      <c r="AL257" s="28">
        <v>45352</v>
      </c>
      <c r="AM257" s="4" t="s">
        <v>42</v>
      </c>
      <c r="AN257" s="8" t="str">
        <f>HYPERLINK("https://my.pitchbook.com?p=321697-00P", "View People Online")</f>
        <v>View People Online</v>
      </c>
    </row>
    <row r="258" spans="1:40" x14ac:dyDescent="0.2">
      <c r="A258" s="3" t="s">
        <v>2536</v>
      </c>
      <c r="B258" s="3" t="s">
        <v>2537</v>
      </c>
      <c r="C258" s="3" t="s">
        <v>42</v>
      </c>
      <c r="D258" s="3" t="s">
        <v>42</v>
      </c>
      <c r="E258" s="3" t="s">
        <v>2536</v>
      </c>
      <c r="F258" s="3" t="s">
        <v>2538</v>
      </c>
      <c r="G258" s="3" t="s">
        <v>2539</v>
      </c>
      <c r="H258" s="3" t="s">
        <v>42</v>
      </c>
      <c r="I258" s="3" t="s">
        <v>46</v>
      </c>
      <c r="J258" s="3" t="s">
        <v>47</v>
      </c>
      <c r="K258" s="3" t="s">
        <v>2540</v>
      </c>
      <c r="L258" s="3" t="s">
        <v>81</v>
      </c>
      <c r="M258" s="9" t="str">
        <f>HYPERLINK("http://www.mulkia.com.sa", "www.mulkia.com.sa")</f>
        <v>www.mulkia.com.sa</v>
      </c>
      <c r="N258" s="3" t="s">
        <v>534</v>
      </c>
      <c r="O258" s="3" t="s">
        <v>42</v>
      </c>
      <c r="P258" s="3" t="s">
        <v>2541</v>
      </c>
      <c r="Q258" s="3" t="s">
        <v>42</v>
      </c>
      <c r="R258" s="17" t="s">
        <v>42</v>
      </c>
      <c r="S258" s="17">
        <v>1</v>
      </c>
      <c r="T258" s="17">
        <v>1</v>
      </c>
      <c r="U258" s="17" t="s">
        <v>42</v>
      </c>
      <c r="V258" s="17" t="s">
        <v>42</v>
      </c>
      <c r="W258" s="5" t="s">
        <v>2542</v>
      </c>
      <c r="X258" s="3" t="s">
        <v>42</v>
      </c>
      <c r="Y258" s="9" t="str">
        <f>HYPERLINK("http://linkedin.com/in/amr-mohamed-abdo-elkholy-esaa-3ba87b4a/", "http://linkedin.com/in/amr-mohamed-abdo-elkholy-esaa-3ba87b4a/")</f>
        <v>http://linkedin.com/in/amr-mohamed-abdo-elkholy-esaa-3ba87b4a/</v>
      </c>
      <c r="Z258" s="3" t="s">
        <v>55</v>
      </c>
      <c r="AA258" s="3" t="s">
        <v>2543</v>
      </c>
      <c r="AB258" s="3" t="s">
        <v>2544</v>
      </c>
      <c r="AC258" s="3" t="s">
        <v>58</v>
      </c>
      <c r="AD258" s="3" t="s">
        <v>42</v>
      </c>
      <c r="AE258" s="5" t="s">
        <v>2545</v>
      </c>
      <c r="AF258" s="3" t="s">
        <v>60</v>
      </c>
      <c r="AG258" s="5" t="s">
        <v>2546</v>
      </c>
      <c r="AH258" s="3" t="s">
        <v>61</v>
      </c>
      <c r="AI258" s="3" t="s">
        <v>61</v>
      </c>
      <c r="AJ258" s="3" t="s">
        <v>42</v>
      </c>
      <c r="AK258" s="3" t="s">
        <v>42</v>
      </c>
      <c r="AL258" s="29">
        <v>46030</v>
      </c>
      <c r="AM258" s="5" t="s">
        <v>42</v>
      </c>
      <c r="AN258" s="9" t="str">
        <f>HYPERLINK("https://my.pitchbook.com?p=374030-65P", "View People Online")</f>
        <v>View People Online</v>
      </c>
    </row>
    <row r="259" spans="1:40" x14ac:dyDescent="0.2">
      <c r="A259" s="2" t="s">
        <v>2547</v>
      </c>
      <c r="B259" s="2" t="s">
        <v>2548</v>
      </c>
      <c r="C259" s="2" t="s">
        <v>42</v>
      </c>
      <c r="D259" s="2" t="s">
        <v>42</v>
      </c>
      <c r="E259" s="2" t="s">
        <v>2547</v>
      </c>
      <c r="F259" s="2" t="s">
        <v>2549</v>
      </c>
      <c r="G259" s="2" t="s">
        <v>2539</v>
      </c>
      <c r="H259" s="2" t="s">
        <v>42</v>
      </c>
      <c r="I259" s="2" t="s">
        <v>46</v>
      </c>
      <c r="J259" s="2" t="s">
        <v>47</v>
      </c>
      <c r="K259" s="2" t="s">
        <v>2550</v>
      </c>
      <c r="L259" s="2" t="s">
        <v>111</v>
      </c>
      <c r="M259" s="8" t="str">
        <f>HYPERLINK("http://mep.co", "mep.co")</f>
        <v>mep.co</v>
      </c>
      <c r="N259" s="2" t="s">
        <v>2551</v>
      </c>
      <c r="O259" s="2" t="s">
        <v>42</v>
      </c>
      <c r="P259" s="2" t="s">
        <v>2552</v>
      </c>
      <c r="Q259" s="2" t="s">
        <v>42</v>
      </c>
      <c r="R259" s="16" t="s">
        <v>42</v>
      </c>
      <c r="S259" s="16">
        <v>1</v>
      </c>
      <c r="T259" s="16">
        <v>1</v>
      </c>
      <c r="U259" s="16" t="s">
        <v>42</v>
      </c>
      <c r="V259" s="16" t="s">
        <v>42</v>
      </c>
      <c r="W259" s="4" t="s">
        <v>2553</v>
      </c>
      <c r="X259" s="2" t="s">
        <v>42</v>
      </c>
      <c r="Y259" s="8" t="str">
        <f>HYPERLINK("http://linkedin.com/in/amr-masry-03302a35", "http://linkedin.com/in/amr-masry-03302a35")</f>
        <v>http://linkedin.com/in/amr-masry-03302a35</v>
      </c>
      <c r="Z259" s="2" t="s">
        <v>174</v>
      </c>
      <c r="AA259" s="2" t="s">
        <v>2554</v>
      </c>
      <c r="AB259" s="2" t="s">
        <v>2555</v>
      </c>
      <c r="AC259" s="2" t="s">
        <v>176</v>
      </c>
      <c r="AD259" s="2" t="s">
        <v>42</v>
      </c>
      <c r="AE259" s="4" t="s">
        <v>2556</v>
      </c>
      <c r="AF259" s="2" t="s">
        <v>60</v>
      </c>
      <c r="AG259" s="4" t="s">
        <v>42</v>
      </c>
      <c r="AH259" s="2" t="s">
        <v>61</v>
      </c>
      <c r="AI259" s="2" t="s">
        <v>61</v>
      </c>
      <c r="AJ259" s="2" t="s">
        <v>42</v>
      </c>
      <c r="AK259" s="2" t="s">
        <v>42</v>
      </c>
      <c r="AL259" s="28">
        <v>45838</v>
      </c>
      <c r="AM259" s="4">
        <v>1982</v>
      </c>
      <c r="AN259" s="8" t="str">
        <f>HYPERLINK("https://my.pitchbook.com?p=380855-35P", "View People Online")</f>
        <v>View People Online</v>
      </c>
    </row>
    <row r="260" spans="1:40" x14ac:dyDescent="0.2">
      <c r="A260" s="3" t="s">
        <v>2557</v>
      </c>
      <c r="B260" s="3" t="s">
        <v>2558</v>
      </c>
      <c r="C260" s="3" t="s">
        <v>42</v>
      </c>
      <c r="D260" s="3" t="s">
        <v>42</v>
      </c>
      <c r="E260" s="3" t="s">
        <v>2557</v>
      </c>
      <c r="F260" s="3" t="s">
        <v>2559</v>
      </c>
      <c r="G260" s="3" t="s">
        <v>2539</v>
      </c>
      <c r="H260" s="3" t="s">
        <v>2560</v>
      </c>
      <c r="I260" s="3" t="s">
        <v>46</v>
      </c>
      <c r="J260" s="3" t="s">
        <v>47</v>
      </c>
      <c r="K260" s="3" t="s">
        <v>2561</v>
      </c>
      <c r="L260" s="3" t="s">
        <v>111</v>
      </c>
      <c r="M260" s="9" t="str">
        <f>HYPERLINK("http://www.ghidas.com", "www.ghidas.com")</f>
        <v>www.ghidas.com</v>
      </c>
      <c r="N260" s="3" t="s">
        <v>534</v>
      </c>
      <c r="O260" s="3" t="s">
        <v>42</v>
      </c>
      <c r="P260" s="3" t="s">
        <v>2562</v>
      </c>
      <c r="Q260" s="3" t="s">
        <v>42</v>
      </c>
      <c r="R260" s="17" t="s">
        <v>42</v>
      </c>
      <c r="S260" s="17">
        <v>1</v>
      </c>
      <c r="T260" s="17">
        <v>1</v>
      </c>
      <c r="U260" s="17" t="s">
        <v>42</v>
      </c>
      <c r="V260" s="17" t="s">
        <v>42</v>
      </c>
      <c r="W260" s="5" t="s">
        <v>2563</v>
      </c>
      <c r="X260" s="3" t="s">
        <v>2564</v>
      </c>
      <c r="Y260" s="3" t="s">
        <v>42</v>
      </c>
      <c r="Z260" s="3" t="s">
        <v>174</v>
      </c>
      <c r="AA260" s="3" t="s">
        <v>1285</v>
      </c>
      <c r="AB260" s="3" t="s">
        <v>2565</v>
      </c>
      <c r="AC260" s="3" t="s">
        <v>176</v>
      </c>
      <c r="AD260" s="3" t="s">
        <v>42</v>
      </c>
      <c r="AE260" s="5" t="s">
        <v>2566</v>
      </c>
      <c r="AF260" s="3" t="s">
        <v>60</v>
      </c>
      <c r="AG260" s="5" t="s">
        <v>42</v>
      </c>
      <c r="AH260" s="3" t="s">
        <v>61</v>
      </c>
      <c r="AI260" s="3" t="s">
        <v>61</v>
      </c>
      <c r="AJ260" s="3" t="s">
        <v>42</v>
      </c>
      <c r="AK260" s="3" t="s">
        <v>42</v>
      </c>
      <c r="AL260" s="29">
        <v>45729</v>
      </c>
      <c r="AM260" s="5" t="s">
        <v>42</v>
      </c>
      <c r="AN260" s="9" t="str">
        <f>HYPERLINK("https://my.pitchbook.com?p=341007-13P", "View People Online")</f>
        <v>View People Online</v>
      </c>
    </row>
    <row r="261" spans="1:40" x14ac:dyDescent="0.2">
      <c r="A261" s="2" t="s">
        <v>2567</v>
      </c>
      <c r="B261" s="2" t="s">
        <v>2568</v>
      </c>
      <c r="C261" s="2" t="s">
        <v>42</v>
      </c>
      <c r="D261" s="2" t="s">
        <v>42</v>
      </c>
      <c r="E261" s="2" t="s">
        <v>2567</v>
      </c>
      <c r="F261" s="2" t="s">
        <v>2569</v>
      </c>
      <c r="G261" s="2" t="s">
        <v>2570</v>
      </c>
      <c r="H261" s="2" t="s">
        <v>42</v>
      </c>
      <c r="I261" s="2" t="s">
        <v>46</v>
      </c>
      <c r="J261" s="2" t="s">
        <v>47</v>
      </c>
      <c r="K261" s="2" t="s">
        <v>1712</v>
      </c>
      <c r="L261" s="2" t="s">
        <v>111</v>
      </c>
      <c r="M261" s="8" t="str">
        <f>HYPERLINK("http://quarafinance.com", "quarafinance.com")</f>
        <v>quarafinance.com</v>
      </c>
      <c r="N261" s="2" t="s">
        <v>534</v>
      </c>
      <c r="O261" s="2" t="s">
        <v>42</v>
      </c>
      <c r="P261" s="2" t="s">
        <v>2571</v>
      </c>
      <c r="Q261" s="2" t="s">
        <v>42</v>
      </c>
      <c r="R261" s="16" t="s">
        <v>42</v>
      </c>
      <c r="S261" s="16">
        <v>1</v>
      </c>
      <c r="T261" s="16">
        <v>1</v>
      </c>
      <c r="U261" s="16" t="s">
        <v>42</v>
      </c>
      <c r="V261" s="16" t="s">
        <v>42</v>
      </c>
      <c r="W261" s="4" t="s">
        <v>42</v>
      </c>
      <c r="X261" s="2" t="s">
        <v>2572</v>
      </c>
      <c r="Y261" s="8" t="str">
        <f>HYPERLINK("http://linkedin.com/in/amrish-shah-b596b224/", "http://linkedin.com/in/amrish-shah-b596b224/")</f>
        <v>http://linkedin.com/in/amrish-shah-b596b224/</v>
      </c>
      <c r="Z261" s="2" t="s">
        <v>55</v>
      </c>
      <c r="AA261" s="2" t="s">
        <v>1716</v>
      </c>
      <c r="AB261" s="2" t="s">
        <v>42</v>
      </c>
      <c r="AC261" s="2" t="s">
        <v>58</v>
      </c>
      <c r="AD261" s="2" t="s">
        <v>58</v>
      </c>
      <c r="AE261" s="4" t="s">
        <v>918</v>
      </c>
      <c r="AF261" s="2" t="s">
        <v>60</v>
      </c>
      <c r="AG261" s="4" t="s">
        <v>42</v>
      </c>
      <c r="AH261" s="2" t="s">
        <v>61</v>
      </c>
      <c r="AI261" s="2" t="s">
        <v>61</v>
      </c>
      <c r="AJ261" s="2" t="s">
        <v>42</v>
      </c>
      <c r="AK261" s="2" t="s">
        <v>42</v>
      </c>
      <c r="AL261" s="28">
        <v>45365</v>
      </c>
      <c r="AM261" s="4" t="s">
        <v>42</v>
      </c>
      <c r="AN261" s="8" t="str">
        <f>HYPERLINK("https://my.pitchbook.com?p=389314-27P", "View People Online")</f>
        <v>View People Online</v>
      </c>
    </row>
    <row r="262" spans="1:40" x14ac:dyDescent="0.2">
      <c r="A262" s="3" t="s">
        <v>2573</v>
      </c>
      <c r="B262" s="3" t="s">
        <v>2574</v>
      </c>
      <c r="C262" s="3" t="s">
        <v>42</v>
      </c>
      <c r="D262" s="3" t="s">
        <v>42</v>
      </c>
      <c r="E262" s="3" t="s">
        <v>2573</v>
      </c>
      <c r="F262" s="3" t="s">
        <v>2575</v>
      </c>
      <c r="G262" s="3" t="s">
        <v>2576</v>
      </c>
      <c r="H262" s="3" t="s">
        <v>2577</v>
      </c>
      <c r="I262" s="3" t="s">
        <v>46</v>
      </c>
      <c r="J262" s="3" t="s">
        <v>47</v>
      </c>
      <c r="K262" s="3" t="s">
        <v>2578</v>
      </c>
      <c r="L262" s="3" t="s">
        <v>111</v>
      </c>
      <c r="M262" s="9" t="str">
        <f>HYPERLINK("http://www.mcdc.com.sa", "www.mcdc.com.sa")</f>
        <v>www.mcdc.com.sa</v>
      </c>
      <c r="N262" s="3" t="s">
        <v>534</v>
      </c>
      <c r="O262" s="3" t="s">
        <v>42</v>
      </c>
      <c r="P262" s="3" t="s">
        <v>2579</v>
      </c>
      <c r="Q262" s="3" t="s">
        <v>42</v>
      </c>
      <c r="R262" s="17" t="s">
        <v>42</v>
      </c>
      <c r="S262" s="17">
        <v>1</v>
      </c>
      <c r="T262" s="17">
        <v>1</v>
      </c>
      <c r="U262" s="17" t="s">
        <v>42</v>
      </c>
      <c r="V262" s="17" t="s">
        <v>42</v>
      </c>
      <c r="W262" s="5" t="s">
        <v>2580</v>
      </c>
      <c r="X262" s="3" t="s">
        <v>42</v>
      </c>
      <c r="Y262" s="3" t="s">
        <v>42</v>
      </c>
      <c r="Z262" s="3" t="s">
        <v>2581</v>
      </c>
      <c r="AA262" s="3" t="s">
        <v>2582</v>
      </c>
      <c r="AB262" s="3" t="s">
        <v>2583</v>
      </c>
      <c r="AC262" s="3" t="s">
        <v>930</v>
      </c>
      <c r="AD262" s="3" t="s">
        <v>42</v>
      </c>
      <c r="AE262" s="5" t="s">
        <v>2584</v>
      </c>
      <c r="AF262" s="3" t="s">
        <v>60</v>
      </c>
      <c r="AG262" s="5" t="s">
        <v>42</v>
      </c>
      <c r="AH262" s="3" t="s">
        <v>61</v>
      </c>
      <c r="AI262" s="3" t="s">
        <v>61</v>
      </c>
      <c r="AJ262" s="3" t="s">
        <v>42</v>
      </c>
      <c r="AK262" s="3" t="s">
        <v>42</v>
      </c>
      <c r="AL262" s="29">
        <v>46035</v>
      </c>
      <c r="AM262" s="5" t="s">
        <v>42</v>
      </c>
      <c r="AN262" s="9" t="str">
        <f>HYPERLINK("https://my.pitchbook.com?p=341060-23P", "View People Online")</f>
        <v>View People Online</v>
      </c>
    </row>
    <row r="263" spans="1:40" x14ac:dyDescent="0.2">
      <c r="A263" s="2" t="s">
        <v>2585</v>
      </c>
      <c r="B263" s="2" t="s">
        <v>2586</v>
      </c>
      <c r="C263" s="2" t="s">
        <v>42</v>
      </c>
      <c r="D263" s="2" t="s">
        <v>42</v>
      </c>
      <c r="E263" s="2" t="s">
        <v>2585</v>
      </c>
      <c r="F263" s="2" t="s">
        <v>2587</v>
      </c>
      <c r="G263" s="2" t="s">
        <v>2588</v>
      </c>
      <c r="H263" s="2" t="s">
        <v>356</v>
      </c>
      <c r="I263" s="2" t="s">
        <v>46</v>
      </c>
      <c r="J263" s="2" t="s">
        <v>47</v>
      </c>
      <c r="K263" s="2" t="s">
        <v>2589</v>
      </c>
      <c r="L263" s="2" t="s">
        <v>111</v>
      </c>
      <c r="M263" s="8" t="str">
        <f>HYPERLINK("http://www.alqemam.com", "www.alqemam.com")</f>
        <v>www.alqemam.com</v>
      </c>
      <c r="N263" s="2" t="s">
        <v>210</v>
      </c>
      <c r="O263" s="2" t="s">
        <v>42</v>
      </c>
      <c r="P263" s="2" t="s">
        <v>2590</v>
      </c>
      <c r="Q263" s="2" t="s">
        <v>42</v>
      </c>
      <c r="R263" s="16" t="s">
        <v>42</v>
      </c>
      <c r="S263" s="16">
        <v>1</v>
      </c>
      <c r="T263" s="16">
        <v>1</v>
      </c>
      <c r="U263" s="16" t="s">
        <v>42</v>
      </c>
      <c r="V263" s="16" t="s">
        <v>42</v>
      </c>
      <c r="W263" s="4" t="s">
        <v>2591</v>
      </c>
      <c r="X263" s="2" t="s">
        <v>42</v>
      </c>
      <c r="Y263" s="2" t="s">
        <v>42</v>
      </c>
      <c r="Z263" s="2" t="s">
        <v>2592</v>
      </c>
      <c r="AA263" s="2" t="s">
        <v>2593</v>
      </c>
      <c r="AB263" s="2" t="s">
        <v>42</v>
      </c>
      <c r="AC263" s="2" t="s">
        <v>2594</v>
      </c>
      <c r="AD263" s="2" t="s">
        <v>42</v>
      </c>
      <c r="AE263" s="4" t="s">
        <v>42</v>
      </c>
      <c r="AF263" s="2" t="s">
        <v>60</v>
      </c>
      <c r="AG263" s="4" t="s">
        <v>42</v>
      </c>
      <c r="AH263" s="2" t="s">
        <v>61</v>
      </c>
      <c r="AI263" s="2" t="s">
        <v>61</v>
      </c>
      <c r="AJ263" s="2" t="s">
        <v>42</v>
      </c>
      <c r="AK263" s="2" t="s">
        <v>42</v>
      </c>
      <c r="AL263" s="28">
        <v>45700</v>
      </c>
      <c r="AM263" s="4" t="s">
        <v>42</v>
      </c>
      <c r="AN263" s="8" t="str">
        <f>HYPERLINK("https://my.pitchbook.com?p=334340-47P", "View People Online")</f>
        <v>View People Online</v>
      </c>
    </row>
    <row r="264" spans="1:40" x14ac:dyDescent="0.2">
      <c r="A264" s="3" t="s">
        <v>2595</v>
      </c>
      <c r="B264" s="3" t="s">
        <v>2596</v>
      </c>
      <c r="C264" s="3" t="s">
        <v>42</v>
      </c>
      <c r="D264" s="3" t="s">
        <v>42</v>
      </c>
      <c r="E264" s="3" t="s">
        <v>2595</v>
      </c>
      <c r="F264" s="3" t="s">
        <v>2597</v>
      </c>
      <c r="G264" s="3" t="s">
        <v>2598</v>
      </c>
      <c r="H264" s="3" t="s">
        <v>42</v>
      </c>
      <c r="I264" s="3" t="s">
        <v>46</v>
      </c>
      <c r="J264" s="3" t="s">
        <v>47</v>
      </c>
      <c r="K264" s="3" t="s">
        <v>2599</v>
      </c>
      <c r="L264" s="3" t="s">
        <v>111</v>
      </c>
      <c r="M264" s="9" t="str">
        <f>HYPERLINK("http://www.daralarkan.com", "www.daralarkan.com")</f>
        <v>www.daralarkan.com</v>
      </c>
      <c r="N264" s="3" t="s">
        <v>210</v>
      </c>
      <c r="O264" s="3" t="s">
        <v>42</v>
      </c>
      <c r="P264" s="3" t="s">
        <v>2600</v>
      </c>
      <c r="Q264" s="3" t="s">
        <v>42</v>
      </c>
      <c r="R264" s="17" t="s">
        <v>42</v>
      </c>
      <c r="S264" s="17">
        <v>1</v>
      </c>
      <c r="T264" s="17">
        <v>1</v>
      </c>
      <c r="U264" s="17" t="s">
        <v>42</v>
      </c>
      <c r="V264" s="17" t="s">
        <v>42</v>
      </c>
      <c r="W264" s="5" t="s">
        <v>42</v>
      </c>
      <c r="X264" s="3" t="s">
        <v>2601</v>
      </c>
      <c r="Y264" s="9" t="str">
        <f>HYPERLINK("http://in.linkedin.com/in/andy-raheja-72bba6b", "http://in.linkedin.com/in/andy-raheja-72bba6b")</f>
        <v>http://in.linkedin.com/in/andy-raheja-72bba6b</v>
      </c>
      <c r="Z264" s="3" t="s">
        <v>55</v>
      </c>
      <c r="AA264" s="3" t="s">
        <v>2602</v>
      </c>
      <c r="AB264" s="3" t="s">
        <v>2603</v>
      </c>
      <c r="AC264" s="3" t="s">
        <v>58</v>
      </c>
      <c r="AD264" s="3" t="s">
        <v>42</v>
      </c>
      <c r="AE264" s="5" t="s">
        <v>715</v>
      </c>
      <c r="AF264" s="3" t="s">
        <v>60</v>
      </c>
      <c r="AG264" s="5" t="s">
        <v>42</v>
      </c>
      <c r="AH264" s="3" t="s">
        <v>61</v>
      </c>
      <c r="AI264" s="3" t="s">
        <v>61</v>
      </c>
      <c r="AJ264" s="3" t="s">
        <v>42</v>
      </c>
      <c r="AK264" s="3" t="s">
        <v>42</v>
      </c>
      <c r="AL264" s="29">
        <v>45838</v>
      </c>
      <c r="AM264" s="5">
        <v>1962</v>
      </c>
      <c r="AN264" s="9" t="str">
        <f>HYPERLINK("https://my.pitchbook.com?p=168954-94P", "View People Online")</f>
        <v>View People Online</v>
      </c>
    </row>
    <row r="265" spans="1:40" x14ac:dyDescent="0.2">
      <c r="A265" s="2" t="s">
        <v>2604</v>
      </c>
      <c r="B265" s="2" t="s">
        <v>2605</v>
      </c>
      <c r="C265" s="2" t="s">
        <v>42</v>
      </c>
      <c r="D265" s="2" t="s">
        <v>42</v>
      </c>
      <c r="E265" s="2" t="s">
        <v>2604</v>
      </c>
      <c r="F265" s="2" t="s">
        <v>2606</v>
      </c>
      <c r="G265" s="2" t="s">
        <v>2607</v>
      </c>
      <c r="H265" s="2" t="s">
        <v>2608</v>
      </c>
      <c r="I265" s="2" t="s">
        <v>46</v>
      </c>
      <c r="J265" s="2" t="s">
        <v>47</v>
      </c>
      <c r="K265" s="2" t="s">
        <v>2332</v>
      </c>
      <c r="L265" s="2" t="s">
        <v>111</v>
      </c>
      <c r="M265" s="8" t="str">
        <f>HYPERLINK("http://www.asgplastic.sa", "www.asgplastic.sa")</f>
        <v>www.asgplastic.sa</v>
      </c>
      <c r="N265" s="2" t="s">
        <v>534</v>
      </c>
      <c r="O265" s="2" t="s">
        <v>42</v>
      </c>
      <c r="P265" s="2" t="s">
        <v>2609</v>
      </c>
      <c r="Q265" s="2" t="s">
        <v>42</v>
      </c>
      <c r="R265" s="16" t="s">
        <v>42</v>
      </c>
      <c r="S265" s="16">
        <v>1</v>
      </c>
      <c r="T265" s="16">
        <v>1</v>
      </c>
      <c r="U265" s="16" t="s">
        <v>42</v>
      </c>
      <c r="V265" s="16" t="s">
        <v>42</v>
      </c>
      <c r="W265" s="4" t="s">
        <v>42</v>
      </c>
      <c r="X265" s="2" t="s">
        <v>42</v>
      </c>
      <c r="Y265" s="2" t="s">
        <v>42</v>
      </c>
      <c r="Z265" s="2" t="s">
        <v>55</v>
      </c>
      <c r="AA265" s="2" t="s">
        <v>58</v>
      </c>
      <c r="AB265" s="2" t="s">
        <v>42</v>
      </c>
      <c r="AC265" s="2" t="s">
        <v>58</v>
      </c>
      <c r="AD265" s="2" t="s">
        <v>42</v>
      </c>
      <c r="AE265" s="4" t="s">
        <v>42</v>
      </c>
      <c r="AF265" s="2" t="s">
        <v>60</v>
      </c>
      <c r="AG265" s="4" t="s">
        <v>42</v>
      </c>
      <c r="AH265" s="2" t="s">
        <v>61</v>
      </c>
      <c r="AI265" s="2" t="s">
        <v>61</v>
      </c>
      <c r="AJ265" s="2" t="s">
        <v>42</v>
      </c>
      <c r="AK265" s="2" t="s">
        <v>42</v>
      </c>
      <c r="AL265" s="28">
        <v>45483</v>
      </c>
      <c r="AM265" s="4" t="s">
        <v>42</v>
      </c>
      <c r="AN265" s="8" t="str">
        <f>HYPERLINK("https://my.pitchbook.com?p=404294-50P", "View People Online")</f>
        <v>View People Online</v>
      </c>
    </row>
    <row r="266" spans="1:40" x14ac:dyDescent="0.2">
      <c r="A266" s="3" t="s">
        <v>2610</v>
      </c>
      <c r="B266" s="3" t="s">
        <v>2611</v>
      </c>
      <c r="C266" s="3" t="s">
        <v>42</v>
      </c>
      <c r="D266" s="3" t="s">
        <v>42</v>
      </c>
      <c r="E266" s="3" t="s">
        <v>2610</v>
      </c>
      <c r="F266" s="3" t="s">
        <v>2612</v>
      </c>
      <c r="G266" s="3" t="s">
        <v>2613</v>
      </c>
      <c r="H266" s="3" t="s">
        <v>42</v>
      </c>
      <c r="I266" s="3" t="s">
        <v>46</v>
      </c>
      <c r="J266" s="3" t="s">
        <v>47</v>
      </c>
      <c r="K266" s="3" t="s">
        <v>2511</v>
      </c>
      <c r="L266" s="3" t="s">
        <v>111</v>
      </c>
      <c r="M266" s="9" t="str">
        <f>HYPERLINK("http://www.ggi-sa.com", "www.ggi-sa.com")</f>
        <v>www.ggi-sa.com</v>
      </c>
      <c r="N266" s="3" t="s">
        <v>210</v>
      </c>
      <c r="O266" s="3" t="s">
        <v>42</v>
      </c>
      <c r="P266" s="3" t="s">
        <v>2614</v>
      </c>
      <c r="Q266" s="3" t="s">
        <v>42</v>
      </c>
      <c r="R266" s="17" t="s">
        <v>42</v>
      </c>
      <c r="S266" s="17">
        <v>1</v>
      </c>
      <c r="T266" s="17">
        <v>1</v>
      </c>
      <c r="U266" s="17" t="s">
        <v>42</v>
      </c>
      <c r="V266" s="17" t="s">
        <v>42</v>
      </c>
      <c r="W266" s="5" t="s">
        <v>2513</v>
      </c>
      <c r="X266" s="3" t="s">
        <v>2615</v>
      </c>
      <c r="Y266" s="9" t="str">
        <f>HYPERLINK("http://linkedin.com/in/anuj-agarwal-33589715", "http://linkedin.com/in/anuj-agarwal-33589715")</f>
        <v>http://linkedin.com/in/anuj-agarwal-33589715</v>
      </c>
      <c r="Z266" s="3" t="s">
        <v>174</v>
      </c>
      <c r="AA266" s="3" t="s">
        <v>2515</v>
      </c>
      <c r="AB266" s="3" t="s">
        <v>2516</v>
      </c>
      <c r="AC266" s="3" t="s">
        <v>176</v>
      </c>
      <c r="AD266" s="3" t="s">
        <v>42</v>
      </c>
      <c r="AE266" s="5" t="s">
        <v>2517</v>
      </c>
      <c r="AF266" s="3" t="s">
        <v>60</v>
      </c>
      <c r="AG266" s="5" t="s">
        <v>2518</v>
      </c>
      <c r="AH266" s="3" t="s">
        <v>61</v>
      </c>
      <c r="AI266" s="3" t="s">
        <v>61</v>
      </c>
      <c r="AJ266" s="3" t="s">
        <v>42</v>
      </c>
      <c r="AK266" s="3" t="s">
        <v>42</v>
      </c>
      <c r="AL266" s="29">
        <v>45916</v>
      </c>
      <c r="AM266" s="5" t="s">
        <v>42</v>
      </c>
      <c r="AN266" s="9" t="str">
        <f>HYPERLINK("https://my.pitchbook.com?p=57521-89P", "View People Online")</f>
        <v>View People Online</v>
      </c>
    </row>
    <row r="267" spans="1:40" x14ac:dyDescent="0.2">
      <c r="A267" s="2" t="s">
        <v>2616</v>
      </c>
      <c r="B267" s="2" t="s">
        <v>2617</v>
      </c>
      <c r="C267" s="2" t="s">
        <v>42</v>
      </c>
      <c r="D267" s="2" t="s">
        <v>42</v>
      </c>
      <c r="E267" s="2" t="s">
        <v>2616</v>
      </c>
      <c r="F267" s="2" t="s">
        <v>2618</v>
      </c>
      <c r="G267" s="2" t="s">
        <v>2619</v>
      </c>
      <c r="H267" s="2" t="s">
        <v>42</v>
      </c>
      <c r="I267" s="2" t="s">
        <v>46</v>
      </c>
      <c r="J267" s="2" t="s">
        <v>47</v>
      </c>
      <c r="K267" s="2" t="s">
        <v>2620</v>
      </c>
      <c r="L267" s="2" t="s">
        <v>111</v>
      </c>
      <c r="M267" s="8" t="str">
        <f>HYPERLINK("http://www.jamjoompharma.com", "www.jamjoompharma.com")</f>
        <v>www.jamjoompharma.com</v>
      </c>
      <c r="N267" s="2" t="s">
        <v>534</v>
      </c>
      <c r="O267" s="2" t="s">
        <v>42</v>
      </c>
      <c r="P267" s="2" t="s">
        <v>2621</v>
      </c>
      <c r="Q267" s="2" t="s">
        <v>2622</v>
      </c>
      <c r="R267" s="16" t="s">
        <v>42</v>
      </c>
      <c r="S267" s="16">
        <v>1</v>
      </c>
      <c r="T267" s="16">
        <v>1</v>
      </c>
      <c r="U267" s="16" t="s">
        <v>42</v>
      </c>
      <c r="V267" s="16" t="s">
        <v>42</v>
      </c>
      <c r="W267" s="4" t="s">
        <v>2623</v>
      </c>
      <c r="X267" s="2" t="s">
        <v>42</v>
      </c>
      <c r="Y267" s="2" t="s">
        <v>42</v>
      </c>
      <c r="Z267" s="2" t="s">
        <v>174</v>
      </c>
      <c r="AA267" s="2" t="s">
        <v>2624</v>
      </c>
      <c r="AB267" s="2" t="s">
        <v>2625</v>
      </c>
      <c r="AC267" s="2" t="s">
        <v>176</v>
      </c>
      <c r="AD267" s="2" t="s">
        <v>42</v>
      </c>
      <c r="AE267" s="4" t="s">
        <v>2626</v>
      </c>
      <c r="AF267" s="2" t="s">
        <v>60</v>
      </c>
      <c r="AG267" s="4" t="s">
        <v>2627</v>
      </c>
      <c r="AH267" s="2" t="s">
        <v>61</v>
      </c>
      <c r="AI267" s="2" t="s">
        <v>61</v>
      </c>
      <c r="AJ267" s="2" t="s">
        <v>42</v>
      </c>
      <c r="AK267" s="2" t="s">
        <v>42</v>
      </c>
      <c r="AL267" s="28">
        <v>46055</v>
      </c>
      <c r="AM267" s="4" t="s">
        <v>42</v>
      </c>
      <c r="AN267" s="8" t="str">
        <f>HYPERLINK("https://my.pitchbook.com?p=346080-52P", "View People Online")</f>
        <v>View People Online</v>
      </c>
    </row>
    <row r="268" spans="1:40" x14ac:dyDescent="0.2">
      <c r="A268" s="3" t="s">
        <v>2628</v>
      </c>
      <c r="B268" s="3" t="s">
        <v>2629</v>
      </c>
      <c r="C268" s="3" t="s">
        <v>42</v>
      </c>
      <c r="D268" s="3" t="s">
        <v>42</v>
      </c>
      <c r="E268" s="3" t="s">
        <v>2628</v>
      </c>
      <c r="F268" s="3" t="s">
        <v>2630</v>
      </c>
      <c r="G268" s="3" t="s">
        <v>2631</v>
      </c>
      <c r="H268" s="3" t="s">
        <v>2632</v>
      </c>
      <c r="I268" s="3" t="s">
        <v>46</v>
      </c>
      <c r="J268" s="3" t="s">
        <v>47</v>
      </c>
      <c r="K268" s="3" t="s">
        <v>2633</v>
      </c>
      <c r="L268" s="3" t="s">
        <v>111</v>
      </c>
      <c r="M268" s="9" t="str">
        <f>HYPERLINK("http://www.spcc.sa", "www.spcc.sa")</f>
        <v>www.spcc.sa</v>
      </c>
      <c r="N268" s="3" t="s">
        <v>210</v>
      </c>
      <c r="O268" s="3" t="s">
        <v>42</v>
      </c>
      <c r="P268" s="3" t="s">
        <v>2634</v>
      </c>
      <c r="Q268" s="3" t="s">
        <v>42</v>
      </c>
      <c r="R268" s="17" t="s">
        <v>42</v>
      </c>
      <c r="S268" s="17">
        <v>1</v>
      </c>
      <c r="T268" s="17">
        <v>1</v>
      </c>
      <c r="U268" s="17" t="s">
        <v>42</v>
      </c>
      <c r="V268" s="17" t="s">
        <v>42</v>
      </c>
      <c r="W268" s="5" t="s">
        <v>2635</v>
      </c>
      <c r="X268" s="3" t="s">
        <v>42</v>
      </c>
      <c r="Y268" s="9" t="str">
        <f>HYPERLINK("http://linkedin.com/in/aqeel-kadasah-39aa8ba7", "http://linkedin.com/in/aqeel-kadasah-39aa8ba7")</f>
        <v>http://linkedin.com/in/aqeel-kadasah-39aa8ba7</v>
      </c>
      <c r="Z268" s="3" t="s">
        <v>2636</v>
      </c>
      <c r="AA268" s="3" t="s">
        <v>2637</v>
      </c>
      <c r="AB268" s="3" t="s">
        <v>2638</v>
      </c>
      <c r="AC268" s="3" t="s">
        <v>2639</v>
      </c>
      <c r="AD268" s="3" t="s">
        <v>42</v>
      </c>
      <c r="AE268" s="5" t="s">
        <v>2640</v>
      </c>
      <c r="AF268" s="3" t="s">
        <v>60</v>
      </c>
      <c r="AG268" s="5" t="s">
        <v>2641</v>
      </c>
      <c r="AH268" s="3" t="s">
        <v>61</v>
      </c>
      <c r="AI268" s="3" t="s">
        <v>61</v>
      </c>
      <c r="AJ268" s="3" t="s">
        <v>42</v>
      </c>
      <c r="AK268" s="3" t="s">
        <v>42</v>
      </c>
      <c r="AL268" s="29">
        <v>45321</v>
      </c>
      <c r="AM268" s="5" t="s">
        <v>42</v>
      </c>
      <c r="AN268" s="9" t="str">
        <f>HYPERLINK("https://my.pitchbook.com?p=243076-69P", "View People Online")</f>
        <v>View People Online</v>
      </c>
    </row>
    <row r="269" spans="1:40" x14ac:dyDescent="0.2">
      <c r="A269" s="2" t="s">
        <v>2642</v>
      </c>
      <c r="B269" s="2" t="s">
        <v>2643</v>
      </c>
      <c r="C269" s="2" t="s">
        <v>42</v>
      </c>
      <c r="D269" s="2" t="s">
        <v>42</v>
      </c>
      <c r="E269" s="2" t="s">
        <v>2642</v>
      </c>
      <c r="F269" s="2" t="s">
        <v>2644</v>
      </c>
      <c r="G269" s="2" t="s">
        <v>2645</v>
      </c>
      <c r="H269" s="2" t="s">
        <v>2646</v>
      </c>
      <c r="I269" s="2" t="s">
        <v>46</v>
      </c>
      <c r="J269" s="2" t="s">
        <v>47</v>
      </c>
      <c r="K269" s="2" t="s">
        <v>2647</v>
      </c>
      <c r="L269" s="2" t="s">
        <v>111</v>
      </c>
      <c r="M269" s="8" t="str">
        <f>HYPERLINK("http://www.amiantit.com", "www.amiantit.com")</f>
        <v>www.amiantit.com</v>
      </c>
      <c r="N269" s="2" t="s">
        <v>2648</v>
      </c>
      <c r="O269" s="2" t="s">
        <v>42</v>
      </c>
      <c r="P269" s="2" t="s">
        <v>2649</v>
      </c>
      <c r="Q269" s="2" t="s">
        <v>42</v>
      </c>
      <c r="R269" s="16" t="s">
        <v>42</v>
      </c>
      <c r="S269" s="16">
        <v>1</v>
      </c>
      <c r="T269" s="16">
        <v>1</v>
      </c>
      <c r="U269" s="16" t="s">
        <v>42</v>
      </c>
      <c r="V269" s="16" t="s">
        <v>42</v>
      </c>
      <c r="W269" s="4" t="s">
        <v>2650</v>
      </c>
      <c r="X269" s="2" t="s">
        <v>2651</v>
      </c>
      <c r="Y269" s="8" t="str">
        <f>HYPERLINK("http://linkedin.com/in/asgar-yusuf-sarguroh-83989b47", "http://linkedin.com/in/asgar-yusuf-sarguroh-83989b47")</f>
        <v>http://linkedin.com/in/asgar-yusuf-sarguroh-83989b47</v>
      </c>
      <c r="Z269" s="2" t="s">
        <v>383</v>
      </c>
      <c r="AA269" s="2" t="s">
        <v>2652</v>
      </c>
      <c r="AB269" s="2" t="s">
        <v>42</v>
      </c>
      <c r="AC269" s="2" t="s">
        <v>385</v>
      </c>
      <c r="AD269" s="2" t="s">
        <v>2653</v>
      </c>
      <c r="AE269" s="4" t="s">
        <v>2654</v>
      </c>
      <c r="AF269" s="2" t="s">
        <v>60</v>
      </c>
      <c r="AG269" s="4" t="s">
        <v>2655</v>
      </c>
      <c r="AH269" s="2" t="s">
        <v>61</v>
      </c>
      <c r="AI269" s="2" t="s">
        <v>61</v>
      </c>
      <c r="AJ269" s="2" t="s">
        <v>42</v>
      </c>
      <c r="AK269" s="2" t="s">
        <v>42</v>
      </c>
      <c r="AL269" s="28">
        <v>45777</v>
      </c>
      <c r="AM269" s="4" t="s">
        <v>42</v>
      </c>
      <c r="AN269" s="8" t="str">
        <f>HYPERLINK("https://my.pitchbook.com?p=385683-76P", "View People Online")</f>
        <v>View People Online</v>
      </c>
    </row>
    <row r="270" spans="1:40" x14ac:dyDescent="0.2">
      <c r="A270" s="3" t="s">
        <v>2656</v>
      </c>
      <c r="B270" s="3" t="s">
        <v>2657</v>
      </c>
      <c r="C270" s="3" t="s">
        <v>42</v>
      </c>
      <c r="D270" s="3" t="s">
        <v>42</v>
      </c>
      <c r="E270" s="3" t="s">
        <v>2656</v>
      </c>
      <c r="F270" s="3" t="s">
        <v>2658</v>
      </c>
      <c r="G270" s="3" t="s">
        <v>2659</v>
      </c>
      <c r="H270" s="3" t="s">
        <v>42</v>
      </c>
      <c r="I270" s="3" t="s">
        <v>46</v>
      </c>
      <c r="J270" s="3" t="s">
        <v>47</v>
      </c>
      <c r="K270" s="3" t="s">
        <v>2660</v>
      </c>
      <c r="L270" s="3" t="s">
        <v>111</v>
      </c>
      <c r="M270" s="9" t="str">
        <f>HYPERLINK("http://www.saudicable.com", "www.saudicable.com")</f>
        <v>www.saudicable.com</v>
      </c>
      <c r="N270" s="3" t="s">
        <v>534</v>
      </c>
      <c r="O270" s="3" t="s">
        <v>42</v>
      </c>
      <c r="P270" s="3" t="s">
        <v>2661</v>
      </c>
      <c r="Q270" s="3" t="s">
        <v>42</v>
      </c>
      <c r="R270" s="17" t="s">
        <v>42</v>
      </c>
      <c r="S270" s="17">
        <v>1</v>
      </c>
      <c r="T270" s="17">
        <v>1</v>
      </c>
      <c r="U270" s="17" t="s">
        <v>42</v>
      </c>
      <c r="V270" s="17" t="s">
        <v>42</v>
      </c>
      <c r="W270" s="5" t="s">
        <v>2662</v>
      </c>
      <c r="X270" s="3" t="s">
        <v>42</v>
      </c>
      <c r="Y270" s="3" t="s">
        <v>42</v>
      </c>
      <c r="Z270" s="3" t="s">
        <v>174</v>
      </c>
      <c r="AA270" s="3" t="s">
        <v>2663</v>
      </c>
      <c r="AB270" s="3" t="s">
        <v>2664</v>
      </c>
      <c r="AC270" s="3" t="s">
        <v>176</v>
      </c>
      <c r="AD270" s="3" t="s">
        <v>42</v>
      </c>
      <c r="AE270" s="5" t="s">
        <v>1681</v>
      </c>
      <c r="AF270" s="3" t="s">
        <v>60</v>
      </c>
      <c r="AG270" s="5" t="s">
        <v>2665</v>
      </c>
      <c r="AH270" s="3" t="s">
        <v>61</v>
      </c>
      <c r="AI270" s="3" t="s">
        <v>61</v>
      </c>
      <c r="AJ270" s="3" t="s">
        <v>42</v>
      </c>
      <c r="AK270" s="3" t="s">
        <v>42</v>
      </c>
      <c r="AL270" s="29">
        <v>46044</v>
      </c>
      <c r="AM270" s="5" t="s">
        <v>42</v>
      </c>
      <c r="AN270" s="9" t="str">
        <f>HYPERLINK("https://my.pitchbook.com?p=400119-67P", "View People Online")</f>
        <v>View People Online</v>
      </c>
    </row>
    <row r="271" spans="1:40" x14ac:dyDescent="0.2">
      <c r="A271" s="2" t="s">
        <v>2666</v>
      </c>
      <c r="B271" s="2" t="s">
        <v>2667</v>
      </c>
      <c r="C271" s="2" t="s">
        <v>42</v>
      </c>
      <c r="D271" s="2" t="s">
        <v>42</v>
      </c>
      <c r="E271" s="2" t="s">
        <v>2666</v>
      </c>
      <c r="F271" s="2" t="s">
        <v>122</v>
      </c>
      <c r="G271" s="2" t="s">
        <v>2668</v>
      </c>
      <c r="H271" s="2" t="s">
        <v>2669</v>
      </c>
      <c r="I271" s="2" t="s">
        <v>46</v>
      </c>
      <c r="J271" s="2" t="s">
        <v>47</v>
      </c>
      <c r="K271" s="2" t="s">
        <v>2670</v>
      </c>
      <c r="L271" s="2" t="s">
        <v>111</v>
      </c>
      <c r="M271" s="8" t="str">
        <f>HYPERLINK("http://www.altaiseer.com", "www.altaiseer.com")</f>
        <v>www.altaiseer.com</v>
      </c>
      <c r="N271" s="2" t="s">
        <v>2356</v>
      </c>
      <c r="O271" s="2" t="s">
        <v>42</v>
      </c>
      <c r="P271" s="2" t="s">
        <v>2671</v>
      </c>
      <c r="Q271" s="2" t="s">
        <v>1112</v>
      </c>
      <c r="R271" s="16" t="s">
        <v>42</v>
      </c>
      <c r="S271" s="16">
        <v>1</v>
      </c>
      <c r="T271" s="16">
        <v>1</v>
      </c>
      <c r="U271" s="16" t="s">
        <v>42</v>
      </c>
      <c r="V271" s="16" t="s">
        <v>42</v>
      </c>
      <c r="W271" s="4" t="s">
        <v>2672</v>
      </c>
      <c r="X271" s="2" t="s">
        <v>42</v>
      </c>
      <c r="Y271" s="2" t="s">
        <v>42</v>
      </c>
      <c r="Z271" s="2" t="s">
        <v>55</v>
      </c>
      <c r="AA271" s="2" t="s">
        <v>2673</v>
      </c>
      <c r="AB271" s="2" t="s">
        <v>2674</v>
      </c>
      <c r="AC271" s="2" t="s">
        <v>58</v>
      </c>
      <c r="AD271" s="2" t="s">
        <v>42</v>
      </c>
      <c r="AE271" s="4" t="s">
        <v>1158</v>
      </c>
      <c r="AF271" s="2" t="s">
        <v>60</v>
      </c>
      <c r="AG271" s="4" t="s">
        <v>2675</v>
      </c>
      <c r="AH271" s="2" t="s">
        <v>61</v>
      </c>
      <c r="AI271" s="2" t="s">
        <v>61</v>
      </c>
      <c r="AJ271" s="2" t="s">
        <v>42</v>
      </c>
      <c r="AK271" s="2" t="s">
        <v>42</v>
      </c>
      <c r="AL271" s="28">
        <v>45992</v>
      </c>
      <c r="AM271" s="4" t="s">
        <v>42</v>
      </c>
      <c r="AN271" s="8" t="str">
        <f>HYPERLINK("https://my.pitchbook.com?p=397860-67P", "View People Online")</f>
        <v>View People Online</v>
      </c>
    </row>
    <row r="272" spans="1:40" x14ac:dyDescent="0.2">
      <c r="A272" s="3" t="s">
        <v>2676</v>
      </c>
      <c r="B272" s="3" t="s">
        <v>2677</v>
      </c>
      <c r="C272" s="3" t="s">
        <v>42</v>
      </c>
      <c r="D272" s="3" t="s">
        <v>42</v>
      </c>
      <c r="E272" s="3" t="s">
        <v>2676</v>
      </c>
      <c r="F272" s="3" t="s">
        <v>2678</v>
      </c>
      <c r="G272" s="3" t="s">
        <v>2668</v>
      </c>
      <c r="H272" s="3" t="s">
        <v>2679</v>
      </c>
      <c r="I272" s="3" t="s">
        <v>46</v>
      </c>
      <c r="J272" s="3" t="s">
        <v>47</v>
      </c>
      <c r="K272" s="3" t="s">
        <v>2680</v>
      </c>
      <c r="L272" s="3" t="s">
        <v>111</v>
      </c>
      <c r="M272" s="9" t="str">
        <f>HYPERLINK("http://www.sumou.com.sa", "www.sumou.com.sa")</f>
        <v>www.sumou.com.sa</v>
      </c>
      <c r="N272" s="3" t="s">
        <v>370</v>
      </c>
      <c r="O272" s="3" t="s">
        <v>42</v>
      </c>
      <c r="P272" s="3" t="s">
        <v>2681</v>
      </c>
      <c r="Q272" s="3" t="s">
        <v>42</v>
      </c>
      <c r="R272" s="17" t="s">
        <v>42</v>
      </c>
      <c r="S272" s="17">
        <v>1</v>
      </c>
      <c r="T272" s="17">
        <v>1</v>
      </c>
      <c r="U272" s="17" t="s">
        <v>42</v>
      </c>
      <c r="V272" s="17" t="s">
        <v>42</v>
      </c>
      <c r="W272" s="5" t="s">
        <v>2682</v>
      </c>
      <c r="X272" s="3" t="s">
        <v>2683</v>
      </c>
      <c r="Y272" s="3" t="s">
        <v>42</v>
      </c>
      <c r="Z272" s="3" t="s">
        <v>2684</v>
      </c>
      <c r="AA272" s="3" t="s">
        <v>2685</v>
      </c>
      <c r="AB272" s="3" t="s">
        <v>2686</v>
      </c>
      <c r="AC272" s="3" t="s">
        <v>2687</v>
      </c>
      <c r="AD272" s="3" t="s">
        <v>42</v>
      </c>
      <c r="AE272" s="5" t="s">
        <v>599</v>
      </c>
      <c r="AF272" s="3" t="s">
        <v>60</v>
      </c>
      <c r="AG272" s="5" t="s">
        <v>2688</v>
      </c>
      <c r="AH272" s="3" t="s">
        <v>61</v>
      </c>
      <c r="AI272" s="3" t="s">
        <v>61</v>
      </c>
      <c r="AJ272" s="3" t="s">
        <v>42</v>
      </c>
      <c r="AK272" s="3" t="s">
        <v>42</v>
      </c>
      <c r="AL272" s="29">
        <v>45433</v>
      </c>
      <c r="AM272" s="5" t="s">
        <v>42</v>
      </c>
      <c r="AN272" s="9" t="str">
        <f>HYPERLINK("https://my.pitchbook.com?p=397847-53P", "View People Online")</f>
        <v>View People Online</v>
      </c>
    </row>
    <row r="273" spans="1:40" x14ac:dyDescent="0.2">
      <c r="A273" s="2" t="s">
        <v>2689</v>
      </c>
      <c r="B273" s="2" t="s">
        <v>2690</v>
      </c>
      <c r="C273" s="2" t="s">
        <v>42</v>
      </c>
      <c r="D273" s="2" t="s">
        <v>42</v>
      </c>
      <c r="E273" s="2" t="s">
        <v>2689</v>
      </c>
      <c r="F273" s="2" t="s">
        <v>2691</v>
      </c>
      <c r="G273" s="2" t="s">
        <v>2692</v>
      </c>
      <c r="H273" s="2" t="s">
        <v>42</v>
      </c>
      <c r="I273" s="2" t="s">
        <v>46</v>
      </c>
      <c r="J273" s="2" t="s">
        <v>47</v>
      </c>
      <c r="K273" s="2" t="s">
        <v>1968</v>
      </c>
      <c r="L273" s="2" t="s">
        <v>111</v>
      </c>
      <c r="M273" s="8" t="str">
        <f>HYPERLINK("http://www.leejam.com.sa", "www.leejam.com.sa")</f>
        <v>www.leejam.com.sa</v>
      </c>
      <c r="N273" s="2" t="s">
        <v>534</v>
      </c>
      <c r="O273" s="2" t="s">
        <v>42</v>
      </c>
      <c r="P273" s="2" t="s">
        <v>2693</v>
      </c>
      <c r="Q273" s="2" t="s">
        <v>42</v>
      </c>
      <c r="R273" s="16" t="s">
        <v>42</v>
      </c>
      <c r="S273" s="16">
        <v>1</v>
      </c>
      <c r="T273" s="16">
        <v>1</v>
      </c>
      <c r="U273" s="16" t="s">
        <v>42</v>
      </c>
      <c r="V273" s="16" t="s">
        <v>42</v>
      </c>
      <c r="W273" s="4" t="s">
        <v>1970</v>
      </c>
      <c r="X273" s="2" t="s">
        <v>42</v>
      </c>
      <c r="Y273" s="8" t="str">
        <f>HYPERLINK("http://linkedin.com/in/aalattas/?originalsubdomain=sa", "http://linkedin.com/in/aalattas/?originalsubdomain=sa")</f>
        <v>http://linkedin.com/in/aalattas/?originalsubdomain=sa</v>
      </c>
      <c r="Z273" s="2" t="s">
        <v>55</v>
      </c>
      <c r="AA273" s="2" t="s">
        <v>1972</v>
      </c>
      <c r="AB273" s="2" t="s">
        <v>1973</v>
      </c>
      <c r="AC273" s="2" t="s">
        <v>58</v>
      </c>
      <c r="AD273" s="2" t="s">
        <v>1974</v>
      </c>
      <c r="AE273" s="4" t="s">
        <v>618</v>
      </c>
      <c r="AF273" s="2" t="s">
        <v>60</v>
      </c>
      <c r="AG273" s="4" t="s">
        <v>1975</v>
      </c>
      <c r="AH273" s="2" t="s">
        <v>61</v>
      </c>
      <c r="AI273" s="2" t="s">
        <v>61</v>
      </c>
      <c r="AJ273" s="2" t="s">
        <v>42</v>
      </c>
      <c r="AK273" s="2" t="s">
        <v>42</v>
      </c>
      <c r="AL273" s="28">
        <v>46055</v>
      </c>
      <c r="AM273" s="4">
        <v>1983</v>
      </c>
      <c r="AN273" s="8" t="str">
        <f>HYPERLINK("https://my.pitchbook.com?p=353429-92P", "View People Online")</f>
        <v>View People Online</v>
      </c>
    </row>
    <row r="274" spans="1:40" x14ac:dyDescent="0.2">
      <c r="A274" s="3" t="s">
        <v>2694</v>
      </c>
      <c r="B274" s="3" t="s">
        <v>2695</v>
      </c>
      <c r="C274" s="3" t="s">
        <v>42</v>
      </c>
      <c r="D274" s="3" t="s">
        <v>42</v>
      </c>
      <c r="E274" s="3" t="s">
        <v>2694</v>
      </c>
      <c r="F274" s="3" t="s">
        <v>2696</v>
      </c>
      <c r="G274" s="3" t="s">
        <v>2697</v>
      </c>
      <c r="H274" s="3" t="s">
        <v>42</v>
      </c>
      <c r="I274" s="3" t="s">
        <v>46</v>
      </c>
      <c r="J274" s="3" t="s">
        <v>47</v>
      </c>
      <c r="K274" s="3" t="s">
        <v>992</v>
      </c>
      <c r="L274" s="3" t="s">
        <v>111</v>
      </c>
      <c r="M274" s="9" t="str">
        <f>HYPERLINK("http://www.miahona.com", "www.miahona.com")</f>
        <v>www.miahona.com</v>
      </c>
      <c r="N274" s="3" t="s">
        <v>210</v>
      </c>
      <c r="O274" s="3" t="s">
        <v>42</v>
      </c>
      <c r="P274" s="3" t="s">
        <v>2698</v>
      </c>
      <c r="Q274" s="3" t="s">
        <v>2699</v>
      </c>
      <c r="R274" s="17" t="s">
        <v>42</v>
      </c>
      <c r="S274" s="17">
        <v>1</v>
      </c>
      <c r="T274" s="17">
        <v>1</v>
      </c>
      <c r="U274" s="17" t="s">
        <v>42</v>
      </c>
      <c r="V274" s="17" t="s">
        <v>42</v>
      </c>
      <c r="W274" s="5" t="s">
        <v>994</v>
      </c>
      <c r="X274" s="3" t="s">
        <v>2700</v>
      </c>
      <c r="Y274" s="9" t="str">
        <f>HYPERLINK("http://linkedin.com/in/awaadh/", "http://linkedin.com/in/awaadh/")</f>
        <v>http://linkedin.com/in/awaadh/</v>
      </c>
      <c r="Z274" s="3" t="s">
        <v>55</v>
      </c>
      <c r="AA274" s="3" t="s">
        <v>995</v>
      </c>
      <c r="AB274" s="3" t="s">
        <v>42</v>
      </c>
      <c r="AC274" s="3" t="s">
        <v>58</v>
      </c>
      <c r="AD274" s="3" t="s">
        <v>42</v>
      </c>
      <c r="AE274" s="5" t="s">
        <v>996</v>
      </c>
      <c r="AF274" s="3" t="s">
        <v>60</v>
      </c>
      <c r="AG274" s="5" t="s">
        <v>997</v>
      </c>
      <c r="AH274" s="3" t="s">
        <v>61</v>
      </c>
      <c r="AI274" s="3" t="s">
        <v>61</v>
      </c>
      <c r="AJ274" s="3" t="s">
        <v>42</v>
      </c>
      <c r="AK274" s="3" t="s">
        <v>42</v>
      </c>
      <c r="AL274" s="29">
        <v>45838</v>
      </c>
      <c r="AM274" s="5">
        <v>1980</v>
      </c>
      <c r="AN274" s="9" t="str">
        <f>HYPERLINK("https://my.pitchbook.com?p=317665-27P", "View People Online")</f>
        <v>View People Online</v>
      </c>
    </row>
    <row r="275" spans="1:40" x14ac:dyDescent="0.2">
      <c r="A275" s="2" t="s">
        <v>2701</v>
      </c>
      <c r="B275" s="2" t="s">
        <v>2702</v>
      </c>
      <c r="C275" s="2" t="s">
        <v>42</v>
      </c>
      <c r="D275" s="2" t="s">
        <v>42</v>
      </c>
      <c r="E275" s="2" t="s">
        <v>2701</v>
      </c>
      <c r="F275" s="2" t="s">
        <v>2077</v>
      </c>
      <c r="G275" s="2" t="s">
        <v>2703</v>
      </c>
      <c r="H275" s="2" t="s">
        <v>2704</v>
      </c>
      <c r="I275" s="2" t="s">
        <v>46</v>
      </c>
      <c r="J275" s="2" t="s">
        <v>47</v>
      </c>
      <c r="K275" s="2" t="s">
        <v>2108</v>
      </c>
      <c r="L275" s="2" t="s">
        <v>111</v>
      </c>
      <c r="M275" s="8" t="str">
        <f>HYPERLINK("http://www.view.sa", "www.view.sa")</f>
        <v>www.view.sa</v>
      </c>
      <c r="N275" s="2" t="s">
        <v>534</v>
      </c>
      <c r="O275" s="2" t="s">
        <v>42</v>
      </c>
      <c r="P275" s="2" t="s">
        <v>2705</v>
      </c>
      <c r="Q275" s="2" t="s">
        <v>42</v>
      </c>
      <c r="R275" s="16" t="s">
        <v>42</v>
      </c>
      <c r="S275" s="16">
        <v>1</v>
      </c>
      <c r="T275" s="16">
        <v>1</v>
      </c>
      <c r="U275" s="16" t="s">
        <v>42</v>
      </c>
      <c r="V275" s="16" t="s">
        <v>42</v>
      </c>
      <c r="W275" s="4" t="s">
        <v>2112</v>
      </c>
      <c r="X275" s="2" t="s">
        <v>42</v>
      </c>
      <c r="Y275" s="2" t="s">
        <v>42</v>
      </c>
      <c r="Z275" s="2" t="s">
        <v>55</v>
      </c>
      <c r="AA275" s="2" t="s">
        <v>2113</v>
      </c>
      <c r="AB275" s="2" t="s">
        <v>2114</v>
      </c>
      <c r="AC275" s="2" t="s">
        <v>58</v>
      </c>
      <c r="AD275" s="2" t="s">
        <v>42</v>
      </c>
      <c r="AE275" s="4" t="s">
        <v>2115</v>
      </c>
      <c r="AF275" s="2" t="s">
        <v>60</v>
      </c>
      <c r="AG275" s="4" t="s">
        <v>2112</v>
      </c>
      <c r="AH275" s="2" t="s">
        <v>61</v>
      </c>
      <c r="AI275" s="2" t="s">
        <v>61</v>
      </c>
      <c r="AJ275" s="2" t="s">
        <v>42</v>
      </c>
      <c r="AK275" s="2" t="s">
        <v>42</v>
      </c>
      <c r="AL275" s="28">
        <v>45505</v>
      </c>
      <c r="AM275" s="4" t="s">
        <v>42</v>
      </c>
      <c r="AN275" s="8" t="str">
        <f>HYPERLINK("https://my.pitchbook.com?p=371835-37P", "View People Online")</f>
        <v>View People Online</v>
      </c>
    </row>
    <row r="276" spans="1:40" x14ac:dyDescent="0.2">
      <c r="A276" s="3" t="s">
        <v>2706</v>
      </c>
      <c r="B276" s="3" t="s">
        <v>2707</v>
      </c>
      <c r="C276" s="3" t="s">
        <v>42</v>
      </c>
      <c r="D276" s="3" t="s">
        <v>42</v>
      </c>
      <c r="E276" s="3" t="s">
        <v>2706</v>
      </c>
      <c r="F276" s="3" t="s">
        <v>2708</v>
      </c>
      <c r="G276" s="3" t="s">
        <v>2709</v>
      </c>
      <c r="H276" s="3" t="s">
        <v>686</v>
      </c>
      <c r="I276" s="3" t="s">
        <v>46</v>
      </c>
      <c r="J276" s="3" t="s">
        <v>47</v>
      </c>
      <c r="K276" s="3" t="s">
        <v>1592</v>
      </c>
      <c r="L276" s="3" t="s">
        <v>111</v>
      </c>
      <c r="M276" s="9" t="str">
        <f>HYPERLINK("http://www.chemanol.com", "www.chemanol.com")</f>
        <v>www.chemanol.com</v>
      </c>
      <c r="N276" s="3" t="s">
        <v>210</v>
      </c>
      <c r="O276" s="3" t="s">
        <v>42</v>
      </c>
      <c r="P276" s="3" t="s">
        <v>2710</v>
      </c>
      <c r="Q276" s="3" t="s">
        <v>42</v>
      </c>
      <c r="R276" s="17" t="s">
        <v>42</v>
      </c>
      <c r="S276" s="17">
        <v>1</v>
      </c>
      <c r="T276" s="17">
        <v>1</v>
      </c>
      <c r="U276" s="17" t="s">
        <v>42</v>
      </c>
      <c r="V276" s="17" t="s">
        <v>42</v>
      </c>
      <c r="W276" s="5" t="s">
        <v>1596</v>
      </c>
      <c r="X276" s="3" t="s">
        <v>2711</v>
      </c>
      <c r="Y276" s="3" t="s">
        <v>42</v>
      </c>
      <c r="Z276" s="3" t="s">
        <v>383</v>
      </c>
      <c r="AA276" s="3" t="s">
        <v>1598</v>
      </c>
      <c r="AB276" s="3" t="s">
        <v>1599</v>
      </c>
      <c r="AC276" s="3" t="s">
        <v>385</v>
      </c>
      <c r="AD276" s="3" t="s">
        <v>42</v>
      </c>
      <c r="AE276" s="5" t="s">
        <v>1600</v>
      </c>
      <c r="AF276" s="3" t="s">
        <v>60</v>
      </c>
      <c r="AG276" s="5" t="s">
        <v>1601</v>
      </c>
      <c r="AH276" s="3" t="s">
        <v>61</v>
      </c>
      <c r="AI276" s="3" t="s">
        <v>61</v>
      </c>
      <c r="AJ276" s="3" t="s">
        <v>42</v>
      </c>
      <c r="AK276" s="3" t="s">
        <v>42</v>
      </c>
      <c r="AL276" s="29">
        <v>45861</v>
      </c>
      <c r="AM276" s="5" t="s">
        <v>42</v>
      </c>
      <c r="AN276" s="9" t="str">
        <f>HYPERLINK("https://my.pitchbook.com?p=456685-93P", "View People Online")</f>
        <v>View People Online</v>
      </c>
    </row>
    <row r="277" spans="1:40" x14ac:dyDescent="0.2">
      <c r="A277" s="2" t="s">
        <v>2712</v>
      </c>
      <c r="B277" s="2" t="s">
        <v>2713</v>
      </c>
      <c r="C277" s="2" t="s">
        <v>42</v>
      </c>
      <c r="D277" s="2" t="s">
        <v>42</v>
      </c>
      <c r="E277" s="2" t="s">
        <v>2712</v>
      </c>
      <c r="F277" s="2" t="s">
        <v>2714</v>
      </c>
      <c r="G277" s="2" t="s">
        <v>2715</v>
      </c>
      <c r="H277" s="2" t="s">
        <v>2716</v>
      </c>
      <c r="I277" s="2" t="s">
        <v>46</v>
      </c>
      <c r="J277" s="2" t="s">
        <v>47</v>
      </c>
      <c r="K277" s="2" t="s">
        <v>623</v>
      </c>
      <c r="L277" s="2" t="s">
        <v>111</v>
      </c>
      <c r="M277" s="8" t="str">
        <f>HYPERLINK("http://www.sabic-agrinutrients.com", "www.sabic-agrinutrients.com")</f>
        <v>www.sabic-agrinutrients.com</v>
      </c>
      <c r="N277" s="2" t="s">
        <v>534</v>
      </c>
      <c r="O277" s="2" t="s">
        <v>42</v>
      </c>
      <c r="P277" s="2" t="s">
        <v>2717</v>
      </c>
      <c r="Q277" s="2" t="s">
        <v>42</v>
      </c>
      <c r="R277" s="16" t="s">
        <v>42</v>
      </c>
      <c r="S277" s="16">
        <v>1</v>
      </c>
      <c r="T277" s="16">
        <v>1</v>
      </c>
      <c r="U277" s="16" t="s">
        <v>42</v>
      </c>
      <c r="V277" s="16" t="s">
        <v>42</v>
      </c>
      <c r="W277" s="4" t="s">
        <v>395</v>
      </c>
      <c r="X277" s="2" t="s">
        <v>2718</v>
      </c>
      <c r="Y277" s="2" t="s">
        <v>42</v>
      </c>
      <c r="Z277" s="2" t="s">
        <v>396</v>
      </c>
      <c r="AA277" s="2" t="s">
        <v>397</v>
      </c>
      <c r="AB277" s="2" t="s">
        <v>42</v>
      </c>
      <c r="AC277" s="2" t="s">
        <v>398</v>
      </c>
      <c r="AD277" s="2" t="s">
        <v>42</v>
      </c>
      <c r="AE277" s="4" t="s">
        <v>399</v>
      </c>
      <c r="AF277" s="2" t="s">
        <v>60</v>
      </c>
      <c r="AG277" s="4" t="s">
        <v>400</v>
      </c>
      <c r="AH277" s="2" t="s">
        <v>61</v>
      </c>
      <c r="AI277" s="2" t="s">
        <v>61</v>
      </c>
      <c r="AJ277" s="2" t="s">
        <v>42</v>
      </c>
      <c r="AK277" s="2" t="s">
        <v>42</v>
      </c>
      <c r="AL277" s="28">
        <v>45654</v>
      </c>
      <c r="AM277" s="4" t="s">
        <v>42</v>
      </c>
      <c r="AN277" s="8" t="str">
        <f>HYPERLINK("https://my.pitchbook.com?p=323146-90P", "View People Online")</f>
        <v>View People Online</v>
      </c>
    </row>
    <row r="278" spans="1:40" x14ac:dyDescent="0.2">
      <c r="A278" s="3" t="s">
        <v>2719</v>
      </c>
      <c r="B278" s="3" t="s">
        <v>2720</v>
      </c>
      <c r="C278" s="3" t="s">
        <v>42</v>
      </c>
      <c r="D278" s="3" t="s">
        <v>42</v>
      </c>
      <c r="E278" s="3" t="s">
        <v>2719</v>
      </c>
      <c r="F278" s="3" t="s">
        <v>2721</v>
      </c>
      <c r="G278" s="3" t="s">
        <v>2715</v>
      </c>
      <c r="H278" s="3" t="s">
        <v>2722</v>
      </c>
      <c r="I278" s="3" t="s">
        <v>46</v>
      </c>
      <c r="J278" s="3" t="s">
        <v>47</v>
      </c>
      <c r="K278" s="3" t="s">
        <v>2723</v>
      </c>
      <c r="L278" s="3" t="s">
        <v>111</v>
      </c>
      <c r="M278" s="9" t="str">
        <f>HYPERLINK("http://www.flynas.com", "www.flynas.com")</f>
        <v>www.flynas.com</v>
      </c>
      <c r="N278" s="3" t="s">
        <v>246</v>
      </c>
      <c r="O278" s="3" t="s">
        <v>42</v>
      </c>
      <c r="P278" s="3" t="s">
        <v>2724</v>
      </c>
      <c r="Q278" s="3" t="s">
        <v>42</v>
      </c>
      <c r="R278" s="17">
        <v>1</v>
      </c>
      <c r="S278" s="17">
        <v>1</v>
      </c>
      <c r="T278" s="17" t="s">
        <v>42</v>
      </c>
      <c r="U278" s="17" t="s">
        <v>42</v>
      </c>
      <c r="V278" s="17" t="s">
        <v>42</v>
      </c>
      <c r="W278" s="5" t="s">
        <v>2725</v>
      </c>
      <c r="X278" s="3" t="s">
        <v>42</v>
      </c>
      <c r="Y278" s="3" t="s">
        <v>42</v>
      </c>
      <c r="Z278" s="3" t="s">
        <v>55</v>
      </c>
      <c r="AA278" s="3" t="s">
        <v>2726</v>
      </c>
      <c r="AB278" s="3" t="s">
        <v>692</v>
      </c>
      <c r="AC278" s="3" t="s">
        <v>58</v>
      </c>
      <c r="AD278" s="3" t="s">
        <v>42</v>
      </c>
      <c r="AE278" s="5" t="s">
        <v>2727</v>
      </c>
      <c r="AF278" s="3" t="s">
        <v>60</v>
      </c>
      <c r="AG278" s="5" t="s">
        <v>42</v>
      </c>
      <c r="AH278" s="3" t="s">
        <v>61</v>
      </c>
      <c r="AI278" s="3" t="s">
        <v>61</v>
      </c>
      <c r="AJ278" s="3" t="s">
        <v>42</v>
      </c>
      <c r="AK278" s="3" t="s">
        <v>42</v>
      </c>
      <c r="AL278" s="29">
        <v>45707</v>
      </c>
      <c r="AM278" s="5" t="s">
        <v>42</v>
      </c>
      <c r="AN278" s="9" t="str">
        <f>HYPERLINK("https://my.pitchbook.com?p=144076-24P", "View People Online")</f>
        <v>View People Online</v>
      </c>
    </row>
    <row r="279" spans="1:40" x14ac:dyDescent="0.2">
      <c r="A279" s="2" t="s">
        <v>2728</v>
      </c>
      <c r="B279" s="2" t="s">
        <v>2729</v>
      </c>
      <c r="C279" s="2" t="s">
        <v>42</v>
      </c>
      <c r="D279" s="2" t="s">
        <v>42</v>
      </c>
      <c r="E279" s="2" t="s">
        <v>2728</v>
      </c>
      <c r="F279" s="2" t="s">
        <v>2730</v>
      </c>
      <c r="G279" s="2" t="s">
        <v>2731</v>
      </c>
      <c r="H279" s="2" t="s">
        <v>42</v>
      </c>
      <c r="I279" s="2" t="s">
        <v>46</v>
      </c>
      <c r="J279" s="2" t="s">
        <v>47</v>
      </c>
      <c r="K279" s="2" t="s">
        <v>1951</v>
      </c>
      <c r="L279" s="2" t="s">
        <v>111</v>
      </c>
      <c r="M279" s="8" t="str">
        <f>HYPERLINK("http://www.lazurde.com", "www.lazurde.com")</f>
        <v>www.lazurde.com</v>
      </c>
      <c r="N279" s="2" t="s">
        <v>1281</v>
      </c>
      <c r="O279" s="2" t="s">
        <v>42</v>
      </c>
      <c r="P279" s="2" t="s">
        <v>2732</v>
      </c>
      <c r="Q279" s="2" t="s">
        <v>1112</v>
      </c>
      <c r="R279" s="16" t="s">
        <v>42</v>
      </c>
      <c r="S279" s="16">
        <v>1</v>
      </c>
      <c r="T279" s="16">
        <v>1</v>
      </c>
      <c r="U279" s="16" t="s">
        <v>42</v>
      </c>
      <c r="V279" s="16" t="s">
        <v>42</v>
      </c>
      <c r="W279" s="4" t="s">
        <v>1953</v>
      </c>
      <c r="X279" s="2" t="s">
        <v>2733</v>
      </c>
      <c r="Y279" s="8" t="str">
        <f>HYPERLINK("http://linkedin.com/in/ayman-gamil-ammar-1b00b85/?originalsubdomain=sa", "http://linkedin.com/in/ayman-gamil-ammar-1b00b85/?originalsubdomain=sa")</f>
        <v>http://linkedin.com/in/ayman-gamil-ammar-1b00b85/?originalsubdomain=sa</v>
      </c>
      <c r="Z279" s="2" t="s">
        <v>55</v>
      </c>
      <c r="AA279" s="2" t="s">
        <v>1955</v>
      </c>
      <c r="AB279" s="2" t="s">
        <v>1956</v>
      </c>
      <c r="AC279" s="2" t="s">
        <v>58</v>
      </c>
      <c r="AD279" s="2" t="s">
        <v>42</v>
      </c>
      <c r="AE279" s="4" t="s">
        <v>1957</v>
      </c>
      <c r="AF279" s="2" t="s">
        <v>60</v>
      </c>
      <c r="AG279" s="4" t="s">
        <v>1958</v>
      </c>
      <c r="AH279" s="2" t="s">
        <v>61</v>
      </c>
      <c r="AI279" s="2" t="s">
        <v>61</v>
      </c>
      <c r="AJ279" s="2" t="s">
        <v>42</v>
      </c>
      <c r="AK279" s="2" t="s">
        <v>42</v>
      </c>
      <c r="AL279" s="28">
        <v>45875</v>
      </c>
      <c r="AM279" s="4">
        <v>1971</v>
      </c>
      <c r="AN279" s="8" t="str">
        <f>HYPERLINK("https://my.pitchbook.com?p=151892-74P", "View People Online")</f>
        <v>View People Online</v>
      </c>
    </row>
    <row r="280" spans="1:40" x14ac:dyDescent="0.2">
      <c r="A280" s="3" t="s">
        <v>2734</v>
      </c>
      <c r="B280" s="3" t="s">
        <v>2735</v>
      </c>
      <c r="C280" s="3" t="s">
        <v>42</v>
      </c>
      <c r="D280" s="3" t="s">
        <v>42</v>
      </c>
      <c r="E280" s="3" t="s">
        <v>2734</v>
      </c>
      <c r="F280" s="3" t="s">
        <v>2736</v>
      </c>
      <c r="G280" s="3" t="s">
        <v>2731</v>
      </c>
      <c r="H280" s="3" t="s">
        <v>2737</v>
      </c>
      <c r="I280" s="3" t="s">
        <v>46</v>
      </c>
      <c r="J280" s="3" t="s">
        <v>47</v>
      </c>
      <c r="K280" s="3" t="s">
        <v>197</v>
      </c>
      <c r="L280" s="3" t="s">
        <v>111</v>
      </c>
      <c r="M280" s="9" t="str">
        <f>HYPERLINK("http://www.adesgroup.com", "www.adesgroup.com")</f>
        <v>www.adesgroup.com</v>
      </c>
      <c r="N280" s="3" t="s">
        <v>246</v>
      </c>
      <c r="O280" s="3" t="s">
        <v>42</v>
      </c>
      <c r="P280" s="3" t="s">
        <v>2738</v>
      </c>
      <c r="Q280" s="3" t="s">
        <v>42</v>
      </c>
      <c r="R280" s="17">
        <v>1</v>
      </c>
      <c r="S280" s="17">
        <v>1</v>
      </c>
      <c r="T280" s="17" t="s">
        <v>42</v>
      </c>
      <c r="U280" s="17" t="s">
        <v>42</v>
      </c>
      <c r="V280" s="17" t="s">
        <v>42</v>
      </c>
      <c r="W280" s="5" t="s">
        <v>201</v>
      </c>
      <c r="X280" s="3" t="s">
        <v>42</v>
      </c>
      <c r="Y280" s="3" t="s">
        <v>42</v>
      </c>
      <c r="Z280" s="3" t="s">
        <v>142</v>
      </c>
      <c r="AA280" s="3" t="s">
        <v>202</v>
      </c>
      <c r="AB280" s="3" t="s">
        <v>203</v>
      </c>
      <c r="AC280" s="3" t="s">
        <v>145</v>
      </c>
      <c r="AD280" s="3" t="s">
        <v>42</v>
      </c>
      <c r="AE280" s="5" t="s">
        <v>204</v>
      </c>
      <c r="AF280" s="3" t="s">
        <v>147</v>
      </c>
      <c r="AG280" s="5" t="s">
        <v>42</v>
      </c>
      <c r="AH280" s="3" t="s">
        <v>61</v>
      </c>
      <c r="AI280" s="3" t="s">
        <v>61</v>
      </c>
      <c r="AJ280" s="3" t="s">
        <v>42</v>
      </c>
      <c r="AK280" s="3" t="s">
        <v>42</v>
      </c>
      <c r="AL280" s="29">
        <v>46052</v>
      </c>
      <c r="AM280" s="5" t="s">
        <v>42</v>
      </c>
      <c r="AN280" s="9" t="str">
        <f>HYPERLINK("https://my.pitchbook.com?p=189441-28P", "View People Online")</f>
        <v>View People Online</v>
      </c>
    </row>
    <row r="281" spans="1:40" x14ac:dyDescent="0.2">
      <c r="A281" s="2" t="s">
        <v>2739</v>
      </c>
      <c r="B281" s="2" t="s">
        <v>2740</v>
      </c>
      <c r="C281" s="2" t="s">
        <v>42</v>
      </c>
      <c r="D281" s="2" t="s">
        <v>42</v>
      </c>
      <c r="E281" s="2" t="s">
        <v>2739</v>
      </c>
      <c r="F281" s="2" t="s">
        <v>2522</v>
      </c>
      <c r="G281" s="2" t="s">
        <v>2731</v>
      </c>
      <c r="H281" s="2" t="s">
        <v>2741</v>
      </c>
      <c r="I281" s="2" t="s">
        <v>46</v>
      </c>
      <c r="J281" s="2" t="s">
        <v>47</v>
      </c>
      <c r="K281" s="2" t="s">
        <v>1305</v>
      </c>
      <c r="L281" s="2" t="s">
        <v>111</v>
      </c>
      <c r="M281" s="8" t="str">
        <f>HYPERLINK("http://www.tihama.com", "www.tihama.com")</f>
        <v>www.tihama.com</v>
      </c>
      <c r="N281" s="2" t="s">
        <v>534</v>
      </c>
      <c r="O281" s="2" t="s">
        <v>42</v>
      </c>
      <c r="P281" s="2" t="s">
        <v>2742</v>
      </c>
      <c r="Q281" s="2" t="s">
        <v>42</v>
      </c>
      <c r="R281" s="16" t="s">
        <v>42</v>
      </c>
      <c r="S281" s="16">
        <v>1</v>
      </c>
      <c r="T281" s="16">
        <v>1</v>
      </c>
      <c r="U281" s="16" t="s">
        <v>42</v>
      </c>
      <c r="V281" s="16" t="s">
        <v>42</v>
      </c>
      <c r="W281" s="4" t="s">
        <v>1307</v>
      </c>
      <c r="X281" s="2" t="s">
        <v>42</v>
      </c>
      <c r="Y281" s="8" t="str">
        <f>HYPERLINK("http://linkedin.com/in/ayman-soliman-cia-22a55b47/", "http://linkedin.com/in/ayman-soliman-cia-22a55b47/")</f>
        <v>http://linkedin.com/in/ayman-soliman-cia-22a55b47/</v>
      </c>
      <c r="Z281" s="2" t="s">
        <v>55</v>
      </c>
      <c r="AA281" s="2" t="s">
        <v>1308</v>
      </c>
      <c r="AB281" s="2" t="s">
        <v>1309</v>
      </c>
      <c r="AC281" s="2" t="s">
        <v>58</v>
      </c>
      <c r="AD281" s="2" t="s">
        <v>42</v>
      </c>
      <c r="AE281" s="4" t="s">
        <v>879</v>
      </c>
      <c r="AF281" s="2" t="s">
        <v>60</v>
      </c>
      <c r="AG281" s="4" t="s">
        <v>1310</v>
      </c>
      <c r="AH281" s="2" t="s">
        <v>61</v>
      </c>
      <c r="AI281" s="2" t="s">
        <v>61</v>
      </c>
      <c r="AJ281" s="2" t="s">
        <v>42</v>
      </c>
      <c r="AK281" s="2" t="s">
        <v>42</v>
      </c>
      <c r="AL281" s="28">
        <v>45808</v>
      </c>
      <c r="AM281" s="4" t="s">
        <v>42</v>
      </c>
      <c r="AN281" s="8" t="str">
        <f>HYPERLINK("https://my.pitchbook.com?p=385832-80P", "View People Online")</f>
        <v>View People Online</v>
      </c>
    </row>
    <row r="282" spans="1:40" x14ac:dyDescent="0.2">
      <c r="A282" s="3" t="s">
        <v>2743</v>
      </c>
      <c r="B282" s="3" t="s">
        <v>2744</v>
      </c>
      <c r="C282" s="3" t="s">
        <v>42</v>
      </c>
      <c r="D282" s="3" t="s">
        <v>42</v>
      </c>
      <c r="E282" s="3" t="s">
        <v>2743</v>
      </c>
      <c r="F282" s="3" t="s">
        <v>2745</v>
      </c>
      <c r="G282" s="3" t="s">
        <v>2746</v>
      </c>
      <c r="H282" s="3" t="s">
        <v>42</v>
      </c>
      <c r="I282" s="3" t="s">
        <v>46</v>
      </c>
      <c r="J282" s="3" t="s">
        <v>47</v>
      </c>
      <c r="K282" s="3" t="s">
        <v>2747</v>
      </c>
      <c r="L282" s="3" t="s">
        <v>111</v>
      </c>
      <c r="M282" s="9" t="str">
        <f>HYPERLINK("http://lumirental.com", "lumirental.com")</f>
        <v>lumirental.com</v>
      </c>
      <c r="N282" s="3" t="s">
        <v>210</v>
      </c>
      <c r="O282" s="3" t="s">
        <v>42</v>
      </c>
      <c r="P282" s="3" t="s">
        <v>2748</v>
      </c>
      <c r="Q282" s="3" t="s">
        <v>42</v>
      </c>
      <c r="R282" s="17" t="s">
        <v>42</v>
      </c>
      <c r="S282" s="17">
        <v>1</v>
      </c>
      <c r="T282" s="17">
        <v>1</v>
      </c>
      <c r="U282" s="17" t="s">
        <v>42</v>
      </c>
      <c r="V282" s="17" t="s">
        <v>42</v>
      </c>
      <c r="W282" s="5" t="s">
        <v>42</v>
      </c>
      <c r="X282" s="3" t="s">
        <v>2749</v>
      </c>
      <c r="Y282" s="9" t="str">
        <f>HYPERLINK("http://linkedin.com/in/azfar-shakeel-0b744022/", "http://linkedin.com/in/azfar-shakeel-0b744022/")</f>
        <v>http://linkedin.com/in/azfar-shakeel-0b744022/</v>
      </c>
      <c r="Z282" s="3" t="s">
        <v>55</v>
      </c>
      <c r="AA282" s="3" t="s">
        <v>2750</v>
      </c>
      <c r="AB282" s="3" t="s">
        <v>2751</v>
      </c>
      <c r="AC282" s="3" t="s">
        <v>58</v>
      </c>
      <c r="AD282" s="3" t="s">
        <v>42</v>
      </c>
      <c r="AE282" s="5" t="s">
        <v>2752</v>
      </c>
      <c r="AF282" s="3" t="s">
        <v>60</v>
      </c>
      <c r="AG282" s="5" t="s">
        <v>42</v>
      </c>
      <c r="AH282" s="3" t="s">
        <v>61</v>
      </c>
      <c r="AI282" s="3" t="s">
        <v>61</v>
      </c>
      <c r="AJ282" s="3" t="s">
        <v>42</v>
      </c>
      <c r="AK282" s="3" t="s">
        <v>42</v>
      </c>
      <c r="AL282" s="29">
        <v>45875</v>
      </c>
      <c r="AM282" s="5" t="s">
        <v>42</v>
      </c>
      <c r="AN282" s="9" t="str">
        <f>HYPERLINK("https://my.pitchbook.com?p=342460-72P", "View People Online")</f>
        <v>View People Online</v>
      </c>
    </row>
    <row r="283" spans="1:40" x14ac:dyDescent="0.2">
      <c r="A283" s="2" t="s">
        <v>2753</v>
      </c>
      <c r="B283" s="2" t="s">
        <v>2754</v>
      </c>
      <c r="C283" s="2" t="s">
        <v>42</v>
      </c>
      <c r="D283" s="2" t="s">
        <v>42</v>
      </c>
      <c r="E283" s="2" t="s">
        <v>2753</v>
      </c>
      <c r="F283" s="2" t="s">
        <v>2755</v>
      </c>
      <c r="G283" s="2" t="s">
        <v>2756</v>
      </c>
      <c r="H283" s="2" t="s">
        <v>42</v>
      </c>
      <c r="I283" s="2" t="s">
        <v>46</v>
      </c>
      <c r="J283" s="2" t="s">
        <v>47</v>
      </c>
      <c r="K283" s="2" t="s">
        <v>1900</v>
      </c>
      <c r="L283" s="2" t="s">
        <v>111</v>
      </c>
      <c r="M283" s="8" t="str">
        <f>HYPERLINK("http://www.saudiceramics.com", "www.saudiceramics.com")</f>
        <v>www.saudiceramics.com</v>
      </c>
      <c r="N283" s="2" t="s">
        <v>210</v>
      </c>
      <c r="O283" s="2" t="s">
        <v>42</v>
      </c>
      <c r="P283" s="2" t="s">
        <v>2757</v>
      </c>
      <c r="Q283" s="2" t="s">
        <v>42</v>
      </c>
      <c r="R283" s="16" t="s">
        <v>42</v>
      </c>
      <c r="S283" s="16">
        <v>1</v>
      </c>
      <c r="T283" s="16">
        <v>1</v>
      </c>
      <c r="U283" s="16" t="s">
        <v>42</v>
      </c>
      <c r="V283" s="16" t="s">
        <v>42</v>
      </c>
      <c r="W283" s="4" t="s">
        <v>1902</v>
      </c>
      <c r="X283" s="2" t="s">
        <v>2758</v>
      </c>
      <c r="Y283" s="8" t="str">
        <f>HYPERLINK("http://linkedin.com/in/azzam-almudaiheem-52989040", "http://linkedin.com/in/azzam-almudaiheem-52989040")</f>
        <v>http://linkedin.com/in/azzam-almudaiheem-52989040</v>
      </c>
      <c r="Z283" s="2" t="s">
        <v>55</v>
      </c>
      <c r="AA283" s="2" t="s">
        <v>1904</v>
      </c>
      <c r="AB283" s="2" t="s">
        <v>1905</v>
      </c>
      <c r="AC283" s="2" t="s">
        <v>58</v>
      </c>
      <c r="AD283" s="2" t="s">
        <v>42</v>
      </c>
      <c r="AE283" s="4" t="s">
        <v>1906</v>
      </c>
      <c r="AF283" s="2" t="s">
        <v>60</v>
      </c>
      <c r="AG283" s="4" t="s">
        <v>1907</v>
      </c>
      <c r="AH283" s="2" t="s">
        <v>61</v>
      </c>
      <c r="AI283" s="2" t="s">
        <v>61</v>
      </c>
      <c r="AJ283" s="2" t="s">
        <v>42</v>
      </c>
      <c r="AK283" s="2" t="s">
        <v>42</v>
      </c>
      <c r="AL283" s="28">
        <v>45743</v>
      </c>
      <c r="AM283" s="4" t="s">
        <v>42</v>
      </c>
      <c r="AN283" s="8" t="str">
        <f>HYPERLINK("https://my.pitchbook.com?p=388553-95P", "View People Online")</f>
        <v>View People Online</v>
      </c>
    </row>
    <row r="284" spans="1:40" x14ac:dyDescent="0.2">
      <c r="A284" s="3" t="s">
        <v>2759</v>
      </c>
      <c r="B284" s="3" t="s">
        <v>2760</v>
      </c>
      <c r="C284" s="3" t="s">
        <v>42</v>
      </c>
      <c r="D284" s="3" t="s">
        <v>42</v>
      </c>
      <c r="E284" s="3" t="s">
        <v>2759</v>
      </c>
      <c r="F284" s="3" t="s">
        <v>2761</v>
      </c>
      <c r="G284" s="3" t="s">
        <v>2762</v>
      </c>
      <c r="H284" s="3" t="s">
        <v>2155</v>
      </c>
      <c r="I284" s="3" t="s">
        <v>46</v>
      </c>
      <c r="J284" s="3" t="s">
        <v>47</v>
      </c>
      <c r="K284" s="3" t="s">
        <v>1645</v>
      </c>
      <c r="L284" s="3" t="s">
        <v>1316</v>
      </c>
      <c r="M284" s="9" t="str">
        <f>HYPERLINK("http://www.amana.sa", "www.amana.sa")</f>
        <v>www.amana.sa</v>
      </c>
      <c r="N284" s="3" t="s">
        <v>370</v>
      </c>
      <c r="O284" s="3" t="s">
        <v>42</v>
      </c>
      <c r="P284" s="3" t="s">
        <v>2763</v>
      </c>
      <c r="Q284" s="3" t="s">
        <v>42</v>
      </c>
      <c r="R284" s="17" t="s">
        <v>42</v>
      </c>
      <c r="S284" s="17">
        <v>1</v>
      </c>
      <c r="T284" s="17">
        <v>1</v>
      </c>
      <c r="U284" s="17" t="s">
        <v>42</v>
      </c>
      <c r="V284" s="17" t="s">
        <v>42</v>
      </c>
      <c r="W284" s="5" t="s">
        <v>1647</v>
      </c>
      <c r="X284" s="3" t="s">
        <v>2764</v>
      </c>
      <c r="Y284" s="3" t="s">
        <v>42</v>
      </c>
      <c r="Z284" s="3" t="s">
        <v>55</v>
      </c>
      <c r="AA284" s="3" t="s">
        <v>1648</v>
      </c>
      <c r="AB284" s="3" t="s">
        <v>42</v>
      </c>
      <c r="AC284" s="3" t="s">
        <v>58</v>
      </c>
      <c r="AD284" s="3" t="s">
        <v>58</v>
      </c>
      <c r="AE284" s="5" t="s">
        <v>1649</v>
      </c>
      <c r="AF284" s="3" t="s">
        <v>60</v>
      </c>
      <c r="AG284" s="5" t="s">
        <v>1650</v>
      </c>
      <c r="AH284" s="3" t="s">
        <v>61</v>
      </c>
      <c r="AI284" s="3" t="s">
        <v>61</v>
      </c>
      <c r="AJ284" s="3" t="s">
        <v>42</v>
      </c>
      <c r="AK284" s="3" t="s">
        <v>42</v>
      </c>
      <c r="AL284" s="29">
        <v>45895</v>
      </c>
      <c r="AM284" s="5" t="s">
        <v>42</v>
      </c>
      <c r="AN284" s="9" t="str">
        <f>HYPERLINK("https://my.pitchbook.com?p=261955-72P", "View People Online")</f>
        <v>View People Online</v>
      </c>
    </row>
    <row r="285" spans="1:40" x14ac:dyDescent="0.2">
      <c r="A285" s="2" t="s">
        <v>2765</v>
      </c>
      <c r="B285" s="2" t="s">
        <v>2766</v>
      </c>
      <c r="C285" s="2" t="s">
        <v>42</v>
      </c>
      <c r="D285" s="2" t="s">
        <v>42</v>
      </c>
      <c r="E285" s="2" t="s">
        <v>2765</v>
      </c>
      <c r="F285" s="2" t="s">
        <v>2767</v>
      </c>
      <c r="G285" s="2" t="s">
        <v>2762</v>
      </c>
      <c r="H285" s="2" t="s">
        <v>42</v>
      </c>
      <c r="I285" s="2" t="s">
        <v>46</v>
      </c>
      <c r="J285" s="2" t="s">
        <v>47</v>
      </c>
      <c r="K285" s="2" t="s">
        <v>1543</v>
      </c>
      <c r="L285" s="2" t="s">
        <v>111</v>
      </c>
      <c r="M285" s="8" t="str">
        <f>HYPERLINK("http://www.bsf.sa", "www.bsf.sa")</f>
        <v>www.bsf.sa</v>
      </c>
      <c r="N285" s="2" t="s">
        <v>210</v>
      </c>
      <c r="O285" s="2" t="s">
        <v>42</v>
      </c>
      <c r="P285" s="2" t="s">
        <v>2768</v>
      </c>
      <c r="Q285" s="2" t="s">
        <v>42</v>
      </c>
      <c r="R285" s="16" t="s">
        <v>42</v>
      </c>
      <c r="S285" s="16">
        <v>1</v>
      </c>
      <c r="T285" s="16">
        <v>1</v>
      </c>
      <c r="U285" s="16" t="s">
        <v>42</v>
      </c>
      <c r="V285" s="16" t="s">
        <v>42</v>
      </c>
      <c r="W285" s="4" t="s">
        <v>1546</v>
      </c>
      <c r="X285" s="2" t="s">
        <v>2769</v>
      </c>
      <c r="Y285" s="8" t="str">
        <f>HYPERLINK("http://linkedin.com/in/bader-h-alsalloom-1153a336/", "http://linkedin.com/in/bader-h-alsalloom-1153a336/")</f>
        <v>http://linkedin.com/in/bader-h-alsalloom-1153a336/</v>
      </c>
      <c r="Z285" s="2" t="s">
        <v>55</v>
      </c>
      <c r="AA285" s="2" t="s">
        <v>1547</v>
      </c>
      <c r="AB285" s="2" t="s">
        <v>42</v>
      </c>
      <c r="AC285" s="2" t="s">
        <v>58</v>
      </c>
      <c r="AD285" s="2" t="s">
        <v>42</v>
      </c>
      <c r="AE285" s="4" t="s">
        <v>1548</v>
      </c>
      <c r="AF285" s="2" t="s">
        <v>60</v>
      </c>
      <c r="AG285" s="4" t="s">
        <v>1549</v>
      </c>
      <c r="AH285" s="2" t="s">
        <v>61</v>
      </c>
      <c r="AI285" s="2" t="s">
        <v>61</v>
      </c>
      <c r="AJ285" s="2" t="s">
        <v>42</v>
      </c>
      <c r="AK285" s="2" t="s">
        <v>42</v>
      </c>
      <c r="AL285" s="28">
        <v>46057</v>
      </c>
      <c r="AM285" s="4" t="s">
        <v>42</v>
      </c>
      <c r="AN285" s="8" t="str">
        <f>HYPERLINK("https://my.pitchbook.com?p=303340-87P", "View People Online")</f>
        <v>View People Online</v>
      </c>
    </row>
    <row r="286" spans="1:40" x14ac:dyDescent="0.2">
      <c r="A286" s="3" t="s">
        <v>2770</v>
      </c>
      <c r="B286" s="3" t="s">
        <v>2771</v>
      </c>
      <c r="C286" s="3" t="s">
        <v>42</v>
      </c>
      <c r="D286" s="3" t="s">
        <v>42</v>
      </c>
      <c r="E286" s="3" t="s">
        <v>2770</v>
      </c>
      <c r="F286" s="3" t="s">
        <v>2772</v>
      </c>
      <c r="G286" s="3" t="s">
        <v>2762</v>
      </c>
      <c r="H286" s="3" t="s">
        <v>2773</v>
      </c>
      <c r="I286" s="3" t="s">
        <v>46</v>
      </c>
      <c r="J286" s="3" t="s">
        <v>47</v>
      </c>
      <c r="K286" s="3" t="s">
        <v>2530</v>
      </c>
      <c r="L286" s="3" t="s">
        <v>111</v>
      </c>
      <c r="M286" s="9" t="str">
        <f>HYPERLINK("http://www.salama.com.sa", "www.salama.com.sa")</f>
        <v>www.salama.com.sa</v>
      </c>
      <c r="N286" s="3" t="s">
        <v>210</v>
      </c>
      <c r="O286" s="3" t="s">
        <v>42</v>
      </c>
      <c r="P286" s="3" t="s">
        <v>2774</v>
      </c>
      <c r="Q286" s="3" t="s">
        <v>42</v>
      </c>
      <c r="R286" s="17" t="s">
        <v>42</v>
      </c>
      <c r="S286" s="17">
        <v>1</v>
      </c>
      <c r="T286" s="17">
        <v>1</v>
      </c>
      <c r="U286" s="17" t="s">
        <v>42</v>
      </c>
      <c r="V286" s="17" t="s">
        <v>42</v>
      </c>
      <c r="W286" s="5" t="s">
        <v>2532</v>
      </c>
      <c r="X286" s="3" t="s">
        <v>2775</v>
      </c>
      <c r="Y286" s="9" t="str">
        <f>HYPERLINK("http://linkedin.com/in/bader-alanzi-m-s-a-cii-773322120/", "http://linkedin.com/in/bader-alanzi-m-s-a-cii-773322120/")</f>
        <v>http://linkedin.com/in/bader-alanzi-m-s-a-cii-773322120/</v>
      </c>
      <c r="Z286" s="3" t="s">
        <v>174</v>
      </c>
      <c r="AA286" s="3" t="s">
        <v>2534</v>
      </c>
      <c r="AB286" s="3" t="s">
        <v>2535</v>
      </c>
      <c r="AC286" s="3" t="s">
        <v>176</v>
      </c>
      <c r="AD286" s="3" t="s">
        <v>42</v>
      </c>
      <c r="AE286" s="5" t="s">
        <v>42</v>
      </c>
      <c r="AF286" s="3" t="s">
        <v>60</v>
      </c>
      <c r="AG286" s="5" t="s">
        <v>42</v>
      </c>
      <c r="AH286" s="3" t="s">
        <v>61</v>
      </c>
      <c r="AI286" s="3" t="s">
        <v>61</v>
      </c>
      <c r="AJ286" s="3" t="s">
        <v>42</v>
      </c>
      <c r="AK286" s="3" t="s">
        <v>42</v>
      </c>
      <c r="AL286" s="29">
        <v>45352</v>
      </c>
      <c r="AM286" s="5" t="s">
        <v>42</v>
      </c>
      <c r="AN286" s="9" t="str">
        <f>HYPERLINK("https://my.pitchbook.com?p=321696-91P", "View People Online")</f>
        <v>View People Online</v>
      </c>
    </row>
    <row r="287" spans="1:40" x14ac:dyDescent="0.2">
      <c r="A287" s="2" t="s">
        <v>2776</v>
      </c>
      <c r="B287" s="2" t="s">
        <v>2777</v>
      </c>
      <c r="C287" s="2" t="s">
        <v>42</v>
      </c>
      <c r="D287" s="2" t="s">
        <v>42</v>
      </c>
      <c r="E287" s="2" t="s">
        <v>2776</v>
      </c>
      <c r="F287" s="2" t="s">
        <v>1753</v>
      </c>
      <c r="G287" s="2" t="s">
        <v>2778</v>
      </c>
      <c r="H287" s="2" t="s">
        <v>42</v>
      </c>
      <c r="I287" s="2" t="s">
        <v>46</v>
      </c>
      <c r="J287" s="2" t="s">
        <v>47</v>
      </c>
      <c r="K287" s="2" t="s">
        <v>2370</v>
      </c>
      <c r="L287" s="2" t="s">
        <v>111</v>
      </c>
      <c r="M287" s="8" t="str">
        <f>HYPERLINK("http://www.joufcem.com.sa", "www.joufcem.com.sa")</f>
        <v>www.joufcem.com.sa</v>
      </c>
      <c r="N287" s="2" t="s">
        <v>570</v>
      </c>
      <c r="O287" s="2" t="s">
        <v>42</v>
      </c>
      <c r="P287" s="2" t="s">
        <v>2779</v>
      </c>
      <c r="Q287" s="2" t="s">
        <v>42</v>
      </c>
      <c r="R287" s="16" t="s">
        <v>42</v>
      </c>
      <c r="S287" s="16">
        <v>1</v>
      </c>
      <c r="T287" s="16">
        <v>1</v>
      </c>
      <c r="U287" s="16" t="s">
        <v>42</v>
      </c>
      <c r="V287" s="16" t="s">
        <v>42</v>
      </c>
      <c r="W287" s="4" t="s">
        <v>2372</v>
      </c>
      <c r="X287" s="2" t="s">
        <v>2780</v>
      </c>
      <c r="Y287" s="2" t="s">
        <v>42</v>
      </c>
      <c r="Z287" s="2" t="s">
        <v>55</v>
      </c>
      <c r="AA287" s="2" t="s">
        <v>2374</v>
      </c>
      <c r="AB287" s="2" t="s">
        <v>2375</v>
      </c>
      <c r="AC287" s="2" t="s">
        <v>58</v>
      </c>
      <c r="AD287" s="2" t="s">
        <v>42</v>
      </c>
      <c r="AE287" s="4" t="s">
        <v>618</v>
      </c>
      <c r="AF287" s="2" t="s">
        <v>60</v>
      </c>
      <c r="AG287" s="4" t="s">
        <v>2376</v>
      </c>
      <c r="AH287" s="2" t="s">
        <v>61</v>
      </c>
      <c r="AI287" s="2" t="s">
        <v>61</v>
      </c>
      <c r="AJ287" s="2" t="s">
        <v>42</v>
      </c>
      <c r="AK287" s="2" t="s">
        <v>42</v>
      </c>
      <c r="AL287" s="28">
        <v>45574</v>
      </c>
      <c r="AM287" s="4" t="s">
        <v>42</v>
      </c>
      <c r="AN287" s="8" t="str">
        <f>HYPERLINK("https://my.pitchbook.com?p=416349-46P", "View People Online")</f>
        <v>View People Online</v>
      </c>
    </row>
    <row r="288" spans="1:40" x14ac:dyDescent="0.2">
      <c r="A288" s="3" t="s">
        <v>2781</v>
      </c>
      <c r="B288" s="3" t="s">
        <v>2782</v>
      </c>
      <c r="C288" s="3" t="s">
        <v>42</v>
      </c>
      <c r="D288" s="3" t="s">
        <v>42</v>
      </c>
      <c r="E288" s="3" t="s">
        <v>2781</v>
      </c>
      <c r="F288" s="3" t="s">
        <v>2106</v>
      </c>
      <c r="G288" s="3" t="s">
        <v>2783</v>
      </c>
      <c r="H288" s="3" t="s">
        <v>2784</v>
      </c>
      <c r="I288" s="3" t="s">
        <v>46</v>
      </c>
      <c r="J288" s="3" t="s">
        <v>47</v>
      </c>
      <c r="K288" s="3" t="s">
        <v>2497</v>
      </c>
      <c r="L288" s="3" t="s">
        <v>111</v>
      </c>
      <c r="M288" s="9" t="str">
        <f>HYPERLINK("http://www.lastmade.com", "www.lastmade.com")</f>
        <v>www.lastmade.com</v>
      </c>
      <c r="N288" s="3" t="s">
        <v>210</v>
      </c>
      <c r="O288" s="3" t="s">
        <v>42</v>
      </c>
      <c r="P288" s="3" t="s">
        <v>2785</v>
      </c>
      <c r="Q288" s="3" t="s">
        <v>42</v>
      </c>
      <c r="R288" s="17" t="s">
        <v>42</v>
      </c>
      <c r="S288" s="17">
        <v>1</v>
      </c>
      <c r="T288" s="17">
        <v>1</v>
      </c>
      <c r="U288" s="17" t="s">
        <v>42</v>
      </c>
      <c r="V288" s="17" t="s">
        <v>42</v>
      </c>
      <c r="W288" s="5" t="s">
        <v>2499</v>
      </c>
      <c r="X288" s="3" t="s">
        <v>2786</v>
      </c>
      <c r="Y288" s="3" t="s">
        <v>42</v>
      </c>
      <c r="Z288" s="3" t="s">
        <v>55</v>
      </c>
      <c r="AA288" s="3" t="s">
        <v>2500</v>
      </c>
      <c r="AB288" s="3" t="s">
        <v>42</v>
      </c>
      <c r="AC288" s="3" t="s">
        <v>58</v>
      </c>
      <c r="AD288" s="3" t="s">
        <v>42</v>
      </c>
      <c r="AE288" s="5" t="s">
        <v>2501</v>
      </c>
      <c r="AF288" s="3" t="s">
        <v>60</v>
      </c>
      <c r="AG288" s="5" t="s">
        <v>42</v>
      </c>
      <c r="AH288" s="3" t="s">
        <v>61</v>
      </c>
      <c r="AI288" s="3" t="s">
        <v>61</v>
      </c>
      <c r="AJ288" s="3" t="s">
        <v>42</v>
      </c>
      <c r="AK288" s="3" t="s">
        <v>42</v>
      </c>
      <c r="AL288" s="29">
        <v>45925</v>
      </c>
      <c r="AM288" s="5" t="s">
        <v>42</v>
      </c>
      <c r="AN288" s="9" t="str">
        <f>HYPERLINK("https://my.pitchbook.com?p=466480-27P", "View People Online")</f>
        <v>View People Online</v>
      </c>
    </row>
    <row r="289" spans="1:40" x14ac:dyDescent="0.2">
      <c r="A289" s="2" t="s">
        <v>2787</v>
      </c>
      <c r="B289" s="2" t="s">
        <v>2788</v>
      </c>
      <c r="C289" s="2" t="s">
        <v>42</v>
      </c>
      <c r="D289" s="2" t="s">
        <v>42</v>
      </c>
      <c r="E289" s="2" t="s">
        <v>2787</v>
      </c>
      <c r="F289" s="2" t="s">
        <v>2789</v>
      </c>
      <c r="G289" s="2" t="s">
        <v>2783</v>
      </c>
      <c r="H289" s="2" t="s">
        <v>2790</v>
      </c>
      <c r="I289" s="2" t="s">
        <v>46</v>
      </c>
      <c r="J289" s="2" t="s">
        <v>47</v>
      </c>
      <c r="K289" s="2" t="s">
        <v>2791</v>
      </c>
      <c r="L289" s="2" t="s">
        <v>111</v>
      </c>
      <c r="M289" s="8" t="str">
        <f>HYPERLINK("http://ioudstore.com", "ioudstore.com")</f>
        <v>ioudstore.com</v>
      </c>
      <c r="N289" s="2" t="s">
        <v>210</v>
      </c>
      <c r="O289" s="2" t="s">
        <v>42</v>
      </c>
      <c r="P289" s="2" t="s">
        <v>2792</v>
      </c>
      <c r="Q289" s="2" t="s">
        <v>42</v>
      </c>
      <c r="R289" s="16" t="s">
        <v>42</v>
      </c>
      <c r="S289" s="16">
        <v>1</v>
      </c>
      <c r="T289" s="16">
        <v>1</v>
      </c>
      <c r="U289" s="16" t="s">
        <v>42</v>
      </c>
      <c r="V289" s="16" t="s">
        <v>42</v>
      </c>
      <c r="W289" s="4" t="s">
        <v>2793</v>
      </c>
      <c r="X289" s="2" t="s">
        <v>2794</v>
      </c>
      <c r="Y289" s="8" t="str">
        <f>HYPERLINK("http://linkedin.com/in/bdulaimi/", "http://linkedin.com/in/bdulaimi/")</f>
        <v>http://linkedin.com/in/bdulaimi/</v>
      </c>
      <c r="Z289" s="2" t="s">
        <v>55</v>
      </c>
      <c r="AA289" s="2" t="s">
        <v>2795</v>
      </c>
      <c r="AB289" s="2" t="s">
        <v>2796</v>
      </c>
      <c r="AC289" s="2" t="s">
        <v>58</v>
      </c>
      <c r="AD289" s="2" t="s">
        <v>42</v>
      </c>
      <c r="AE289" s="4" t="s">
        <v>2198</v>
      </c>
      <c r="AF289" s="2" t="s">
        <v>60</v>
      </c>
      <c r="AG289" s="4" t="s">
        <v>42</v>
      </c>
      <c r="AH289" s="2" t="s">
        <v>61</v>
      </c>
      <c r="AI289" s="2" t="s">
        <v>61</v>
      </c>
      <c r="AJ289" s="2" t="s">
        <v>42</v>
      </c>
      <c r="AK289" s="2" t="s">
        <v>42</v>
      </c>
      <c r="AL289" s="28">
        <v>45820</v>
      </c>
      <c r="AM289" s="4" t="s">
        <v>42</v>
      </c>
      <c r="AN289" s="8" t="str">
        <f>HYPERLINK("https://my.pitchbook.com?p=358619-23P", "View People Online")</f>
        <v>View People Online</v>
      </c>
    </row>
    <row r="290" spans="1:40" x14ac:dyDescent="0.2">
      <c r="A290" s="3" t="s">
        <v>2797</v>
      </c>
      <c r="B290" s="3" t="s">
        <v>2798</v>
      </c>
      <c r="C290" s="3" t="s">
        <v>42</v>
      </c>
      <c r="D290" s="3" t="s">
        <v>42</v>
      </c>
      <c r="E290" s="3" t="s">
        <v>2797</v>
      </c>
      <c r="F290" s="3" t="s">
        <v>2799</v>
      </c>
      <c r="G290" s="3" t="s">
        <v>2783</v>
      </c>
      <c r="H290" s="3" t="s">
        <v>2800</v>
      </c>
      <c r="I290" s="3" t="s">
        <v>196</v>
      </c>
      <c r="J290" s="3" t="s">
        <v>47</v>
      </c>
      <c r="K290" s="3" t="s">
        <v>2801</v>
      </c>
      <c r="L290" s="3" t="s">
        <v>111</v>
      </c>
      <c r="M290" s="9" t="str">
        <f>HYPERLINK("http://www.arabiancement.com.sa", "www.arabiancement.com.sa")</f>
        <v>www.arabiancement.com.sa</v>
      </c>
      <c r="N290" s="3" t="s">
        <v>210</v>
      </c>
      <c r="O290" s="3" t="s">
        <v>42</v>
      </c>
      <c r="P290" s="3" t="s">
        <v>2802</v>
      </c>
      <c r="Q290" s="3" t="s">
        <v>42</v>
      </c>
      <c r="R290" s="17" t="s">
        <v>42</v>
      </c>
      <c r="S290" s="17">
        <v>1</v>
      </c>
      <c r="T290" s="17">
        <v>1</v>
      </c>
      <c r="U290" s="17" t="s">
        <v>42</v>
      </c>
      <c r="V290" s="17" t="s">
        <v>42</v>
      </c>
      <c r="W290" s="5" t="s">
        <v>2803</v>
      </c>
      <c r="X290" s="3" t="s">
        <v>2804</v>
      </c>
      <c r="Y290" s="9" t="str">
        <f>HYPERLINK("http://sa.linkedin.com/in/dr-badr-o-johar-a8939aa1", "http://sa.linkedin.com/in/dr-badr-o-johar-a8939aa1")</f>
        <v>http://sa.linkedin.com/in/dr-badr-o-johar-a8939aa1</v>
      </c>
      <c r="Z290" s="3" t="s">
        <v>174</v>
      </c>
      <c r="AA290" s="3" t="s">
        <v>2805</v>
      </c>
      <c r="AB290" s="3" t="s">
        <v>42</v>
      </c>
      <c r="AC290" s="3" t="s">
        <v>176</v>
      </c>
      <c r="AD290" s="3" t="s">
        <v>42</v>
      </c>
      <c r="AE290" s="5" t="s">
        <v>2806</v>
      </c>
      <c r="AF290" s="3" t="s">
        <v>60</v>
      </c>
      <c r="AG290" s="5" t="s">
        <v>2807</v>
      </c>
      <c r="AH290" s="3" t="s">
        <v>61</v>
      </c>
      <c r="AI290" s="3" t="s">
        <v>61</v>
      </c>
      <c r="AJ290" s="3" t="s">
        <v>42</v>
      </c>
      <c r="AK290" s="3" t="s">
        <v>42</v>
      </c>
      <c r="AL290" s="29">
        <v>45875</v>
      </c>
      <c r="AM290" s="5" t="s">
        <v>42</v>
      </c>
      <c r="AN290" s="9" t="str">
        <f>HYPERLINK("https://my.pitchbook.com?p=386728-30P", "View People Online")</f>
        <v>View People Online</v>
      </c>
    </row>
    <row r="291" spans="1:40" x14ac:dyDescent="0.2">
      <c r="A291" s="2" t="s">
        <v>2808</v>
      </c>
      <c r="B291" s="2" t="s">
        <v>2809</v>
      </c>
      <c r="C291" s="2" t="s">
        <v>42</v>
      </c>
      <c r="D291" s="2" t="s">
        <v>42</v>
      </c>
      <c r="E291" s="2" t="s">
        <v>2808</v>
      </c>
      <c r="F291" s="2" t="s">
        <v>2810</v>
      </c>
      <c r="G291" s="2" t="s">
        <v>2811</v>
      </c>
      <c r="H291" s="2" t="s">
        <v>2812</v>
      </c>
      <c r="I291" s="2" t="s">
        <v>46</v>
      </c>
      <c r="J291" s="2" t="s">
        <v>47</v>
      </c>
      <c r="K291" s="2" t="s">
        <v>675</v>
      </c>
      <c r="L291" s="2" t="s">
        <v>111</v>
      </c>
      <c r="M291" s="8" t="str">
        <f>HYPERLINK("http://www.riyadh-cables.com", "www.riyadh-cables.com")</f>
        <v>www.riyadh-cables.com</v>
      </c>
      <c r="N291" s="2" t="s">
        <v>2813</v>
      </c>
      <c r="O291" s="2" t="s">
        <v>42</v>
      </c>
      <c r="P291" s="2" t="s">
        <v>2814</v>
      </c>
      <c r="Q291" s="2" t="s">
        <v>42</v>
      </c>
      <c r="R291" s="16" t="s">
        <v>42</v>
      </c>
      <c r="S291" s="16">
        <v>1</v>
      </c>
      <c r="T291" s="16">
        <v>1</v>
      </c>
      <c r="U291" s="16" t="s">
        <v>42</v>
      </c>
      <c r="V291" s="16" t="s">
        <v>42</v>
      </c>
      <c r="W291" s="4" t="s">
        <v>678</v>
      </c>
      <c r="X291" s="2" t="s">
        <v>2815</v>
      </c>
      <c r="Y291" s="8" t="str">
        <f>HYPERLINK("http://linkedin.com/in/baha-eissa-4667806/", "http://linkedin.com/in/baha-eissa-4667806/")</f>
        <v>http://linkedin.com/in/baha-eissa-4667806/</v>
      </c>
      <c r="Z291" s="2" t="s">
        <v>55</v>
      </c>
      <c r="AA291" s="2" t="s">
        <v>680</v>
      </c>
      <c r="AB291" s="2" t="s">
        <v>681</v>
      </c>
      <c r="AC291" s="2" t="s">
        <v>58</v>
      </c>
      <c r="AD291" s="2" t="s">
        <v>42</v>
      </c>
      <c r="AE291" s="4" t="s">
        <v>682</v>
      </c>
      <c r="AF291" s="2" t="s">
        <v>60</v>
      </c>
      <c r="AG291" s="4" t="s">
        <v>42</v>
      </c>
      <c r="AH291" s="2" t="s">
        <v>61</v>
      </c>
      <c r="AI291" s="2" t="s">
        <v>61</v>
      </c>
      <c r="AJ291" s="2" t="s">
        <v>42</v>
      </c>
      <c r="AK291" s="2" t="s">
        <v>42</v>
      </c>
      <c r="AL291" s="28">
        <v>45992</v>
      </c>
      <c r="AM291" s="4" t="s">
        <v>42</v>
      </c>
      <c r="AN291" s="8" t="str">
        <f>HYPERLINK("https://my.pitchbook.com?p=328615-93P", "View People Online")</f>
        <v>View People Online</v>
      </c>
    </row>
    <row r="292" spans="1:40" x14ac:dyDescent="0.2">
      <c r="A292" s="3" t="s">
        <v>2816</v>
      </c>
      <c r="B292" s="3" t="s">
        <v>2817</v>
      </c>
      <c r="C292" s="3" t="s">
        <v>42</v>
      </c>
      <c r="D292" s="3" t="s">
        <v>42</v>
      </c>
      <c r="E292" s="3" t="s">
        <v>2816</v>
      </c>
      <c r="F292" s="3" t="s">
        <v>2818</v>
      </c>
      <c r="G292" s="3" t="s">
        <v>2819</v>
      </c>
      <c r="H292" s="3" t="s">
        <v>284</v>
      </c>
      <c r="I292" s="3" t="s">
        <v>42</v>
      </c>
      <c r="J292" s="3" t="s">
        <v>47</v>
      </c>
      <c r="K292" s="3" t="s">
        <v>2820</v>
      </c>
      <c r="L292" s="3" t="s">
        <v>111</v>
      </c>
      <c r="M292" s="9" t="str">
        <f>HYPERLINK("http://www.nayifat.com", "www.nayifat.com")</f>
        <v>www.nayifat.com</v>
      </c>
      <c r="N292" s="3" t="s">
        <v>112</v>
      </c>
      <c r="O292" s="3" t="s">
        <v>42</v>
      </c>
      <c r="P292" s="3" t="s">
        <v>2821</v>
      </c>
      <c r="Q292" s="3" t="s">
        <v>42</v>
      </c>
      <c r="R292" s="17">
        <v>1</v>
      </c>
      <c r="S292" s="17">
        <v>1</v>
      </c>
      <c r="T292" s="17">
        <v>1</v>
      </c>
      <c r="U292" s="17" t="s">
        <v>42</v>
      </c>
      <c r="V292" s="17" t="s">
        <v>42</v>
      </c>
      <c r="W292" s="5" t="s">
        <v>2822</v>
      </c>
      <c r="X292" s="3" t="s">
        <v>42</v>
      </c>
      <c r="Y292" s="3" t="s">
        <v>42</v>
      </c>
      <c r="Z292" s="3" t="s">
        <v>55</v>
      </c>
      <c r="AA292" s="3" t="s">
        <v>2823</v>
      </c>
      <c r="AB292" s="3" t="s">
        <v>2824</v>
      </c>
      <c r="AC292" s="3" t="s">
        <v>58</v>
      </c>
      <c r="AD292" s="3" t="s">
        <v>42</v>
      </c>
      <c r="AE292" s="5" t="s">
        <v>2825</v>
      </c>
      <c r="AF292" s="3" t="s">
        <v>60</v>
      </c>
      <c r="AG292" s="5" t="s">
        <v>42</v>
      </c>
      <c r="AH292" s="3" t="s">
        <v>61</v>
      </c>
      <c r="AI292" s="3" t="s">
        <v>61</v>
      </c>
      <c r="AJ292" s="3" t="s">
        <v>42</v>
      </c>
      <c r="AK292" s="3" t="s">
        <v>42</v>
      </c>
      <c r="AL292" s="29">
        <v>45868</v>
      </c>
      <c r="AM292" s="5" t="s">
        <v>42</v>
      </c>
      <c r="AN292" s="9" t="str">
        <f>HYPERLINK("https://my.pitchbook.com?p=393396-85P", "View People Online")</f>
        <v>View People Online</v>
      </c>
    </row>
    <row r="293" spans="1:40" x14ac:dyDescent="0.2">
      <c r="A293" s="2" t="s">
        <v>2826</v>
      </c>
      <c r="B293" s="2" t="s">
        <v>2827</v>
      </c>
      <c r="C293" s="2" t="s">
        <v>42</v>
      </c>
      <c r="D293" s="2" t="s">
        <v>42</v>
      </c>
      <c r="E293" s="2" t="s">
        <v>2826</v>
      </c>
      <c r="F293" s="2" t="s">
        <v>2828</v>
      </c>
      <c r="G293" s="2" t="s">
        <v>2819</v>
      </c>
      <c r="H293" s="2" t="s">
        <v>195</v>
      </c>
      <c r="I293" s="2" t="s">
        <v>46</v>
      </c>
      <c r="J293" s="2" t="s">
        <v>47</v>
      </c>
      <c r="K293" s="2" t="s">
        <v>834</v>
      </c>
      <c r="L293" s="2" t="s">
        <v>111</v>
      </c>
      <c r="M293" s="8" t="str">
        <f>HYPERLINK("http://www.sgp.com.sa", "www.sgp.com.sa")</f>
        <v>www.sgp.com.sa</v>
      </c>
      <c r="N293" s="2" t="s">
        <v>210</v>
      </c>
      <c r="O293" s="2" t="s">
        <v>42</v>
      </c>
      <c r="P293" s="2" t="s">
        <v>2829</v>
      </c>
      <c r="Q293" s="2" t="s">
        <v>42</v>
      </c>
      <c r="R293" s="16" t="s">
        <v>42</v>
      </c>
      <c r="S293" s="16">
        <v>1</v>
      </c>
      <c r="T293" s="16">
        <v>1</v>
      </c>
      <c r="U293" s="16" t="s">
        <v>42</v>
      </c>
      <c r="V293" s="16" t="s">
        <v>42</v>
      </c>
      <c r="W293" s="4" t="s">
        <v>836</v>
      </c>
      <c r="X293" s="2" t="s">
        <v>42</v>
      </c>
      <c r="Y293" s="2" t="s">
        <v>42</v>
      </c>
      <c r="Z293" s="2" t="s">
        <v>55</v>
      </c>
      <c r="AA293" s="2" t="s">
        <v>837</v>
      </c>
      <c r="AB293" s="2" t="s">
        <v>838</v>
      </c>
      <c r="AC293" s="2" t="s">
        <v>58</v>
      </c>
      <c r="AD293" s="2" t="s">
        <v>42</v>
      </c>
      <c r="AE293" s="4" t="s">
        <v>42</v>
      </c>
      <c r="AF293" s="2" t="s">
        <v>60</v>
      </c>
      <c r="AG293" s="4" t="s">
        <v>836</v>
      </c>
      <c r="AH293" s="2" t="s">
        <v>61</v>
      </c>
      <c r="AI293" s="2" t="s">
        <v>61</v>
      </c>
      <c r="AJ293" s="2" t="s">
        <v>42</v>
      </c>
      <c r="AK293" s="2" t="s">
        <v>42</v>
      </c>
      <c r="AL293" s="28">
        <v>45643</v>
      </c>
      <c r="AM293" s="4" t="s">
        <v>42</v>
      </c>
      <c r="AN293" s="8" t="str">
        <f>HYPERLINK("https://my.pitchbook.com?p=328976-47P", "View People Online")</f>
        <v>View People Online</v>
      </c>
    </row>
    <row r="294" spans="1:40" x14ac:dyDescent="0.2">
      <c r="A294" s="3" t="s">
        <v>2830</v>
      </c>
      <c r="B294" s="3" t="s">
        <v>2831</v>
      </c>
      <c r="C294" s="3" t="s">
        <v>42</v>
      </c>
      <c r="D294" s="3" t="s">
        <v>42</v>
      </c>
      <c r="E294" s="3" t="s">
        <v>2830</v>
      </c>
      <c r="F294" s="3" t="s">
        <v>1580</v>
      </c>
      <c r="G294" s="3" t="s">
        <v>2832</v>
      </c>
      <c r="H294" s="3" t="s">
        <v>42</v>
      </c>
      <c r="I294" s="3" t="s">
        <v>46</v>
      </c>
      <c r="J294" s="3" t="s">
        <v>47</v>
      </c>
      <c r="K294" s="3" t="s">
        <v>2833</v>
      </c>
      <c r="L294" s="3" t="s">
        <v>111</v>
      </c>
      <c r="M294" s="9" t="str">
        <f>HYPERLINK("http://www.shlfinance.com", "www.shlfinance.com")</f>
        <v>www.shlfinance.com</v>
      </c>
      <c r="N294" s="3" t="s">
        <v>210</v>
      </c>
      <c r="O294" s="3" t="s">
        <v>42</v>
      </c>
      <c r="P294" s="3" t="s">
        <v>2834</v>
      </c>
      <c r="Q294" s="3" t="s">
        <v>42</v>
      </c>
      <c r="R294" s="17" t="s">
        <v>42</v>
      </c>
      <c r="S294" s="17">
        <v>1</v>
      </c>
      <c r="T294" s="17">
        <v>1</v>
      </c>
      <c r="U294" s="17" t="s">
        <v>42</v>
      </c>
      <c r="V294" s="17" t="s">
        <v>42</v>
      </c>
      <c r="W294" s="5" t="s">
        <v>2835</v>
      </c>
      <c r="X294" s="3" t="s">
        <v>2836</v>
      </c>
      <c r="Y294" s="3" t="s">
        <v>42</v>
      </c>
      <c r="Z294" s="3" t="s">
        <v>55</v>
      </c>
      <c r="AA294" s="3" t="s">
        <v>2837</v>
      </c>
      <c r="AB294" s="3" t="s">
        <v>2838</v>
      </c>
      <c r="AC294" s="3" t="s">
        <v>58</v>
      </c>
      <c r="AD294" s="3" t="s">
        <v>42</v>
      </c>
      <c r="AE294" s="5" t="s">
        <v>2825</v>
      </c>
      <c r="AF294" s="3" t="s">
        <v>60</v>
      </c>
      <c r="AG294" s="5" t="s">
        <v>2839</v>
      </c>
      <c r="AH294" s="3" t="s">
        <v>61</v>
      </c>
      <c r="AI294" s="3" t="s">
        <v>61</v>
      </c>
      <c r="AJ294" s="3" t="s">
        <v>42</v>
      </c>
      <c r="AK294" s="3" t="s">
        <v>42</v>
      </c>
      <c r="AL294" s="29">
        <v>45677</v>
      </c>
      <c r="AM294" s="5" t="s">
        <v>42</v>
      </c>
      <c r="AN294" s="9" t="str">
        <f>HYPERLINK("https://my.pitchbook.com?p=299557-27P", "View People Online")</f>
        <v>View People Online</v>
      </c>
    </row>
    <row r="295" spans="1:40" x14ac:dyDescent="0.2">
      <c r="A295" s="2" t="s">
        <v>2840</v>
      </c>
      <c r="B295" s="2" t="s">
        <v>2841</v>
      </c>
      <c r="C295" s="2" t="s">
        <v>42</v>
      </c>
      <c r="D295" s="2" t="s">
        <v>42</v>
      </c>
      <c r="E295" s="2" t="s">
        <v>2840</v>
      </c>
      <c r="F295" s="2" t="s">
        <v>2842</v>
      </c>
      <c r="G295" s="2" t="s">
        <v>2843</v>
      </c>
      <c r="H295" s="2" t="s">
        <v>2844</v>
      </c>
      <c r="I295" s="2" t="s">
        <v>46</v>
      </c>
      <c r="J295" s="2" t="s">
        <v>47</v>
      </c>
      <c r="K295" s="2" t="s">
        <v>2723</v>
      </c>
      <c r="L295" s="2" t="s">
        <v>111</v>
      </c>
      <c r="M295" s="8" t="str">
        <f>HYPERLINK("http://www.flynas.com", "www.flynas.com")</f>
        <v>www.flynas.com</v>
      </c>
      <c r="N295" s="2" t="s">
        <v>447</v>
      </c>
      <c r="O295" s="2" t="s">
        <v>42</v>
      </c>
      <c r="P295" s="2" t="s">
        <v>2845</v>
      </c>
      <c r="Q295" s="2" t="s">
        <v>2846</v>
      </c>
      <c r="R295" s="16" t="s">
        <v>42</v>
      </c>
      <c r="S295" s="16">
        <v>1</v>
      </c>
      <c r="T295" s="16">
        <v>1</v>
      </c>
      <c r="U295" s="16" t="s">
        <v>42</v>
      </c>
      <c r="V295" s="16" t="s">
        <v>42</v>
      </c>
      <c r="W295" s="4" t="s">
        <v>2725</v>
      </c>
      <c r="X295" s="2" t="s">
        <v>2847</v>
      </c>
      <c r="Y295" s="8" t="str">
        <f>HYPERLINK("http://linkedin.com/in/bander-almohanna-2ba37317", "http://linkedin.com/in/bander-almohanna-2ba37317")</f>
        <v>http://linkedin.com/in/bander-almohanna-2ba37317</v>
      </c>
      <c r="Z295" s="2" t="s">
        <v>55</v>
      </c>
      <c r="AA295" s="2" t="s">
        <v>2726</v>
      </c>
      <c r="AB295" s="2" t="s">
        <v>692</v>
      </c>
      <c r="AC295" s="2" t="s">
        <v>58</v>
      </c>
      <c r="AD295" s="2" t="s">
        <v>42</v>
      </c>
      <c r="AE295" s="4" t="s">
        <v>2727</v>
      </c>
      <c r="AF295" s="2" t="s">
        <v>60</v>
      </c>
      <c r="AG295" s="4" t="s">
        <v>42</v>
      </c>
      <c r="AH295" s="2" t="s">
        <v>61</v>
      </c>
      <c r="AI295" s="2" t="s">
        <v>61</v>
      </c>
      <c r="AJ295" s="2" t="s">
        <v>42</v>
      </c>
      <c r="AK295" s="2" t="s">
        <v>42</v>
      </c>
      <c r="AL295" s="28">
        <v>45790</v>
      </c>
      <c r="AM295" s="4" t="s">
        <v>42</v>
      </c>
      <c r="AN295" s="8" t="str">
        <f>HYPERLINK("https://my.pitchbook.com?p=144075-79P", "View People Online")</f>
        <v>View People Online</v>
      </c>
    </row>
    <row r="296" spans="1:40" x14ac:dyDescent="0.2">
      <c r="A296" s="3" t="s">
        <v>2848</v>
      </c>
      <c r="B296" s="3" t="s">
        <v>2849</v>
      </c>
      <c r="C296" s="3" t="s">
        <v>42</v>
      </c>
      <c r="D296" s="3" t="s">
        <v>42</v>
      </c>
      <c r="E296" s="3" t="s">
        <v>2848</v>
      </c>
      <c r="F296" s="3" t="s">
        <v>2850</v>
      </c>
      <c r="G296" s="3" t="s">
        <v>2851</v>
      </c>
      <c r="H296" s="3" t="s">
        <v>42</v>
      </c>
      <c r="I296" s="3" t="s">
        <v>46</v>
      </c>
      <c r="J296" s="3" t="s">
        <v>47</v>
      </c>
      <c r="K296" s="3" t="s">
        <v>913</v>
      </c>
      <c r="L296" s="3" t="s">
        <v>111</v>
      </c>
      <c r="M296" s="9" t="str">
        <f>HYPERLINK("http://www.der3.com", "www.der3.com")</f>
        <v>www.der3.com</v>
      </c>
      <c r="N296" s="3" t="s">
        <v>2852</v>
      </c>
      <c r="O296" s="3" t="s">
        <v>42</v>
      </c>
      <c r="P296" s="3" t="s">
        <v>2853</v>
      </c>
      <c r="Q296" s="3" t="s">
        <v>2854</v>
      </c>
      <c r="R296" s="17" t="s">
        <v>42</v>
      </c>
      <c r="S296" s="17">
        <v>1</v>
      </c>
      <c r="T296" s="17">
        <v>1</v>
      </c>
      <c r="U296" s="17" t="s">
        <v>42</v>
      </c>
      <c r="V296" s="17" t="s">
        <v>42</v>
      </c>
      <c r="W296" s="5" t="s">
        <v>915</v>
      </c>
      <c r="X296" s="3" t="s">
        <v>42</v>
      </c>
      <c r="Y296" s="9" t="str">
        <f>HYPERLINK("http://linkedin.com/in/bassel-a-228642192/?originalsubdomain=sa", "http://linkedin.com/in/bassel-a-228642192/?originalsubdomain=sa")</f>
        <v>http://linkedin.com/in/bassel-a-228642192/?originalsubdomain=sa</v>
      </c>
      <c r="Z296" s="3" t="s">
        <v>55</v>
      </c>
      <c r="AA296" s="3" t="s">
        <v>916</v>
      </c>
      <c r="AB296" s="3" t="s">
        <v>917</v>
      </c>
      <c r="AC296" s="3" t="s">
        <v>58</v>
      </c>
      <c r="AD296" s="3" t="s">
        <v>42</v>
      </c>
      <c r="AE296" s="5" t="s">
        <v>918</v>
      </c>
      <c r="AF296" s="3" t="s">
        <v>60</v>
      </c>
      <c r="AG296" s="5" t="s">
        <v>919</v>
      </c>
      <c r="AH296" s="3" t="s">
        <v>61</v>
      </c>
      <c r="AI296" s="3" t="s">
        <v>61</v>
      </c>
      <c r="AJ296" s="3" t="s">
        <v>42</v>
      </c>
      <c r="AK296" s="3" t="s">
        <v>42</v>
      </c>
      <c r="AL296" s="29">
        <v>45328</v>
      </c>
      <c r="AM296" s="5" t="s">
        <v>42</v>
      </c>
      <c r="AN296" s="9" t="str">
        <f>HYPERLINK("https://my.pitchbook.com?p=339805-81P", "View People Online")</f>
        <v>View People Online</v>
      </c>
    </row>
    <row r="297" spans="1:40" x14ac:dyDescent="0.2">
      <c r="A297" s="2" t="s">
        <v>2855</v>
      </c>
      <c r="B297" s="2" t="s">
        <v>2856</v>
      </c>
      <c r="C297" s="2" t="s">
        <v>42</v>
      </c>
      <c r="D297" s="2" t="s">
        <v>42</v>
      </c>
      <c r="E297" s="2" t="s">
        <v>2855</v>
      </c>
      <c r="F297" s="2" t="s">
        <v>2857</v>
      </c>
      <c r="G297" s="2" t="s">
        <v>2851</v>
      </c>
      <c r="H297" s="2" t="s">
        <v>2858</v>
      </c>
      <c r="I297" s="2" t="s">
        <v>46</v>
      </c>
      <c r="J297" s="2" t="s">
        <v>47</v>
      </c>
      <c r="K297" s="2" t="s">
        <v>2859</v>
      </c>
      <c r="L297" s="2" t="s">
        <v>111</v>
      </c>
      <c r="M297" s="8" t="str">
        <f>HYPERLINK("http://alkathiriholding.com", "alkathiriholding.com")</f>
        <v>alkathiriholding.com</v>
      </c>
      <c r="N297" s="2" t="s">
        <v>534</v>
      </c>
      <c r="O297" s="2" t="s">
        <v>42</v>
      </c>
      <c r="P297" s="2" t="s">
        <v>2860</v>
      </c>
      <c r="Q297" s="2" t="s">
        <v>42</v>
      </c>
      <c r="R297" s="16" t="s">
        <v>42</v>
      </c>
      <c r="S297" s="16">
        <v>1</v>
      </c>
      <c r="T297" s="16">
        <v>1</v>
      </c>
      <c r="U297" s="16" t="s">
        <v>42</v>
      </c>
      <c r="V297" s="16" t="s">
        <v>42</v>
      </c>
      <c r="W297" s="4" t="s">
        <v>2861</v>
      </c>
      <c r="X297" s="2" t="s">
        <v>2862</v>
      </c>
      <c r="Y297" s="2" t="s">
        <v>42</v>
      </c>
      <c r="Z297" s="2" t="s">
        <v>55</v>
      </c>
      <c r="AA297" s="2" t="s">
        <v>2863</v>
      </c>
      <c r="AB297" s="2" t="s">
        <v>2864</v>
      </c>
      <c r="AC297" s="2" t="s">
        <v>58</v>
      </c>
      <c r="AD297" s="2" t="s">
        <v>42</v>
      </c>
      <c r="AE297" s="4" t="s">
        <v>2865</v>
      </c>
      <c r="AF297" s="2" t="s">
        <v>60</v>
      </c>
      <c r="AG297" s="4" t="s">
        <v>42</v>
      </c>
      <c r="AH297" s="2" t="s">
        <v>61</v>
      </c>
      <c r="AI297" s="2" t="s">
        <v>61</v>
      </c>
      <c r="AJ297" s="2" t="s">
        <v>42</v>
      </c>
      <c r="AK297" s="2" t="s">
        <v>42</v>
      </c>
      <c r="AL297" s="28">
        <v>45673</v>
      </c>
      <c r="AM297" s="4" t="s">
        <v>42</v>
      </c>
      <c r="AN297" s="8" t="str">
        <f>HYPERLINK("https://my.pitchbook.com?p=327594-43P", "View People Online")</f>
        <v>View People Online</v>
      </c>
    </row>
    <row r="298" spans="1:40" x14ac:dyDescent="0.2">
      <c r="A298" s="3" t="s">
        <v>2866</v>
      </c>
      <c r="B298" s="3" t="s">
        <v>2867</v>
      </c>
      <c r="C298" s="3" t="s">
        <v>42</v>
      </c>
      <c r="D298" s="3" t="s">
        <v>42</v>
      </c>
      <c r="E298" s="3" t="s">
        <v>2866</v>
      </c>
      <c r="F298" s="3" t="s">
        <v>2868</v>
      </c>
      <c r="G298" s="3" t="s">
        <v>2869</v>
      </c>
      <c r="H298" s="3" t="s">
        <v>42</v>
      </c>
      <c r="I298" s="3" t="s">
        <v>46</v>
      </c>
      <c r="J298" s="3" t="s">
        <v>47</v>
      </c>
      <c r="K298" s="3" t="s">
        <v>2870</v>
      </c>
      <c r="L298" s="3" t="s">
        <v>111</v>
      </c>
      <c r="M298" s="9" t="str">
        <f>HYPERLINK("http://smc.com.sa", "smc.com.sa")</f>
        <v>smc.com.sa</v>
      </c>
      <c r="N298" s="3" t="s">
        <v>210</v>
      </c>
      <c r="O298" s="3" t="s">
        <v>42</v>
      </c>
      <c r="P298" s="3" t="s">
        <v>2871</v>
      </c>
      <c r="Q298" s="3" t="s">
        <v>42</v>
      </c>
      <c r="R298" s="17" t="s">
        <v>42</v>
      </c>
      <c r="S298" s="17">
        <v>1</v>
      </c>
      <c r="T298" s="17">
        <v>1</v>
      </c>
      <c r="U298" s="17" t="s">
        <v>42</v>
      </c>
      <c r="V298" s="17" t="s">
        <v>42</v>
      </c>
      <c r="W298" s="5" t="s">
        <v>2872</v>
      </c>
      <c r="X298" s="3" t="s">
        <v>2873</v>
      </c>
      <c r="Y298" s="9" t="str">
        <f>HYPERLINK("http://linkedin.com/in/bassam-chahine-20705227/", "http://linkedin.com/in/bassam-chahine-20705227/")</f>
        <v>http://linkedin.com/in/bassam-chahine-20705227/</v>
      </c>
      <c r="Z298" s="3" t="s">
        <v>55</v>
      </c>
      <c r="AA298" s="3" t="s">
        <v>2874</v>
      </c>
      <c r="AB298" s="3" t="s">
        <v>42</v>
      </c>
      <c r="AC298" s="3" t="s">
        <v>58</v>
      </c>
      <c r="AD298" s="3" t="s">
        <v>42</v>
      </c>
      <c r="AE298" s="5" t="s">
        <v>42</v>
      </c>
      <c r="AF298" s="3" t="s">
        <v>60</v>
      </c>
      <c r="AG298" s="5" t="s">
        <v>42</v>
      </c>
      <c r="AH298" s="3" t="s">
        <v>61</v>
      </c>
      <c r="AI298" s="3" t="s">
        <v>61</v>
      </c>
      <c r="AJ298" s="3" t="s">
        <v>42</v>
      </c>
      <c r="AK298" s="3" t="s">
        <v>42</v>
      </c>
      <c r="AL298" s="29">
        <v>45708</v>
      </c>
      <c r="AM298" s="5" t="s">
        <v>42</v>
      </c>
      <c r="AN298" s="9" t="str">
        <f>HYPERLINK("https://my.pitchbook.com?p=434751-85P", "View People Online")</f>
        <v>View People Online</v>
      </c>
    </row>
    <row r="299" spans="1:40" x14ac:dyDescent="0.2">
      <c r="A299" s="2" t="s">
        <v>2875</v>
      </c>
      <c r="B299" s="2" t="s">
        <v>2876</v>
      </c>
      <c r="C299" s="2" t="s">
        <v>42</v>
      </c>
      <c r="D299" s="2" t="s">
        <v>42</v>
      </c>
      <c r="E299" s="2" t="s">
        <v>2875</v>
      </c>
      <c r="F299" s="2" t="s">
        <v>2877</v>
      </c>
      <c r="G299" s="2" t="s">
        <v>2878</v>
      </c>
      <c r="H299" s="2" t="s">
        <v>42</v>
      </c>
      <c r="I299" s="2" t="s">
        <v>46</v>
      </c>
      <c r="J299" s="2" t="s">
        <v>47</v>
      </c>
      <c r="K299" s="2" t="s">
        <v>2879</v>
      </c>
      <c r="L299" s="2" t="s">
        <v>111</v>
      </c>
      <c r="M299" s="8" t="str">
        <f>HYPERLINK("http://www.adeer.com", "www.adeer.com")</f>
        <v>www.adeer.com</v>
      </c>
      <c r="N299" s="2" t="s">
        <v>210</v>
      </c>
      <c r="O299" s="2" t="s">
        <v>42</v>
      </c>
      <c r="P299" s="2" t="s">
        <v>2880</v>
      </c>
      <c r="Q299" s="2" t="s">
        <v>42</v>
      </c>
      <c r="R299" s="16" t="s">
        <v>42</v>
      </c>
      <c r="S299" s="16">
        <v>1</v>
      </c>
      <c r="T299" s="16">
        <v>1</v>
      </c>
      <c r="U299" s="16" t="s">
        <v>42</v>
      </c>
      <c r="V299" s="16" t="s">
        <v>42</v>
      </c>
      <c r="W299" s="4" t="s">
        <v>2881</v>
      </c>
      <c r="X299" s="2" t="s">
        <v>42</v>
      </c>
      <c r="Y299" s="8" t="str">
        <f>HYPERLINK("http://linkedin.com/in/bassel-el-serafy-93951b86/", "http://linkedin.com/in/bassel-el-serafy-93951b86/")</f>
        <v>http://linkedin.com/in/bassel-el-serafy-93951b86/</v>
      </c>
      <c r="Z299" s="2" t="s">
        <v>2882</v>
      </c>
      <c r="AA299" s="2" t="s">
        <v>2883</v>
      </c>
      <c r="AB299" s="2" t="s">
        <v>42</v>
      </c>
      <c r="AC299" s="2" t="s">
        <v>2884</v>
      </c>
      <c r="AD299" s="2" t="s">
        <v>42</v>
      </c>
      <c r="AE299" s="4" t="s">
        <v>42</v>
      </c>
      <c r="AF299" s="2" t="s">
        <v>60</v>
      </c>
      <c r="AG299" s="4" t="s">
        <v>42</v>
      </c>
      <c r="AH299" s="2" t="s">
        <v>61</v>
      </c>
      <c r="AI299" s="2" t="s">
        <v>61</v>
      </c>
      <c r="AJ299" s="2" t="s">
        <v>42</v>
      </c>
      <c r="AK299" s="2" t="s">
        <v>42</v>
      </c>
      <c r="AL299" s="28">
        <v>45764</v>
      </c>
      <c r="AM299" s="4" t="s">
        <v>42</v>
      </c>
      <c r="AN299" s="8" t="str">
        <f>HYPERLINK("https://my.pitchbook.com?p=441621-82P", "View People Online")</f>
        <v>View People Online</v>
      </c>
    </row>
    <row r="300" spans="1:40" x14ac:dyDescent="0.2">
      <c r="A300" s="3" t="s">
        <v>2885</v>
      </c>
      <c r="B300" s="3" t="s">
        <v>2886</v>
      </c>
      <c r="C300" s="3" t="s">
        <v>42</v>
      </c>
      <c r="D300" s="3" t="s">
        <v>42</v>
      </c>
      <c r="E300" s="3" t="s">
        <v>2885</v>
      </c>
      <c r="F300" s="3" t="s">
        <v>2887</v>
      </c>
      <c r="G300" s="3" t="s">
        <v>2888</v>
      </c>
      <c r="H300" s="3" t="s">
        <v>2889</v>
      </c>
      <c r="I300" s="3" t="s">
        <v>46</v>
      </c>
      <c r="J300" s="3" t="s">
        <v>47</v>
      </c>
      <c r="K300" s="3" t="s">
        <v>2890</v>
      </c>
      <c r="L300" s="3" t="s">
        <v>111</v>
      </c>
      <c r="M300" s="9" t="str">
        <f>HYPERLINK("http://www.miraldental.com", "www.miraldental.com")</f>
        <v>www.miraldental.com</v>
      </c>
      <c r="N300" s="3" t="s">
        <v>534</v>
      </c>
      <c r="O300" s="3" t="s">
        <v>42</v>
      </c>
      <c r="P300" s="3" t="s">
        <v>2891</v>
      </c>
      <c r="Q300" s="3" t="s">
        <v>42</v>
      </c>
      <c r="R300" s="17" t="s">
        <v>42</v>
      </c>
      <c r="S300" s="17">
        <v>1</v>
      </c>
      <c r="T300" s="17">
        <v>1</v>
      </c>
      <c r="U300" s="17" t="s">
        <v>42</v>
      </c>
      <c r="V300" s="17" t="s">
        <v>42</v>
      </c>
      <c r="W300" s="5" t="s">
        <v>42</v>
      </c>
      <c r="X300" s="3" t="s">
        <v>2892</v>
      </c>
      <c r="Y300" s="3" t="s">
        <v>42</v>
      </c>
      <c r="Z300" s="3" t="s">
        <v>55</v>
      </c>
      <c r="AA300" s="3" t="s">
        <v>2893</v>
      </c>
      <c r="AB300" s="3" t="s">
        <v>42</v>
      </c>
      <c r="AC300" s="3" t="s">
        <v>58</v>
      </c>
      <c r="AD300" s="3" t="s">
        <v>42</v>
      </c>
      <c r="AE300" s="5" t="s">
        <v>2894</v>
      </c>
      <c r="AF300" s="3" t="s">
        <v>60</v>
      </c>
      <c r="AG300" s="5" t="s">
        <v>2895</v>
      </c>
      <c r="AH300" s="3" t="s">
        <v>61</v>
      </c>
      <c r="AI300" s="3" t="s">
        <v>61</v>
      </c>
      <c r="AJ300" s="3" t="s">
        <v>42</v>
      </c>
      <c r="AK300" s="3" t="s">
        <v>42</v>
      </c>
      <c r="AL300" s="29">
        <v>45441</v>
      </c>
      <c r="AM300" s="5" t="s">
        <v>42</v>
      </c>
      <c r="AN300" s="9" t="str">
        <f>HYPERLINK("https://my.pitchbook.com?p=398789-29P", "View People Online")</f>
        <v>View People Online</v>
      </c>
    </row>
    <row r="301" spans="1:40" x14ac:dyDescent="0.2">
      <c r="A301" s="2" t="s">
        <v>2896</v>
      </c>
      <c r="B301" s="2" t="s">
        <v>2897</v>
      </c>
      <c r="C301" s="2" t="s">
        <v>42</v>
      </c>
      <c r="D301" s="2" t="s">
        <v>42</v>
      </c>
      <c r="E301" s="2" t="s">
        <v>2896</v>
      </c>
      <c r="F301" s="2" t="s">
        <v>2898</v>
      </c>
      <c r="G301" s="2" t="s">
        <v>2899</v>
      </c>
      <c r="H301" s="2" t="s">
        <v>42</v>
      </c>
      <c r="I301" s="2" t="s">
        <v>46</v>
      </c>
      <c r="J301" s="2" t="s">
        <v>47</v>
      </c>
      <c r="K301" s="2" t="s">
        <v>322</v>
      </c>
      <c r="L301" s="2" t="s">
        <v>323</v>
      </c>
      <c r="M301" s="8" t="str">
        <f>HYPERLINK("http://www.web.derayah.com", "www.web.derayah.com")</f>
        <v>www.web.derayah.com</v>
      </c>
      <c r="N301" s="2" t="s">
        <v>534</v>
      </c>
      <c r="O301" s="2" t="s">
        <v>42</v>
      </c>
      <c r="P301" s="2" t="s">
        <v>2900</v>
      </c>
      <c r="Q301" s="2" t="s">
        <v>2901</v>
      </c>
      <c r="R301" s="16" t="s">
        <v>42</v>
      </c>
      <c r="S301" s="16">
        <v>1</v>
      </c>
      <c r="T301" s="16">
        <v>1</v>
      </c>
      <c r="U301" s="16" t="s">
        <v>42</v>
      </c>
      <c r="V301" s="16" t="s">
        <v>42</v>
      </c>
      <c r="W301" s="4" t="s">
        <v>325</v>
      </c>
      <c r="X301" s="2" t="s">
        <v>2902</v>
      </c>
      <c r="Y301" s="8" t="str">
        <f>HYPERLINK("http://sa.linkedin.com/in/bilal-bushnaq-cpa-cma-68a74a20", "http://sa.linkedin.com/in/bilal-bushnaq-cpa-cma-68a74a20")</f>
        <v>http://sa.linkedin.com/in/bilal-bushnaq-cpa-cma-68a74a20</v>
      </c>
      <c r="Z301" s="2" t="s">
        <v>55</v>
      </c>
      <c r="AA301" s="2" t="s">
        <v>327</v>
      </c>
      <c r="AB301" s="2" t="s">
        <v>328</v>
      </c>
      <c r="AC301" s="2" t="s">
        <v>58</v>
      </c>
      <c r="AD301" s="2" t="s">
        <v>42</v>
      </c>
      <c r="AE301" s="4" t="s">
        <v>329</v>
      </c>
      <c r="AF301" s="2" t="s">
        <v>60</v>
      </c>
      <c r="AG301" s="4" t="s">
        <v>330</v>
      </c>
      <c r="AH301" s="2" t="s">
        <v>61</v>
      </c>
      <c r="AI301" s="2" t="s">
        <v>61</v>
      </c>
      <c r="AJ301" s="2" t="s">
        <v>42</v>
      </c>
      <c r="AK301" s="2" t="s">
        <v>42</v>
      </c>
      <c r="AL301" s="28">
        <v>45680</v>
      </c>
      <c r="AM301" s="4" t="s">
        <v>42</v>
      </c>
      <c r="AN301" s="8" t="str">
        <f>HYPERLINK("https://my.pitchbook.com?p=169115-41P", "View People Online")</f>
        <v>View People Online</v>
      </c>
    </row>
    <row r="302" spans="1:40" x14ac:dyDescent="0.2">
      <c r="A302" s="3" t="s">
        <v>2903</v>
      </c>
      <c r="B302" s="3" t="s">
        <v>2904</v>
      </c>
      <c r="C302" s="3" t="s">
        <v>42</v>
      </c>
      <c r="D302" s="3" t="s">
        <v>42</v>
      </c>
      <c r="E302" s="3" t="s">
        <v>2903</v>
      </c>
      <c r="F302" s="3" t="s">
        <v>2905</v>
      </c>
      <c r="G302" s="3" t="s">
        <v>2906</v>
      </c>
      <c r="H302" s="3" t="s">
        <v>42</v>
      </c>
      <c r="I302" s="3" t="s">
        <v>46</v>
      </c>
      <c r="J302" s="3" t="s">
        <v>47</v>
      </c>
      <c r="K302" s="3" t="s">
        <v>2483</v>
      </c>
      <c r="L302" s="3" t="s">
        <v>111</v>
      </c>
      <c r="M302" s="9" t="str">
        <f>HYPERLINK("http://centers.cenomi.com", "centers.cenomi.com")</f>
        <v>centers.cenomi.com</v>
      </c>
      <c r="N302" s="3" t="s">
        <v>370</v>
      </c>
      <c r="O302" s="3" t="s">
        <v>42</v>
      </c>
      <c r="P302" s="3" t="s">
        <v>2907</v>
      </c>
      <c r="Q302" s="3" t="s">
        <v>42</v>
      </c>
      <c r="R302" s="17" t="s">
        <v>42</v>
      </c>
      <c r="S302" s="17">
        <v>1</v>
      </c>
      <c r="T302" s="17">
        <v>1</v>
      </c>
      <c r="U302" s="17" t="s">
        <v>42</v>
      </c>
      <c r="V302" s="17" t="s">
        <v>42</v>
      </c>
      <c r="W302" s="5" t="s">
        <v>2486</v>
      </c>
      <c r="X302" s="3" t="s">
        <v>2908</v>
      </c>
      <c r="Y302" s="9" t="str">
        <f>HYPERLINK("http://linkedin.com/in/brunowehbe/?originalsubdomain=sa", "http://linkedin.com/in/brunowehbe/?originalsubdomain=sa")</f>
        <v>http://linkedin.com/in/brunowehbe/?originalsubdomain=sa</v>
      </c>
      <c r="Z302" s="3" t="s">
        <v>55</v>
      </c>
      <c r="AA302" s="3" t="s">
        <v>2487</v>
      </c>
      <c r="AB302" s="3" t="s">
        <v>42</v>
      </c>
      <c r="AC302" s="3" t="s">
        <v>58</v>
      </c>
      <c r="AD302" s="3" t="s">
        <v>42</v>
      </c>
      <c r="AE302" s="5" t="s">
        <v>646</v>
      </c>
      <c r="AF302" s="3" t="s">
        <v>60</v>
      </c>
      <c r="AG302" s="5" t="s">
        <v>42</v>
      </c>
      <c r="AH302" s="3" t="s">
        <v>61</v>
      </c>
      <c r="AI302" s="3" t="s">
        <v>61</v>
      </c>
      <c r="AJ302" s="3" t="s">
        <v>42</v>
      </c>
      <c r="AK302" s="3" t="s">
        <v>42</v>
      </c>
      <c r="AL302" s="29">
        <v>45726</v>
      </c>
      <c r="AM302" s="5" t="s">
        <v>42</v>
      </c>
      <c r="AN302" s="9" t="str">
        <f>HYPERLINK("https://my.pitchbook.com?p=437327-65P", "View People Online")</f>
        <v>View People Online</v>
      </c>
    </row>
    <row r="303" spans="1:40" x14ac:dyDescent="0.2">
      <c r="A303" s="2" t="s">
        <v>2909</v>
      </c>
      <c r="B303" s="2" t="s">
        <v>2910</v>
      </c>
      <c r="C303" s="2" t="s">
        <v>42</v>
      </c>
      <c r="D303" s="2" t="s">
        <v>42</v>
      </c>
      <c r="E303" s="2" t="s">
        <v>2909</v>
      </c>
      <c r="F303" s="2" t="s">
        <v>2911</v>
      </c>
      <c r="G303" s="2" t="s">
        <v>2912</v>
      </c>
      <c r="H303" s="2" t="s">
        <v>2913</v>
      </c>
      <c r="I303" s="2" t="s">
        <v>46</v>
      </c>
      <c r="J303" s="2" t="s">
        <v>47</v>
      </c>
      <c r="K303" s="2" t="s">
        <v>2914</v>
      </c>
      <c r="L303" s="2" t="s">
        <v>111</v>
      </c>
      <c r="M303" s="8" t="str">
        <f>HYPERLINK("http://www.naaspetrol.com", "www.naaspetrol.com")</f>
        <v>www.naaspetrol.com</v>
      </c>
      <c r="N303" s="2" t="s">
        <v>210</v>
      </c>
      <c r="O303" s="2" t="s">
        <v>42</v>
      </c>
      <c r="P303" s="2" t="s">
        <v>2915</v>
      </c>
      <c r="Q303" s="2" t="s">
        <v>42</v>
      </c>
      <c r="R303" s="16" t="s">
        <v>42</v>
      </c>
      <c r="S303" s="16">
        <v>1</v>
      </c>
      <c r="T303" s="16">
        <v>1</v>
      </c>
      <c r="U303" s="16" t="s">
        <v>42</v>
      </c>
      <c r="V303" s="16" t="s">
        <v>42</v>
      </c>
      <c r="W303" s="4" t="s">
        <v>2916</v>
      </c>
      <c r="X303" s="2" t="s">
        <v>2917</v>
      </c>
      <c r="Y303" s="2" t="s">
        <v>42</v>
      </c>
      <c r="Z303" s="2" t="s">
        <v>55</v>
      </c>
      <c r="AA303" s="2" t="s">
        <v>1114</v>
      </c>
      <c r="AB303" s="2" t="s">
        <v>42</v>
      </c>
      <c r="AC303" s="2" t="s">
        <v>58</v>
      </c>
      <c r="AD303" s="2" t="s">
        <v>42</v>
      </c>
      <c r="AE303" s="4" t="s">
        <v>42</v>
      </c>
      <c r="AF303" s="2" t="s">
        <v>60</v>
      </c>
      <c r="AG303" s="4" t="s">
        <v>42</v>
      </c>
      <c r="AH303" s="2" t="s">
        <v>61</v>
      </c>
      <c r="AI303" s="2" t="s">
        <v>61</v>
      </c>
      <c r="AJ303" s="2" t="s">
        <v>42</v>
      </c>
      <c r="AK303" s="2" t="s">
        <v>42</v>
      </c>
      <c r="AL303" s="28">
        <v>45756</v>
      </c>
      <c r="AM303" s="4" t="s">
        <v>42</v>
      </c>
      <c r="AN303" s="8" t="str">
        <f>HYPERLINK("https://my.pitchbook.com?p=412343-20P", "View People Online")</f>
        <v>View People Online</v>
      </c>
    </row>
    <row r="304" spans="1:40" x14ac:dyDescent="0.2">
      <c r="A304" s="3" t="s">
        <v>2918</v>
      </c>
      <c r="B304" s="3" t="s">
        <v>2919</v>
      </c>
      <c r="C304" s="3" t="s">
        <v>42</v>
      </c>
      <c r="D304" s="3" t="s">
        <v>42</v>
      </c>
      <c r="E304" s="3" t="s">
        <v>2918</v>
      </c>
      <c r="F304" s="3" t="s">
        <v>2920</v>
      </c>
      <c r="G304" s="3" t="s">
        <v>2921</v>
      </c>
      <c r="H304" s="3" t="s">
        <v>2922</v>
      </c>
      <c r="I304" s="3" t="s">
        <v>46</v>
      </c>
      <c r="J304" s="3" t="s">
        <v>47</v>
      </c>
      <c r="K304" s="3" t="s">
        <v>2923</v>
      </c>
      <c r="L304" s="3" t="s">
        <v>111</v>
      </c>
      <c r="M304" s="9" t="str">
        <f>HYPERLINK("http://www.amak.com.sa", "www.amak.com.sa")</f>
        <v>www.amak.com.sa</v>
      </c>
      <c r="N304" s="3" t="s">
        <v>2039</v>
      </c>
      <c r="O304" s="3" t="s">
        <v>42</v>
      </c>
      <c r="P304" s="3" t="s">
        <v>2924</v>
      </c>
      <c r="Q304" s="3" t="s">
        <v>42</v>
      </c>
      <c r="R304" s="17" t="s">
        <v>42</v>
      </c>
      <c r="S304" s="17">
        <v>1</v>
      </c>
      <c r="T304" s="17">
        <v>1</v>
      </c>
      <c r="U304" s="17" t="s">
        <v>42</v>
      </c>
      <c r="V304" s="17" t="s">
        <v>42</v>
      </c>
      <c r="W304" s="5" t="s">
        <v>2925</v>
      </c>
      <c r="X304" s="3" t="s">
        <v>2926</v>
      </c>
      <c r="Y304" s="3" t="s">
        <v>42</v>
      </c>
      <c r="Z304" s="3" t="s">
        <v>1168</v>
      </c>
      <c r="AA304" s="3" t="s">
        <v>2927</v>
      </c>
      <c r="AB304" s="3" t="s">
        <v>2928</v>
      </c>
      <c r="AC304" s="3" t="s">
        <v>1171</v>
      </c>
      <c r="AD304" s="3" t="s">
        <v>42</v>
      </c>
      <c r="AE304" s="5" t="s">
        <v>2929</v>
      </c>
      <c r="AF304" s="3" t="s">
        <v>60</v>
      </c>
      <c r="AG304" s="5" t="s">
        <v>2930</v>
      </c>
      <c r="AH304" s="3" t="s">
        <v>61</v>
      </c>
      <c r="AI304" s="3" t="s">
        <v>61</v>
      </c>
      <c r="AJ304" s="3" t="s">
        <v>42</v>
      </c>
      <c r="AK304" s="3" t="s">
        <v>42</v>
      </c>
      <c r="AL304" s="29">
        <v>45952</v>
      </c>
      <c r="AM304" s="5" t="s">
        <v>42</v>
      </c>
      <c r="AN304" s="9" t="str">
        <f>HYPERLINK("https://my.pitchbook.com?p=379819-99P", "View People Online")</f>
        <v>View People Online</v>
      </c>
    </row>
    <row r="305" spans="1:40" x14ac:dyDescent="0.2">
      <c r="A305" s="2" t="s">
        <v>2931</v>
      </c>
      <c r="B305" s="2" t="s">
        <v>2932</v>
      </c>
      <c r="C305" s="2" t="s">
        <v>42</v>
      </c>
      <c r="D305" s="2" t="s">
        <v>42</v>
      </c>
      <c r="E305" s="2" t="s">
        <v>2931</v>
      </c>
      <c r="F305" s="2" t="s">
        <v>2933</v>
      </c>
      <c r="G305" s="2" t="s">
        <v>2934</v>
      </c>
      <c r="H305" s="2" t="s">
        <v>66</v>
      </c>
      <c r="I305" s="2" t="s">
        <v>46</v>
      </c>
      <c r="J305" s="2" t="s">
        <v>47</v>
      </c>
      <c r="K305" s="2" t="s">
        <v>2935</v>
      </c>
      <c r="L305" s="2" t="s">
        <v>1316</v>
      </c>
      <c r="M305" s="8" t="str">
        <f>HYPERLINK("http://www.alsagr.com", "www.alsagr.com")</f>
        <v>www.alsagr.com</v>
      </c>
      <c r="N305" s="2" t="s">
        <v>2039</v>
      </c>
      <c r="O305" s="2" t="s">
        <v>42</v>
      </c>
      <c r="P305" s="2" t="s">
        <v>2936</v>
      </c>
      <c r="Q305" s="2" t="s">
        <v>42</v>
      </c>
      <c r="R305" s="16" t="s">
        <v>42</v>
      </c>
      <c r="S305" s="16">
        <v>1</v>
      </c>
      <c r="T305" s="16">
        <v>1</v>
      </c>
      <c r="U305" s="16" t="s">
        <v>42</v>
      </c>
      <c r="V305" s="16" t="s">
        <v>42</v>
      </c>
      <c r="W305" s="4" t="s">
        <v>42</v>
      </c>
      <c r="X305" s="2" t="s">
        <v>2937</v>
      </c>
      <c r="Y305" s="2" t="s">
        <v>42</v>
      </c>
      <c r="Z305" s="2" t="s">
        <v>383</v>
      </c>
      <c r="AA305" s="2" t="s">
        <v>2938</v>
      </c>
      <c r="AB305" s="2" t="s">
        <v>2939</v>
      </c>
      <c r="AC305" s="2" t="s">
        <v>385</v>
      </c>
      <c r="AD305" s="2" t="s">
        <v>2653</v>
      </c>
      <c r="AE305" s="4" t="s">
        <v>2940</v>
      </c>
      <c r="AF305" s="2" t="s">
        <v>60</v>
      </c>
      <c r="AG305" s="4" t="s">
        <v>42</v>
      </c>
      <c r="AH305" s="2" t="s">
        <v>61</v>
      </c>
      <c r="AI305" s="2" t="s">
        <v>61</v>
      </c>
      <c r="AJ305" s="2" t="s">
        <v>42</v>
      </c>
      <c r="AK305" s="2" t="s">
        <v>42</v>
      </c>
      <c r="AL305" s="28">
        <v>45895</v>
      </c>
      <c r="AM305" s="4" t="s">
        <v>42</v>
      </c>
      <c r="AN305" s="8" t="str">
        <f>HYPERLINK("https://my.pitchbook.com?p=445498-03P", "View People Online")</f>
        <v>View People Online</v>
      </c>
    </row>
    <row r="306" spans="1:40" x14ac:dyDescent="0.2">
      <c r="A306" s="3" t="s">
        <v>2941</v>
      </c>
      <c r="B306" s="3" t="s">
        <v>2942</v>
      </c>
      <c r="C306" s="3" t="s">
        <v>42</v>
      </c>
      <c r="D306" s="3" t="s">
        <v>42</v>
      </c>
      <c r="E306" s="3" t="s">
        <v>2941</v>
      </c>
      <c r="F306" s="3" t="s">
        <v>2943</v>
      </c>
      <c r="G306" s="3" t="s">
        <v>2944</v>
      </c>
      <c r="H306" s="3" t="s">
        <v>42</v>
      </c>
      <c r="I306" s="3" t="s">
        <v>46</v>
      </c>
      <c r="J306" s="3" t="s">
        <v>47</v>
      </c>
      <c r="K306" s="3" t="s">
        <v>550</v>
      </c>
      <c r="L306" s="3" t="s">
        <v>111</v>
      </c>
      <c r="M306" s="9" t="str">
        <f>HYPERLINK("http://www.almarai.com", "www.almarai.com")</f>
        <v>www.almarai.com</v>
      </c>
      <c r="N306" s="3" t="s">
        <v>534</v>
      </c>
      <c r="O306" s="3" t="s">
        <v>42</v>
      </c>
      <c r="P306" s="3" t="s">
        <v>2945</v>
      </c>
      <c r="Q306" s="3" t="s">
        <v>2946</v>
      </c>
      <c r="R306" s="17" t="s">
        <v>42</v>
      </c>
      <c r="S306" s="17">
        <v>1</v>
      </c>
      <c r="T306" s="17">
        <v>1</v>
      </c>
      <c r="U306" s="17" t="s">
        <v>42</v>
      </c>
      <c r="V306" s="17" t="s">
        <v>42</v>
      </c>
      <c r="W306" s="5" t="s">
        <v>2947</v>
      </c>
      <c r="X306" s="3" t="s">
        <v>2948</v>
      </c>
      <c r="Y306" s="9" t="str">
        <f>HYPERLINK("http://linkedin.com/in/danko-maras-b449206/", "http://linkedin.com/in/danko-maras-b449206/")</f>
        <v>http://linkedin.com/in/danko-maras-b449206/</v>
      </c>
      <c r="Z306" s="3" t="s">
        <v>55</v>
      </c>
      <c r="AA306" s="3" t="s">
        <v>555</v>
      </c>
      <c r="AB306" s="3" t="s">
        <v>42</v>
      </c>
      <c r="AC306" s="3" t="s">
        <v>58</v>
      </c>
      <c r="AD306" s="3" t="s">
        <v>42</v>
      </c>
      <c r="AE306" s="5" t="s">
        <v>556</v>
      </c>
      <c r="AF306" s="3" t="s">
        <v>60</v>
      </c>
      <c r="AG306" s="5" t="s">
        <v>42</v>
      </c>
      <c r="AH306" s="3" t="s">
        <v>61</v>
      </c>
      <c r="AI306" s="3" t="s">
        <v>61</v>
      </c>
      <c r="AJ306" s="3" t="s">
        <v>42</v>
      </c>
      <c r="AK306" s="3" t="s">
        <v>42</v>
      </c>
      <c r="AL306" s="29">
        <v>45526</v>
      </c>
      <c r="AM306" s="5" t="s">
        <v>42</v>
      </c>
      <c r="AN306" s="9" t="str">
        <f>HYPERLINK("https://my.pitchbook.com?p=263582-38P", "View People Online")</f>
        <v>View People Online</v>
      </c>
    </row>
    <row r="307" spans="1:40" x14ac:dyDescent="0.2">
      <c r="A307" s="2" t="s">
        <v>2949</v>
      </c>
      <c r="B307" s="2" t="s">
        <v>2950</v>
      </c>
      <c r="C307" s="2" t="s">
        <v>42</v>
      </c>
      <c r="D307" s="2" t="s">
        <v>42</v>
      </c>
      <c r="E307" s="2" t="s">
        <v>2949</v>
      </c>
      <c r="F307" s="2" t="s">
        <v>2951</v>
      </c>
      <c r="G307" s="2" t="s">
        <v>2952</v>
      </c>
      <c r="H307" s="2" t="s">
        <v>2953</v>
      </c>
      <c r="I307" s="2" t="s">
        <v>46</v>
      </c>
      <c r="J307" s="2" t="s">
        <v>47</v>
      </c>
      <c r="K307" s="2" t="s">
        <v>2954</v>
      </c>
      <c r="L307" s="2" t="s">
        <v>111</v>
      </c>
      <c r="M307" s="8" t="str">
        <f>HYPERLINK("http://www.jazadco.com.sa", "www.jazadco.com.sa")</f>
        <v>www.jazadco.com.sa</v>
      </c>
      <c r="N307" s="2" t="s">
        <v>534</v>
      </c>
      <c r="O307" s="2" t="s">
        <v>42</v>
      </c>
      <c r="P307" s="2" t="s">
        <v>2955</v>
      </c>
      <c r="Q307" s="2" t="s">
        <v>42</v>
      </c>
      <c r="R307" s="16" t="s">
        <v>42</v>
      </c>
      <c r="S307" s="16">
        <v>1</v>
      </c>
      <c r="T307" s="16">
        <v>1</v>
      </c>
      <c r="U307" s="16" t="s">
        <v>42</v>
      </c>
      <c r="V307" s="16" t="s">
        <v>42</v>
      </c>
      <c r="W307" s="4" t="s">
        <v>2956</v>
      </c>
      <c r="X307" s="2" t="s">
        <v>2957</v>
      </c>
      <c r="Y307" s="2" t="s">
        <v>42</v>
      </c>
      <c r="Z307" s="2" t="s">
        <v>2958</v>
      </c>
      <c r="AA307" s="2" t="s">
        <v>2959</v>
      </c>
      <c r="AB307" s="2" t="s">
        <v>2960</v>
      </c>
      <c r="AC307" s="2" t="s">
        <v>2961</v>
      </c>
      <c r="AD307" s="2" t="s">
        <v>42</v>
      </c>
      <c r="AE307" s="4" t="s">
        <v>42</v>
      </c>
      <c r="AF307" s="2" t="s">
        <v>60</v>
      </c>
      <c r="AG307" s="4" t="s">
        <v>2962</v>
      </c>
      <c r="AH307" s="2" t="s">
        <v>61</v>
      </c>
      <c r="AI307" s="2" t="s">
        <v>61</v>
      </c>
      <c r="AJ307" s="2" t="s">
        <v>42</v>
      </c>
      <c r="AK307" s="2" t="s">
        <v>42</v>
      </c>
      <c r="AL307" s="28">
        <v>45736</v>
      </c>
      <c r="AM307" s="4" t="s">
        <v>42</v>
      </c>
      <c r="AN307" s="8" t="str">
        <f>HYPERLINK("https://my.pitchbook.com?p=438851-35P", "View People Online")</f>
        <v>View People Online</v>
      </c>
    </row>
    <row r="308" spans="1:40" x14ac:dyDescent="0.2">
      <c r="A308" s="3" t="s">
        <v>2963</v>
      </c>
      <c r="B308" s="3" t="s">
        <v>2964</v>
      </c>
      <c r="C308" s="3" t="s">
        <v>42</v>
      </c>
      <c r="D308" s="3" t="s">
        <v>42</v>
      </c>
      <c r="E308" s="3" t="s">
        <v>2963</v>
      </c>
      <c r="F308" s="3" t="s">
        <v>2965</v>
      </c>
      <c r="G308" s="3" t="s">
        <v>2966</v>
      </c>
      <c r="H308" s="3" t="s">
        <v>42</v>
      </c>
      <c r="I308" s="3" t="s">
        <v>46</v>
      </c>
      <c r="J308" s="3" t="s">
        <v>47</v>
      </c>
      <c r="K308" s="3" t="s">
        <v>2183</v>
      </c>
      <c r="L308" s="3" t="s">
        <v>111</v>
      </c>
      <c r="M308" s="9" t="str">
        <f>HYPERLINK("http://www.serviceequipment.com.sa", "www.serviceequipment.com.sa")</f>
        <v>www.serviceequipment.com.sa</v>
      </c>
      <c r="N308" s="3" t="s">
        <v>370</v>
      </c>
      <c r="O308" s="3" t="s">
        <v>42</v>
      </c>
      <c r="P308" s="3" t="s">
        <v>2967</v>
      </c>
      <c r="Q308" s="3" t="s">
        <v>42</v>
      </c>
      <c r="R308" s="17" t="s">
        <v>42</v>
      </c>
      <c r="S308" s="17">
        <v>1</v>
      </c>
      <c r="T308" s="17">
        <v>1</v>
      </c>
      <c r="U308" s="17" t="s">
        <v>42</v>
      </c>
      <c r="V308" s="17" t="s">
        <v>42</v>
      </c>
      <c r="W308" s="5" t="s">
        <v>2185</v>
      </c>
      <c r="X308" s="3" t="s">
        <v>2968</v>
      </c>
      <c r="Y308" s="9" t="str">
        <f>HYPERLINK("http://linkedin.com/in/ehab-sobhy", "http://linkedin.com/in/ehab-sobhy")</f>
        <v>http://linkedin.com/in/ehab-sobhy</v>
      </c>
      <c r="Z308" s="3" t="s">
        <v>174</v>
      </c>
      <c r="AA308" s="3" t="s">
        <v>2187</v>
      </c>
      <c r="AB308" s="3" t="s">
        <v>42</v>
      </c>
      <c r="AC308" s="3" t="s">
        <v>176</v>
      </c>
      <c r="AD308" s="3" t="s">
        <v>42</v>
      </c>
      <c r="AE308" s="5" t="s">
        <v>1454</v>
      </c>
      <c r="AF308" s="3" t="s">
        <v>60</v>
      </c>
      <c r="AG308" s="5" t="s">
        <v>42</v>
      </c>
      <c r="AH308" s="3" t="s">
        <v>61</v>
      </c>
      <c r="AI308" s="3" t="s">
        <v>61</v>
      </c>
      <c r="AJ308" s="3" t="s">
        <v>42</v>
      </c>
      <c r="AK308" s="3" t="s">
        <v>42</v>
      </c>
      <c r="AL308" s="29">
        <v>45737</v>
      </c>
      <c r="AM308" s="5" t="s">
        <v>42</v>
      </c>
      <c r="AN308" s="9" t="str">
        <f>HYPERLINK("https://my.pitchbook.com?p=439037-47P", "View People Online")</f>
        <v>View People Online</v>
      </c>
    </row>
    <row r="309" spans="1:40" x14ac:dyDescent="0.2">
      <c r="A309" s="2" t="s">
        <v>2969</v>
      </c>
      <c r="B309" s="2" t="s">
        <v>2970</v>
      </c>
      <c r="C309" s="2" t="s">
        <v>42</v>
      </c>
      <c r="D309" s="2" t="s">
        <v>42</v>
      </c>
      <c r="E309" s="2" t="s">
        <v>2969</v>
      </c>
      <c r="F309" s="2" t="s">
        <v>2971</v>
      </c>
      <c r="G309" s="2" t="s">
        <v>2972</v>
      </c>
      <c r="H309" s="2" t="s">
        <v>1950</v>
      </c>
      <c r="I309" s="2" t="s">
        <v>46</v>
      </c>
      <c r="J309" s="2" t="s">
        <v>47</v>
      </c>
      <c r="K309" s="2" t="s">
        <v>2973</v>
      </c>
      <c r="L309" s="2" t="s">
        <v>111</v>
      </c>
      <c r="M309" s="8" t="str">
        <f>HYPERLINK("http://www.2p.com.sa", "www.2p.com.sa")</f>
        <v>www.2p.com.sa</v>
      </c>
      <c r="N309" s="2" t="s">
        <v>112</v>
      </c>
      <c r="O309" s="2" t="s">
        <v>42</v>
      </c>
      <c r="P309" s="2" t="s">
        <v>2974</v>
      </c>
      <c r="Q309" s="2" t="s">
        <v>42</v>
      </c>
      <c r="R309" s="16">
        <v>1</v>
      </c>
      <c r="S309" s="16">
        <v>1</v>
      </c>
      <c r="T309" s="16">
        <v>1</v>
      </c>
      <c r="U309" s="16" t="s">
        <v>42</v>
      </c>
      <c r="V309" s="16" t="s">
        <v>42</v>
      </c>
      <c r="W309" s="4" t="s">
        <v>2975</v>
      </c>
      <c r="X309" s="2" t="s">
        <v>2976</v>
      </c>
      <c r="Y309" s="8" t="str">
        <f>HYPERLINK("http://linkedin.com/in/ehssan-doughman/?originalsubdomain=sa", "http://linkedin.com/in/ehssan-doughman/?originalsubdomain=sa")</f>
        <v>http://linkedin.com/in/ehssan-doughman/?originalsubdomain=sa</v>
      </c>
      <c r="Z309" s="2" t="s">
        <v>55</v>
      </c>
      <c r="AA309" s="2" t="s">
        <v>2977</v>
      </c>
      <c r="AB309" s="2" t="s">
        <v>2978</v>
      </c>
      <c r="AC309" s="2" t="s">
        <v>58</v>
      </c>
      <c r="AD309" s="2" t="s">
        <v>42</v>
      </c>
      <c r="AE309" s="4" t="s">
        <v>2979</v>
      </c>
      <c r="AF309" s="2" t="s">
        <v>60</v>
      </c>
      <c r="AG309" s="4" t="s">
        <v>2980</v>
      </c>
      <c r="AH309" s="2" t="s">
        <v>61</v>
      </c>
      <c r="AI309" s="2" t="s">
        <v>61</v>
      </c>
      <c r="AJ309" s="2" t="s">
        <v>42</v>
      </c>
      <c r="AK309" s="2" t="s">
        <v>42</v>
      </c>
      <c r="AL309" s="28">
        <v>46033</v>
      </c>
      <c r="AM309" s="4" t="s">
        <v>42</v>
      </c>
      <c r="AN309" s="8" t="str">
        <f>HYPERLINK("https://my.pitchbook.com?p=293608-90P", "View People Online")</f>
        <v>View People Online</v>
      </c>
    </row>
    <row r="310" spans="1:40" x14ac:dyDescent="0.2">
      <c r="A310" s="3" t="s">
        <v>2981</v>
      </c>
      <c r="B310" s="3" t="s">
        <v>2982</v>
      </c>
      <c r="C310" s="3" t="s">
        <v>42</v>
      </c>
      <c r="D310" s="3" t="s">
        <v>42</v>
      </c>
      <c r="E310" s="3" t="s">
        <v>2981</v>
      </c>
      <c r="F310" s="3" t="s">
        <v>2983</v>
      </c>
      <c r="G310" s="3" t="s">
        <v>2984</v>
      </c>
      <c r="H310" s="3" t="s">
        <v>543</v>
      </c>
      <c r="I310" s="3" t="s">
        <v>46</v>
      </c>
      <c r="J310" s="3" t="s">
        <v>47</v>
      </c>
      <c r="K310" s="3" t="s">
        <v>2985</v>
      </c>
      <c r="L310" s="3" t="s">
        <v>111</v>
      </c>
      <c r="M310" s="9" t="str">
        <f>HYPERLINK("http://www.tasnee.com", "www.tasnee.com")</f>
        <v>www.tasnee.com</v>
      </c>
      <c r="N310" s="3" t="s">
        <v>534</v>
      </c>
      <c r="O310" s="3" t="s">
        <v>42</v>
      </c>
      <c r="P310" s="3" t="s">
        <v>2986</v>
      </c>
      <c r="Q310" s="3" t="s">
        <v>2987</v>
      </c>
      <c r="R310" s="17" t="s">
        <v>42</v>
      </c>
      <c r="S310" s="17">
        <v>1</v>
      </c>
      <c r="T310" s="17">
        <v>1</v>
      </c>
      <c r="U310" s="17" t="s">
        <v>42</v>
      </c>
      <c r="V310" s="17" t="s">
        <v>42</v>
      </c>
      <c r="W310" s="5" t="s">
        <v>2988</v>
      </c>
      <c r="X310" s="3" t="s">
        <v>42</v>
      </c>
      <c r="Y310" s="9" t="str">
        <f>HYPERLINK("http://linkedin.com/in/emad-al-haji-5549754a/?originalsubdomain=sa", "http://linkedin.com/in/emad-al-haji-5549754a/?originalsubdomain=sa")</f>
        <v>http://linkedin.com/in/emad-al-haji-5549754a/?originalsubdomain=sa</v>
      </c>
      <c r="Z310" s="3" t="s">
        <v>55</v>
      </c>
      <c r="AA310" s="3" t="s">
        <v>2989</v>
      </c>
      <c r="AB310" s="3" t="s">
        <v>2990</v>
      </c>
      <c r="AC310" s="3" t="s">
        <v>58</v>
      </c>
      <c r="AD310" s="3" t="s">
        <v>42</v>
      </c>
      <c r="AE310" s="5" t="s">
        <v>682</v>
      </c>
      <c r="AF310" s="3" t="s">
        <v>60</v>
      </c>
      <c r="AG310" s="5" t="s">
        <v>2991</v>
      </c>
      <c r="AH310" s="3" t="s">
        <v>61</v>
      </c>
      <c r="AI310" s="3" t="s">
        <v>61</v>
      </c>
      <c r="AJ310" s="3" t="s">
        <v>42</v>
      </c>
      <c r="AK310" s="3" t="s">
        <v>42</v>
      </c>
      <c r="AL310" s="29">
        <v>46001</v>
      </c>
      <c r="AM310" s="5" t="s">
        <v>42</v>
      </c>
      <c r="AN310" s="9" t="str">
        <f>HYPERLINK("https://my.pitchbook.com?p=415844-65P", "View People Online")</f>
        <v>View People Online</v>
      </c>
    </row>
    <row r="311" spans="1:40" x14ac:dyDescent="0.2">
      <c r="A311" s="2" t="s">
        <v>2992</v>
      </c>
      <c r="B311" s="2" t="s">
        <v>2993</v>
      </c>
      <c r="C311" s="2" t="s">
        <v>42</v>
      </c>
      <c r="D311" s="2" t="s">
        <v>42</v>
      </c>
      <c r="E311" s="2" t="s">
        <v>2992</v>
      </c>
      <c r="F311" s="2" t="s">
        <v>2994</v>
      </c>
      <c r="G311" s="2" t="s">
        <v>2995</v>
      </c>
      <c r="H311" s="2" t="s">
        <v>42</v>
      </c>
      <c r="I311" s="2" t="s">
        <v>46</v>
      </c>
      <c r="J311" s="2" t="s">
        <v>47</v>
      </c>
      <c r="K311" s="2" t="s">
        <v>2996</v>
      </c>
      <c r="L311" s="2" t="s">
        <v>111</v>
      </c>
      <c r="M311" s="8" t="str">
        <f>HYPERLINK("http://www.edaratgroup.com", "www.edaratgroup.com")</f>
        <v>www.edaratgroup.com</v>
      </c>
      <c r="N311" s="2" t="s">
        <v>2997</v>
      </c>
      <c r="O311" s="2" t="s">
        <v>42</v>
      </c>
      <c r="P311" s="2" t="s">
        <v>2998</v>
      </c>
      <c r="Q311" s="2" t="s">
        <v>42</v>
      </c>
      <c r="R311" s="16">
        <v>1</v>
      </c>
      <c r="S311" s="16">
        <v>1</v>
      </c>
      <c r="T311" s="16">
        <v>1</v>
      </c>
      <c r="U311" s="16" t="s">
        <v>42</v>
      </c>
      <c r="V311" s="16" t="s">
        <v>42</v>
      </c>
      <c r="W311" s="4" t="s">
        <v>2999</v>
      </c>
      <c r="X311" s="2" t="s">
        <v>3000</v>
      </c>
      <c r="Y311" s="8" t="str">
        <f>HYPERLINK("http://linkedin.com/in/erick-baduy-88a8b810/", "http://linkedin.com/in/erick-baduy-88a8b810/")</f>
        <v>http://linkedin.com/in/erick-baduy-88a8b810/</v>
      </c>
      <c r="Z311" s="2" t="s">
        <v>55</v>
      </c>
      <c r="AA311" s="2" t="s">
        <v>3001</v>
      </c>
      <c r="AB311" s="2" t="s">
        <v>2114</v>
      </c>
      <c r="AC311" s="2" t="s">
        <v>58</v>
      </c>
      <c r="AD311" s="2" t="s">
        <v>42</v>
      </c>
      <c r="AE311" s="4" t="s">
        <v>3002</v>
      </c>
      <c r="AF311" s="2" t="s">
        <v>60</v>
      </c>
      <c r="AG311" s="4" t="s">
        <v>3003</v>
      </c>
      <c r="AH311" s="2" t="s">
        <v>61</v>
      </c>
      <c r="AI311" s="2" t="s">
        <v>61</v>
      </c>
      <c r="AJ311" s="2" t="s">
        <v>42</v>
      </c>
      <c r="AK311" s="2" t="s">
        <v>42</v>
      </c>
      <c r="AL311" s="28">
        <v>45685</v>
      </c>
      <c r="AM311" s="4" t="s">
        <v>42</v>
      </c>
      <c r="AN311" s="8" t="str">
        <f>HYPERLINK("https://my.pitchbook.com?p=329122-90P", "View People Online")</f>
        <v>View People Online</v>
      </c>
    </row>
    <row r="312" spans="1:40" x14ac:dyDescent="0.2">
      <c r="A312" s="3" t="s">
        <v>3004</v>
      </c>
      <c r="B312" s="3" t="s">
        <v>3005</v>
      </c>
      <c r="C312" s="3" t="s">
        <v>42</v>
      </c>
      <c r="D312" s="3" t="s">
        <v>42</v>
      </c>
      <c r="E312" s="3" t="s">
        <v>3004</v>
      </c>
      <c r="F312" s="3" t="s">
        <v>3006</v>
      </c>
      <c r="G312" s="3" t="s">
        <v>3007</v>
      </c>
      <c r="H312" s="3" t="s">
        <v>42</v>
      </c>
      <c r="I312" s="3" t="s">
        <v>46</v>
      </c>
      <c r="J312" s="3" t="s">
        <v>47</v>
      </c>
      <c r="K312" s="3" t="s">
        <v>3008</v>
      </c>
      <c r="L312" s="3" t="s">
        <v>111</v>
      </c>
      <c r="M312" s="9" t="str">
        <f>HYPERLINK("http://www.alamar.com", "www.alamar.com")</f>
        <v>www.alamar.com</v>
      </c>
      <c r="N312" s="3" t="s">
        <v>3009</v>
      </c>
      <c r="O312" s="3" t="s">
        <v>42</v>
      </c>
      <c r="P312" s="3" t="s">
        <v>3010</v>
      </c>
      <c r="Q312" s="3" t="s">
        <v>42</v>
      </c>
      <c r="R312" s="17" t="s">
        <v>42</v>
      </c>
      <c r="S312" s="17">
        <v>1</v>
      </c>
      <c r="T312" s="17">
        <v>1</v>
      </c>
      <c r="U312" s="17" t="s">
        <v>42</v>
      </c>
      <c r="V312" s="17" t="s">
        <v>42</v>
      </c>
      <c r="W312" s="5" t="s">
        <v>3011</v>
      </c>
      <c r="X312" s="3" t="s">
        <v>3012</v>
      </c>
      <c r="Y312" s="9" t="str">
        <f>HYPERLINK("http://linkedin.com/in/eugeniu-comarnitchi", "http://linkedin.com/in/eugeniu-comarnitchi")</f>
        <v>http://linkedin.com/in/eugeniu-comarnitchi</v>
      </c>
      <c r="Z312" s="3" t="s">
        <v>55</v>
      </c>
      <c r="AA312" s="3" t="s">
        <v>3013</v>
      </c>
      <c r="AB312" s="3" t="s">
        <v>453</v>
      </c>
      <c r="AC312" s="3" t="s">
        <v>58</v>
      </c>
      <c r="AD312" s="3" t="s">
        <v>42</v>
      </c>
      <c r="AE312" s="5" t="s">
        <v>3014</v>
      </c>
      <c r="AF312" s="3" t="s">
        <v>60</v>
      </c>
      <c r="AG312" s="5" t="s">
        <v>3015</v>
      </c>
      <c r="AH312" s="3" t="s">
        <v>61</v>
      </c>
      <c r="AI312" s="3" t="s">
        <v>61</v>
      </c>
      <c r="AJ312" s="3" t="s">
        <v>42</v>
      </c>
      <c r="AK312" s="3" t="s">
        <v>42</v>
      </c>
      <c r="AL312" s="29">
        <v>45939</v>
      </c>
      <c r="AM312" s="5" t="s">
        <v>42</v>
      </c>
      <c r="AN312" s="9" t="str">
        <f>HYPERLINK("https://my.pitchbook.com?p=468592-30P", "View People Online")</f>
        <v>View People Online</v>
      </c>
    </row>
    <row r="313" spans="1:40" x14ac:dyDescent="0.2">
      <c r="A313" s="2" t="s">
        <v>3016</v>
      </c>
      <c r="B313" s="2" t="s">
        <v>3017</v>
      </c>
      <c r="C313" s="2" t="s">
        <v>42</v>
      </c>
      <c r="D313" s="2" t="s">
        <v>42</v>
      </c>
      <c r="E313" s="2" t="s">
        <v>3016</v>
      </c>
      <c r="F313" s="2" t="s">
        <v>3018</v>
      </c>
      <c r="G313" s="2" t="s">
        <v>3019</v>
      </c>
      <c r="H313" s="2" t="s">
        <v>3020</v>
      </c>
      <c r="I313" s="2" t="s">
        <v>46</v>
      </c>
      <c r="J313" s="2" t="s">
        <v>47</v>
      </c>
      <c r="K313" s="2" t="s">
        <v>3021</v>
      </c>
      <c r="L313" s="2" t="s">
        <v>111</v>
      </c>
      <c r="M313" s="8" t="str">
        <f>HYPERLINK("http://www.fadint.com", "www.fadint.com")</f>
        <v>www.fadint.com</v>
      </c>
      <c r="N313" s="2" t="s">
        <v>3022</v>
      </c>
      <c r="O313" s="2" t="s">
        <v>42</v>
      </c>
      <c r="P313" s="2" t="s">
        <v>3023</v>
      </c>
      <c r="Q313" s="2" t="s">
        <v>42</v>
      </c>
      <c r="R313" s="16" t="s">
        <v>42</v>
      </c>
      <c r="S313" s="16">
        <v>1</v>
      </c>
      <c r="T313" s="16">
        <v>1</v>
      </c>
      <c r="U313" s="16" t="s">
        <v>42</v>
      </c>
      <c r="V313" s="16" t="s">
        <v>42</v>
      </c>
      <c r="W313" s="4" t="s">
        <v>3024</v>
      </c>
      <c r="X313" s="2" t="s">
        <v>3025</v>
      </c>
      <c r="Y313" s="8" t="str">
        <f>HYPERLINK("http://linkedin.com/in/eyad-mashat-1952a923/", "http://linkedin.com/in/eyad-mashat-1952a923/")</f>
        <v>http://linkedin.com/in/eyad-mashat-1952a923/</v>
      </c>
      <c r="Z313" s="2" t="s">
        <v>174</v>
      </c>
      <c r="AA313" s="2" t="s">
        <v>3026</v>
      </c>
      <c r="AB313" s="2" t="s">
        <v>3027</v>
      </c>
      <c r="AC313" s="2" t="s">
        <v>176</v>
      </c>
      <c r="AD313" s="2" t="s">
        <v>42</v>
      </c>
      <c r="AE313" s="4" t="s">
        <v>3028</v>
      </c>
      <c r="AF313" s="2" t="s">
        <v>60</v>
      </c>
      <c r="AG313" s="4" t="s">
        <v>3029</v>
      </c>
      <c r="AH313" s="2" t="s">
        <v>61</v>
      </c>
      <c r="AI313" s="2" t="s">
        <v>61</v>
      </c>
      <c r="AJ313" s="2" t="s">
        <v>42</v>
      </c>
      <c r="AK313" s="2" t="s">
        <v>42</v>
      </c>
      <c r="AL313" s="28">
        <v>45940</v>
      </c>
      <c r="AM313" s="4" t="s">
        <v>42</v>
      </c>
      <c r="AN313" s="8" t="str">
        <f>HYPERLINK("https://my.pitchbook.com?p=376519-24P", "View People Online")</f>
        <v>View People Online</v>
      </c>
    </row>
    <row r="314" spans="1:40" x14ac:dyDescent="0.2">
      <c r="A314" s="3" t="s">
        <v>3030</v>
      </c>
      <c r="B314" s="3" t="s">
        <v>3031</v>
      </c>
      <c r="C314" s="3" t="s">
        <v>42</v>
      </c>
      <c r="D314" s="3" t="s">
        <v>42</v>
      </c>
      <c r="E314" s="3" t="s">
        <v>3030</v>
      </c>
      <c r="F314" s="3" t="s">
        <v>3032</v>
      </c>
      <c r="G314" s="3" t="s">
        <v>3033</v>
      </c>
      <c r="H314" s="3" t="s">
        <v>42</v>
      </c>
      <c r="I314" s="3" t="s">
        <v>46</v>
      </c>
      <c r="J314" s="3" t="s">
        <v>47</v>
      </c>
      <c r="K314" s="3" t="s">
        <v>3034</v>
      </c>
      <c r="L314" s="3" t="s">
        <v>111</v>
      </c>
      <c r="M314" s="9" t="str">
        <f>HYPERLINK("http://www.fadeco.com", "www.fadeco.com")</f>
        <v>www.fadeco.com</v>
      </c>
      <c r="N314" s="3" t="s">
        <v>534</v>
      </c>
      <c r="O314" s="3" t="s">
        <v>42</v>
      </c>
      <c r="P314" s="3" t="s">
        <v>3035</v>
      </c>
      <c r="Q314" s="3" t="s">
        <v>42</v>
      </c>
      <c r="R314" s="17" t="s">
        <v>42</v>
      </c>
      <c r="S314" s="17">
        <v>1</v>
      </c>
      <c r="T314" s="17">
        <v>1</v>
      </c>
      <c r="U314" s="17" t="s">
        <v>42</v>
      </c>
      <c r="V314" s="17" t="s">
        <v>42</v>
      </c>
      <c r="W314" s="5" t="s">
        <v>3036</v>
      </c>
      <c r="X314" s="3" t="s">
        <v>3037</v>
      </c>
      <c r="Y314" s="9" t="str">
        <f>HYPERLINK("http://linkedin.com/in/fawaz-fadel", "http://linkedin.com/in/fawaz-fadel")</f>
        <v>http://linkedin.com/in/fawaz-fadel</v>
      </c>
      <c r="Z314" s="3" t="s">
        <v>383</v>
      </c>
      <c r="AA314" s="3" t="s">
        <v>3038</v>
      </c>
      <c r="AB314" s="3" t="s">
        <v>42</v>
      </c>
      <c r="AC314" s="3" t="s">
        <v>385</v>
      </c>
      <c r="AD314" s="3" t="s">
        <v>42</v>
      </c>
      <c r="AE314" s="5" t="s">
        <v>3039</v>
      </c>
      <c r="AF314" s="3" t="s">
        <v>60</v>
      </c>
      <c r="AG314" s="5" t="s">
        <v>3040</v>
      </c>
      <c r="AH314" s="3" t="s">
        <v>61</v>
      </c>
      <c r="AI314" s="3" t="s">
        <v>61</v>
      </c>
      <c r="AJ314" s="3" t="s">
        <v>42</v>
      </c>
      <c r="AK314" s="3" t="s">
        <v>42</v>
      </c>
      <c r="AL314" s="29">
        <v>46041</v>
      </c>
      <c r="AM314" s="5" t="s">
        <v>42</v>
      </c>
      <c r="AN314" s="9" t="str">
        <f>HYPERLINK("https://my.pitchbook.com?p=482570-83P", "View People Online")</f>
        <v>View People Online</v>
      </c>
    </row>
    <row r="315" spans="1:40" x14ac:dyDescent="0.2">
      <c r="A315" s="2" t="s">
        <v>3041</v>
      </c>
      <c r="B315" s="2" t="s">
        <v>3042</v>
      </c>
      <c r="C315" s="2" t="s">
        <v>42</v>
      </c>
      <c r="D315" s="2" t="s">
        <v>42</v>
      </c>
      <c r="E315" s="2" t="s">
        <v>3041</v>
      </c>
      <c r="F315" s="2" t="s">
        <v>3043</v>
      </c>
      <c r="G315" s="2" t="s">
        <v>3044</v>
      </c>
      <c r="H315" s="2" t="s">
        <v>42</v>
      </c>
      <c r="I315" s="2" t="s">
        <v>46</v>
      </c>
      <c r="J315" s="2" t="s">
        <v>47</v>
      </c>
      <c r="K315" s="2" t="s">
        <v>3045</v>
      </c>
      <c r="L315" s="2" t="s">
        <v>111</v>
      </c>
      <c r="M315" s="8" t="str">
        <f>HYPERLINK("http://www.mesccables.com", "www.mesccables.com")</f>
        <v>www.mesccables.com</v>
      </c>
      <c r="N315" s="2" t="s">
        <v>210</v>
      </c>
      <c r="O315" s="2" t="s">
        <v>42</v>
      </c>
      <c r="P315" s="2" t="s">
        <v>3046</v>
      </c>
      <c r="Q315" s="2" t="s">
        <v>42</v>
      </c>
      <c r="R315" s="16" t="s">
        <v>42</v>
      </c>
      <c r="S315" s="16">
        <v>1</v>
      </c>
      <c r="T315" s="16">
        <v>1</v>
      </c>
      <c r="U315" s="16" t="s">
        <v>42</v>
      </c>
      <c r="V315" s="16" t="s">
        <v>42</v>
      </c>
      <c r="W315" s="4" t="s">
        <v>3047</v>
      </c>
      <c r="X315" s="2" t="s">
        <v>42</v>
      </c>
      <c r="Y315" s="2" t="s">
        <v>42</v>
      </c>
      <c r="Z315" s="2" t="s">
        <v>55</v>
      </c>
      <c r="AA315" s="2" t="s">
        <v>3048</v>
      </c>
      <c r="AB315" s="2" t="s">
        <v>3049</v>
      </c>
      <c r="AC315" s="2" t="s">
        <v>58</v>
      </c>
      <c r="AD315" s="2" t="s">
        <v>42</v>
      </c>
      <c r="AE315" s="4" t="s">
        <v>89</v>
      </c>
      <c r="AF315" s="2" t="s">
        <v>60</v>
      </c>
      <c r="AG315" s="4" t="s">
        <v>3050</v>
      </c>
      <c r="AH315" s="2" t="s">
        <v>61</v>
      </c>
      <c r="AI315" s="2" t="s">
        <v>61</v>
      </c>
      <c r="AJ315" s="2" t="s">
        <v>42</v>
      </c>
      <c r="AK315" s="2" t="s">
        <v>42</v>
      </c>
      <c r="AL315" s="28">
        <v>45838</v>
      </c>
      <c r="AM315" s="4">
        <v>1976</v>
      </c>
      <c r="AN315" s="8" t="str">
        <f>HYPERLINK("https://my.pitchbook.com?p=297495-64P", "View People Online")</f>
        <v>View People Online</v>
      </c>
    </row>
    <row r="316" spans="1:40" x14ac:dyDescent="0.2">
      <c r="A316" s="3" t="s">
        <v>3051</v>
      </c>
      <c r="B316" s="3" t="s">
        <v>3052</v>
      </c>
      <c r="C316" s="3" t="s">
        <v>42</v>
      </c>
      <c r="D316" s="3" t="s">
        <v>42</v>
      </c>
      <c r="E316" s="3" t="s">
        <v>3051</v>
      </c>
      <c r="F316" s="3" t="s">
        <v>3053</v>
      </c>
      <c r="G316" s="3" t="s">
        <v>3054</v>
      </c>
      <c r="H316" s="3" t="s">
        <v>3055</v>
      </c>
      <c r="I316" s="3" t="s">
        <v>46</v>
      </c>
      <c r="J316" s="3" t="s">
        <v>47</v>
      </c>
      <c r="K316" s="3" t="s">
        <v>2914</v>
      </c>
      <c r="L316" s="3" t="s">
        <v>111</v>
      </c>
      <c r="M316" s="9" t="str">
        <f>HYPERLINK("http://www.naaspetrol.com", "www.naaspetrol.com")</f>
        <v>www.naaspetrol.com</v>
      </c>
      <c r="N316" s="3" t="s">
        <v>534</v>
      </c>
      <c r="O316" s="3" t="s">
        <v>42</v>
      </c>
      <c r="P316" s="3" t="s">
        <v>3056</v>
      </c>
      <c r="Q316" s="3" t="s">
        <v>2901</v>
      </c>
      <c r="R316" s="17" t="s">
        <v>42</v>
      </c>
      <c r="S316" s="17">
        <v>1</v>
      </c>
      <c r="T316" s="17">
        <v>1</v>
      </c>
      <c r="U316" s="17" t="s">
        <v>42</v>
      </c>
      <c r="V316" s="17" t="s">
        <v>42</v>
      </c>
      <c r="W316" s="5" t="s">
        <v>2916</v>
      </c>
      <c r="X316" s="3" t="s">
        <v>3057</v>
      </c>
      <c r="Y316" s="3" t="s">
        <v>42</v>
      </c>
      <c r="Z316" s="3" t="s">
        <v>55</v>
      </c>
      <c r="AA316" s="3" t="s">
        <v>1114</v>
      </c>
      <c r="AB316" s="3" t="s">
        <v>42</v>
      </c>
      <c r="AC316" s="3" t="s">
        <v>58</v>
      </c>
      <c r="AD316" s="3" t="s">
        <v>42</v>
      </c>
      <c r="AE316" s="5" t="s">
        <v>42</v>
      </c>
      <c r="AF316" s="3" t="s">
        <v>60</v>
      </c>
      <c r="AG316" s="5" t="s">
        <v>42</v>
      </c>
      <c r="AH316" s="3" t="s">
        <v>61</v>
      </c>
      <c r="AI316" s="3" t="s">
        <v>61</v>
      </c>
      <c r="AJ316" s="3" t="s">
        <v>42</v>
      </c>
      <c r="AK316" s="3" t="s">
        <v>42</v>
      </c>
      <c r="AL316" s="29">
        <v>45756</v>
      </c>
      <c r="AM316" s="5" t="s">
        <v>42</v>
      </c>
      <c r="AN316" s="9" t="str">
        <f>HYPERLINK("https://my.pitchbook.com?p=412343-92P", "View People Online")</f>
        <v>View People Online</v>
      </c>
    </row>
    <row r="317" spans="1:40" x14ac:dyDescent="0.2">
      <c r="A317" s="2" t="s">
        <v>3058</v>
      </c>
      <c r="B317" s="2" t="s">
        <v>3059</v>
      </c>
      <c r="C317" s="2" t="s">
        <v>42</v>
      </c>
      <c r="D317" s="2" t="s">
        <v>42</v>
      </c>
      <c r="E317" s="2" t="s">
        <v>3058</v>
      </c>
      <c r="F317" s="2" t="s">
        <v>3060</v>
      </c>
      <c r="G317" s="2" t="s">
        <v>3054</v>
      </c>
      <c r="H317" s="2" t="s">
        <v>42</v>
      </c>
      <c r="I317" s="2" t="s">
        <v>46</v>
      </c>
      <c r="J317" s="2" t="s">
        <v>47</v>
      </c>
      <c r="K317" s="2" t="s">
        <v>513</v>
      </c>
      <c r="L317" s="2" t="s">
        <v>111</v>
      </c>
      <c r="M317" s="8" t="str">
        <f>HYPERLINK("http://www.tanmiah.com", "www.tanmiah.com")</f>
        <v>www.tanmiah.com</v>
      </c>
      <c r="N317" s="2" t="s">
        <v>534</v>
      </c>
      <c r="O317" s="2" t="s">
        <v>42</v>
      </c>
      <c r="P317" s="2" t="s">
        <v>3061</v>
      </c>
      <c r="Q317" s="2" t="s">
        <v>42</v>
      </c>
      <c r="R317" s="16" t="s">
        <v>42</v>
      </c>
      <c r="S317" s="16">
        <v>1</v>
      </c>
      <c r="T317" s="16">
        <v>1</v>
      </c>
      <c r="U317" s="16" t="s">
        <v>42</v>
      </c>
      <c r="V317" s="16" t="s">
        <v>42</v>
      </c>
      <c r="W317" s="4" t="s">
        <v>515</v>
      </c>
      <c r="X317" s="2" t="s">
        <v>3062</v>
      </c>
      <c r="Y317" s="8" t="str">
        <f>HYPERLINK("http://linkedin.com/in/fadifinanceexecutive/", "http://linkedin.com/in/fadifinanceexecutive/")</f>
        <v>http://linkedin.com/in/fadifinanceexecutive/</v>
      </c>
      <c r="Z317" s="2" t="s">
        <v>55</v>
      </c>
      <c r="AA317" s="2" t="s">
        <v>517</v>
      </c>
      <c r="AB317" s="2" t="s">
        <v>518</v>
      </c>
      <c r="AC317" s="2" t="s">
        <v>58</v>
      </c>
      <c r="AD317" s="2" t="s">
        <v>42</v>
      </c>
      <c r="AE317" s="4" t="s">
        <v>519</v>
      </c>
      <c r="AF317" s="2" t="s">
        <v>60</v>
      </c>
      <c r="AG317" s="4" t="s">
        <v>520</v>
      </c>
      <c r="AH317" s="2" t="s">
        <v>61</v>
      </c>
      <c r="AI317" s="2" t="s">
        <v>61</v>
      </c>
      <c r="AJ317" s="2" t="s">
        <v>42</v>
      </c>
      <c r="AK317" s="2" t="s">
        <v>2073</v>
      </c>
      <c r="AL317" s="28">
        <v>46055</v>
      </c>
      <c r="AM317" s="4" t="s">
        <v>42</v>
      </c>
      <c r="AN317" s="8" t="str">
        <f>HYPERLINK("https://my.pitchbook.com?p=484645-06P", "View People Online")</f>
        <v>View People Online</v>
      </c>
    </row>
    <row r="318" spans="1:40" x14ac:dyDescent="0.2">
      <c r="A318" s="3" t="s">
        <v>3063</v>
      </c>
      <c r="B318" s="3" t="s">
        <v>3064</v>
      </c>
      <c r="C318" s="3" t="s">
        <v>42</v>
      </c>
      <c r="D318" s="3" t="s">
        <v>42</v>
      </c>
      <c r="E318" s="3" t="s">
        <v>3063</v>
      </c>
      <c r="F318" s="3" t="s">
        <v>3065</v>
      </c>
      <c r="G318" s="3" t="s">
        <v>686</v>
      </c>
      <c r="H318" s="3" t="s">
        <v>3066</v>
      </c>
      <c r="I318" s="3" t="s">
        <v>46</v>
      </c>
      <c r="J318" s="3" t="s">
        <v>47</v>
      </c>
      <c r="K318" s="3" t="s">
        <v>623</v>
      </c>
      <c r="L318" s="3" t="s">
        <v>111</v>
      </c>
      <c r="M318" s="9" t="str">
        <f>HYPERLINK("http://www.sabic-agrinutrients.com", "www.sabic-agrinutrients.com")</f>
        <v>www.sabic-agrinutrients.com</v>
      </c>
      <c r="N318" s="3" t="s">
        <v>210</v>
      </c>
      <c r="O318" s="3" t="s">
        <v>42</v>
      </c>
      <c r="P318" s="3" t="s">
        <v>3067</v>
      </c>
      <c r="Q318" s="3" t="s">
        <v>42</v>
      </c>
      <c r="R318" s="17" t="s">
        <v>42</v>
      </c>
      <c r="S318" s="17">
        <v>1</v>
      </c>
      <c r="T318" s="17">
        <v>1</v>
      </c>
      <c r="U318" s="17" t="s">
        <v>42</v>
      </c>
      <c r="V318" s="17" t="s">
        <v>42</v>
      </c>
      <c r="W318" s="5" t="s">
        <v>395</v>
      </c>
      <c r="X318" s="3" t="s">
        <v>3068</v>
      </c>
      <c r="Y318" s="9" t="str">
        <f>HYPERLINK("http://linkedin.com/in/fahad-albattar-9190911ba/", "http://linkedin.com/in/fahad-albattar-9190911ba/")</f>
        <v>http://linkedin.com/in/fahad-albattar-9190911ba/</v>
      </c>
      <c r="Z318" s="3" t="s">
        <v>396</v>
      </c>
      <c r="AA318" s="3" t="s">
        <v>397</v>
      </c>
      <c r="AB318" s="3" t="s">
        <v>42</v>
      </c>
      <c r="AC318" s="3" t="s">
        <v>398</v>
      </c>
      <c r="AD318" s="3" t="s">
        <v>42</v>
      </c>
      <c r="AE318" s="5" t="s">
        <v>399</v>
      </c>
      <c r="AF318" s="3" t="s">
        <v>60</v>
      </c>
      <c r="AG318" s="5" t="s">
        <v>400</v>
      </c>
      <c r="AH318" s="3" t="s">
        <v>61</v>
      </c>
      <c r="AI318" s="3" t="s">
        <v>61</v>
      </c>
      <c r="AJ318" s="3" t="s">
        <v>42</v>
      </c>
      <c r="AK318" s="3" t="s">
        <v>42</v>
      </c>
      <c r="AL318" s="29">
        <v>45448</v>
      </c>
      <c r="AM318" s="5" t="s">
        <v>42</v>
      </c>
      <c r="AN318" s="9" t="str">
        <f>HYPERLINK("https://my.pitchbook.com?p=323146-00P", "View People Online")</f>
        <v>View People Online</v>
      </c>
    </row>
    <row r="319" spans="1:40" x14ac:dyDescent="0.2">
      <c r="A319" s="2" t="s">
        <v>3069</v>
      </c>
      <c r="B319" s="2" t="s">
        <v>3070</v>
      </c>
      <c r="C319" s="2" t="s">
        <v>42</v>
      </c>
      <c r="D319" s="2" t="s">
        <v>42</v>
      </c>
      <c r="E319" s="2" t="s">
        <v>3069</v>
      </c>
      <c r="F319" s="2" t="s">
        <v>3071</v>
      </c>
      <c r="G319" s="2" t="s">
        <v>686</v>
      </c>
      <c r="H319" s="2" t="s">
        <v>284</v>
      </c>
      <c r="I319" s="2" t="s">
        <v>42</v>
      </c>
      <c r="J319" s="2" t="s">
        <v>42</v>
      </c>
      <c r="K319" s="2" t="s">
        <v>2192</v>
      </c>
      <c r="L319" s="2" t="s">
        <v>111</v>
      </c>
      <c r="M319" s="8" t="str">
        <f>HYPERLINK("http://www.alhokair.com", "www.alhokair.com")</f>
        <v>www.alhokair.com</v>
      </c>
      <c r="N319" s="2" t="s">
        <v>112</v>
      </c>
      <c r="O319" s="2" t="s">
        <v>42</v>
      </c>
      <c r="P319" s="2" t="s">
        <v>3072</v>
      </c>
      <c r="Q319" s="2" t="s">
        <v>42</v>
      </c>
      <c r="R319" s="16">
        <v>1</v>
      </c>
      <c r="S319" s="16">
        <v>1</v>
      </c>
      <c r="T319" s="16">
        <v>1</v>
      </c>
      <c r="U319" s="16" t="s">
        <v>42</v>
      </c>
      <c r="V319" s="16" t="s">
        <v>42</v>
      </c>
      <c r="W319" s="4" t="s">
        <v>2194</v>
      </c>
      <c r="X319" s="2" t="s">
        <v>3073</v>
      </c>
      <c r="Y319" s="8" t="str">
        <f>HYPERLINK("http://linkedin.com/in/fahad-al-obailan-8ba93437/?originalsubdomain=sa", "http://linkedin.com/in/fahad-al-obailan-8ba93437/?originalsubdomain=sa")</f>
        <v>http://linkedin.com/in/fahad-al-obailan-8ba93437/?originalsubdomain=sa</v>
      </c>
      <c r="Z319" s="2" t="s">
        <v>55</v>
      </c>
      <c r="AA319" s="2" t="s">
        <v>2196</v>
      </c>
      <c r="AB319" s="2" t="s">
        <v>2197</v>
      </c>
      <c r="AC319" s="2" t="s">
        <v>58</v>
      </c>
      <c r="AD319" s="2" t="s">
        <v>42</v>
      </c>
      <c r="AE319" s="4" t="s">
        <v>2198</v>
      </c>
      <c r="AF319" s="2" t="s">
        <v>60</v>
      </c>
      <c r="AG319" s="4" t="s">
        <v>42</v>
      </c>
      <c r="AH319" s="2" t="s">
        <v>61</v>
      </c>
      <c r="AI319" s="2" t="s">
        <v>61</v>
      </c>
      <c r="AJ319" s="2" t="s">
        <v>42</v>
      </c>
      <c r="AK319" s="2" t="s">
        <v>42</v>
      </c>
      <c r="AL319" s="28">
        <v>45980</v>
      </c>
      <c r="AM319" s="4">
        <v>1964</v>
      </c>
      <c r="AN319" s="8" t="str">
        <f>HYPERLINK("https://my.pitchbook.com?p=425589-58P", "View People Online")</f>
        <v>View People Online</v>
      </c>
    </row>
    <row r="320" spans="1:40" x14ac:dyDescent="0.2">
      <c r="A320" s="3" t="s">
        <v>3074</v>
      </c>
      <c r="B320" s="3" t="s">
        <v>3075</v>
      </c>
      <c r="C320" s="3" t="s">
        <v>42</v>
      </c>
      <c r="D320" s="3" t="s">
        <v>42</v>
      </c>
      <c r="E320" s="3" t="s">
        <v>3074</v>
      </c>
      <c r="F320" s="3" t="s">
        <v>3076</v>
      </c>
      <c r="G320" s="3" t="s">
        <v>686</v>
      </c>
      <c r="H320" s="3" t="s">
        <v>3077</v>
      </c>
      <c r="I320" s="3" t="s">
        <v>46</v>
      </c>
      <c r="J320" s="3" t="s">
        <v>47</v>
      </c>
      <c r="K320" s="3" t="s">
        <v>3078</v>
      </c>
      <c r="L320" s="3" t="s">
        <v>111</v>
      </c>
      <c r="M320" s="9" t="str">
        <f>HYPERLINK("http://www.epcco.com.sa", "www.epcco.com.sa")</f>
        <v>www.epcco.com.sa</v>
      </c>
      <c r="N320" s="3" t="s">
        <v>210</v>
      </c>
      <c r="O320" s="3" t="s">
        <v>42</v>
      </c>
      <c r="P320" s="3" t="s">
        <v>3079</v>
      </c>
      <c r="Q320" s="3" t="s">
        <v>42</v>
      </c>
      <c r="R320" s="17" t="s">
        <v>42</v>
      </c>
      <c r="S320" s="17">
        <v>1</v>
      </c>
      <c r="T320" s="17">
        <v>1</v>
      </c>
      <c r="U320" s="17" t="s">
        <v>42</v>
      </c>
      <c r="V320" s="17" t="s">
        <v>42</v>
      </c>
      <c r="W320" s="5" t="s">
        <v>3080</v>
      </c>
      <c r="X320" s="3" t="s">
        <v>3081</v>
      </c>
      <c r="Y320" s="9" t="str">
        <f>HYPERLINK("http://linkedin.com/in/fahad-alotaibi-9a741b52/", "http://linkedin.com/in/fahad-alotaibi-9a741b52/")</f>
        <v>http://linkedin.com/in/fahad-alotaibi-9a741b52/</v>
      </c>
      <c r="Z320" s="3" t="s">
        <v>383</v>
      </c>
      <c r="AA320" s="3" t="s">
        <v>3082</v>
      </c>
      <c r="AB320" s="3" t="s">
        <v>42</v>
      </c>
      <c r="AC320" s="3" t="s">
        <v>385</v>
      </c>
      <c r="AD320" s="3" t="s">
        <v>42</v>
      </c>
      <c r="AE320" s="5" t="s">
        <v>3083</v>
      </c>
      <c r="AF320" s="3" t="s">
        <v>60</v>
      </c>
      <c r="AG320" s="5" t="s">
        <v>3084</v>
      </c>
      <c r="AH320" s="3" t="s">
        <v>61</v>
      </c>
      <c r="AI320" s="3" t="s">
        <v>61</v>
      </c>
      <c r="AJ320" s="3" t="s">
        <v>42</v>
      </c>
      <c r="AK320" s="3" t="s">
        <v>42</v>
      </c>
      <c r="AL320" s="29">
        <v>45692</v>
      </c>
      <c r="AM320" s="5" t="s">
        <v>42</v>
      </c>
      <c r="AN320" s="9" t="str">
        <f>HYPERLINK("https://my.pitchbook.com?p=329802-13P", "View People Online")</f>
        <v>View People Online</v>
      </c>
    </row>
    <row r="321" spans="1:40" x14ac:dyDescent="0.2">
      <c r="A321" s="2" t="s">
        <v>3085</v>
      </c>
      <c r="B321" s="2" t="s">
        <v>3086</v>
      </c>
      <c r="C321" s="2" t="s">
        <v>42</v>
      </c>
      <c r="D321" s="2" t="s">
        <v>42</v>
      </c>
      <c r="E321" s="2" t="s">
        <v>3085</v>
      </c>
      <c r="F321" s="2" t="s">
        <v>3087</v>
      </c>
      <c r="G321" s="2" t="s">
        <v>686</v>
      </c>
      <c r="H321" s="2" t="s">
        <v>3088</v>
      </c>
      <c r="I321" s="2" t="s">
        <v>46</v>
      </c>
      <c r="J321" s="2" t="s">
        <v>47</v>
      </c>
      <c r="K321" s="2" t="s">
        <v>3089</v>
      </c>
      <c r="L321" s="2" t="s">
        <v>111</v>
      </c>
      <c r="M321" s="8" t="str">
        <f>HYPERLINK("http://www.nbm.com.sa", "www.nbm.com.sa")</f>
        <v>www.nbm.com.sa</v>
      </c>
      <c r="N321" s="2" t="s">
        <v>246</v>
      </c>
      <c r="O321" s="2" t="s">
        <v>42</v>
      </c>
      <c r="P321" s="2" t="s">
        <v>3090</v>
      </c>
      <c r="Q321" s="2" t="s">
        <v>42</v>
      </c>
      <c r="R321" s="16">
        <v>1</v>
      </c>
      <c r="S321" s="16">
        <v>1</v>
      </c>
      <c r="T321" s="16" t="s">
        <v>42</v>
      </c>
      <c r="U321" s="16" t="s">
        <v>42</v>
      </c>
      <c r="V321" s="16" t="s">
        <v>42</v>
      </c>
      <c r="W321" s="4" t="s">
        <v>3091</v>
      </c>
      <c r="X321" s="2" t="s">
        <v>42</v>
      </c>
      <c r="Y321" s="2" t="s">
        <v>42</v>
      </c>
      <c r="Z321" s="2" t="s">
        <v>55</v>
      </c>
      <c r="AA321" s="2" t="s">
        <v>2687</v>
      </c>
      <c r="AB321" s="2" t="s">
        <v>3092</v>
      </c>
      <c r="AC321" s="2" t="s">
        <v>58</v>
      </c>
      <c r="AD321" s="2" t="s">
        <v>42</v>
      </c>
      <c r="AE321" s="4" t="s">
        <v>3093</v>
      </c>
      <c r="AF321" s="2" t="s">
        <v>60</v>
      </c>
      <c r="AG321" s="4" t="s">
        <v>3094</v>
      </c>
      <c r="AH321" s="2" t="s">
        <v>61</v>
      </c>
      <c r="AI321" s="2" t="s">
        <v>61</v>
      </c>
      <c r="AJ321" s="2" t="s">
        <v>42</v>
      </c>
      <c r="AK321" s="2" t="s">
        <v>42</v>
      </c>
      <c r="AL321" s="28">
        <v>45936</v>
      </c>
      <c r="AM321" s="4" t="s">
        <v>42</v>
      </c>
      <c r="AN321" s="8" t="str">
        <f>HYPERLINK("https://my.pitchbook.com?p=467797-15P", "View People Online")</f>
        <v>View People Online</v>
      </c>
    </row>
    <row r="322" spans="1:40" x14ac:dyDescent="0.2">
      <c r="A322" s="3" t="s">
        <v>3095</v>
      </c>
      <c r="B322" s="3" t="s">
        <v>3096</v>
      </c>
      <c r="C322" s="3" t="s">
        <v>42</v>
      </c>
      <c r="D322" s="3" t="s">
        <v>42</v>
      </c>
      <c r="E322" s="3" t="s">
        <v>3095</v>
      </c>
      <c r="F322" s="3" t="s">
        <v>3097</v>
      </c>
      <c r="G322" s="3" t="s">
        <v>686</v>
      </c>
      <c r="H322" s="3" t="s">
        <v>42</v>
      </c>
      <c r="I322" s="3" t="s">
        <v>46</v>
      </c>
      <c r="J322" s="3" t="s">
        <v>47</v>
      </c>
      <c r="K322" s="3" t="s">
        <v>3098</v>
      </c>
      <c r="L322" s="3" t="s">
        <v>111</v>
      </c>
      <c r="M322" s="9" t="str">
        <f>HYPERLINK("http://www.al-akaria.com", "www.al-akaria.com")</f>
        <v>www.al-akaria.com</v>
      </c>
      <c r="N322" s="3" t="s">
        <v>534</v>
      </c>
      <c r="O322" s="3" t="s">
        <v>42</v>
      </c>
      <c r="P322" s="3" t="s">
        <v>3099</v>
      </c>
      <c r="Q322" s="3" t="s">
        <v>42</v>
      </c>
      <c r="R322" s="17" t="s">
        <v>42</v>
      </c>
      <c r="S322" s="17">
        <v>1</v>
      </c>
      <c r="T322" s="17">
        <v>1</v>
      </c>
      <c r="U322" s="17" t="s">
        <v>42</v>
      </c>
      <c r="V322" s="17" t="s">
        <v>42</v>
      </c>
      <c r="W322" s="5" t="s">
        <v>3100</v>
      </c>
      <c r="X322" s="3" t="s">
        <v>3101</v>
      </c>
      <c r="Y322" s="9" t="str">
        <f>HYPERLINK("http://linkedin.com/in/alaslami/?originalsubdomain=sa", "http://linkedin.com/in/alaslami/?originalsubdomain=sa")</f>
        <v>http://linkedin.com/in/alaslami/?originalsubdomain=sa</v>
      </c>
      <c r="Z322" s="3" t="s">
        <v>55</v>
      </c>
      <c r="AA322" s="3" t="s">
        <v>3102</v>
      </c>
      <c r="AB322" s="3" t="s">
        <v>3103</v>
      </c>
      <c r="AC322" s="3" t="s">
        <v>58</v>
      </c>
      <c r="AD322" s="3" t="s">
        <v>42</v>
      </c>
      <c r="AE322" s="5" t="s">
        <v>1906</v>
      </c>
      <c r="AF322" s="3" t="s">
        <v>60</v>
      </c>
      <c r="AG322" s="5" t="s">
        <v>3104</v>
      </c>
      <c r="AH322" s="3" t="s">
        <v>61</v>
      </c>
      <c r="AI322" s="3" t="s">
        <v>61</v>
      </c>
      <c r="AJ322" s="3" t="s">
        <v>42</v>
      </c>
      <c r="AK322" s="3" t="s">
        <v>2073</v>
      </c>
      <c r="AL322" s="29">
        <v>46055</v>
      </c>
      <c r="AM322" s="5" t="s">
        <v>42</v>
      </c>
      <c r="AN322" s="9" t="str">
        <f>HYPERLINK("https://my.pitchbook.com?p=484618-06P", "View People Online")</f>
        <v>View People Online</v>
      </c>
    </row>
    <row r="323" spans="1:40" x14ac:dyDescent="0.2">
      <c r="A323" s="2" t="s">
        <v>3105</v>
      </c>
      <c r="B323" s="2" t="s">
        <v>3106</v>
      </c>
      <c r="C323" s="2" t="s">
        <v>42</v>
      </c>
      <c r="D323" s="2" t="s">
        <v>42</v>
      </c>
      <c r="E323" s="2" t="s">
        <v>3105</v>
      </c>
      <c r="F323" s="2" t="s">
        <v>3107</v>
      </c>
      <c r="G323" s="2" t="s">
        <v>686</v>
      </c>
      <c r="H323" s="2" t="s">
        <v>2466</v>
      </c>
      <c r="I323" s="2" t="s">
        <v>46</v>
      </c>
      <c r="J323" s="2" t="s">
        <v>47</v>
      </c>
      <c r="K323" s="2" t="s">
        <v>3108</v>
      </c>
      <c r="L323" s="2" t="s">
        <v>111</v>
      </c>
      <c r="M323" s="8" t="str">
        <f>HYPERLINK("http://advancedpetrochem.com", "advancedpetrochem.com")</f>
        <v>advancedpetrochem.com</v>
      </c>
      <c r="N323" s="2" t="s">
        <v>1003</v>
      </c>
      <c r="O323" s="2" t="s">
        <v>42</v>
      </c>
      <c r="P323" s="2" t="s">
        <v>3109</v>
      </c>
      <c r="Q323" s="2" t="s">
        <v>42</v>
      </c>
      <c r="R323" s="16" t="s">
        <v>42</v>
      </c>
      <c r="S323" s="16">
        <v>1</v>
      </c>
      <c r="T323" s="16">
        <v>1</v>
      </c>
      <c r="U323" s="16" t="s">
        <v>42</v>
      </c>
      <c r="V323" s="16" t="s">
        <v>42</v>
      </c>
      <c r="W323" s="4" t="s">
        <v>3110</v>
      </c>
      <c r="X323" s="2" t="s">
        <v>3111</v>
      </c>
      <c r="Y323" s="8" t="str">
        <f>HYPERLINK("http://linkedin.com/in/fahad-al-matrafi-72aaa959/?originalsubdomain=sa", "http://linkedin.com/in/fahad-al-matrafi-72aaa959/?originalsubdomain=sa")</f>
        <v>http://linkedin.com/in/fahad-al-matrafi-72aaa959/?originalsubdomain=sa</v>
      </c>
      <c r="Z323" s="2" t="s">
        <v>396</v>
      </c>
      <c r="AA323" s="2" t="s">
        <v>3112</v>
      </c>
      <c r="AB323" s="2" t="s">
        <v>42</v>
      </c>
      <c r="AC323" s="2" t="s">
        <v>398</v>
      </c>
      <c r="AD323" s="2" t="s">
        <v>42</v>
      </c>
      <c r="AE323" s="4" t="s">
        <v>399</v>
      </c>
      <c r="AF323" s="2" t="s">
        <v>60</v>
      </c>
      <c r="AG323" s="4" t="s">
        <v>3113</v>
      </c>
      <c r="AH323" s="2" t="s">
        <v>61</v>
      </c>
      <c r="AI323" s="2" t="s">
        <v>61</v>
      </c>
      <c r="AJ323" s="2" t="s">
        <v>42</v>
      </c>
      <c r="AK323" s="2" t="s">
        <v>42</v>
      </c>
      <c r="AL323" s="28">
        <v>45838</v>
      </c>
      <c r="AM323" s="4">
        <v>1971</v>
      </c>
      <c r="AN323" s="8" t="str">
        <f>HYPERLINK("https://my.pitchbook.com?p=315872-74P", "View People Online")</f>
        <v>View People Online</v>
      </c>
    </row>
    <row r="324" spans="1:40" x14ac:dyDescent="0.2">
      <c r="A324" s="3" t="s">
        <v>3114</v>
      </c>
      <c r="B324" s="3" t="s">
        <v>3115</v>
      </c>
      <c r="C324" s="3" t="s">
        <v>42</v>
      </c>
      <c r="D324" s="3" t="s">
        <v>42</v>
      </c>
      <c r="E324" s="3" t="s">
        <v>3114</v>
      </c>
      <c r="F324" s="3" t="s">
        <v>3116</v>
      </c>
      <c r="G324" s="3" t="s">
        <v>686</v>
      </c>
      <c r="H324" s="3" t="s">
        <v>42</v>
      </c>
      <c r="I324" s="3" t="s">
        <v>46</v>
      </c>
      <c r="J324" s="3" t="s">
        <v>47</v>
      </c>
      <c r="K324" s="3" t="s">
        <v>1765</v>
      </c>
      <c r="L324" s="3" t="s">
        <v>111</v>
      </c>
      <c r="M324" s="9" t="str">
        <f>HYPERLINK("http://www.armahsports.com", "www.armahsports.com")</f>
        <v>www.armahsports.com</v>
      </c>
      <c r="N324" s="3" t="s">
        <v>3022</v>
      </c>
      <c r="O324" s="3" t="s">
        <v>42</v>
      </c>
      <c r="P324" s="3" t="s">
        <v>3117</v>
      </c>
      <c r="Q324" s="3" t="s">
        <v>42</v>
      </c>
      <c r="R324" s="17" t="s">
        <v>42</v>
      </c>
      <c r="S324" s="17">
        <v>1</v>
      </c>
      <c r="T324" s="17">
        <v>1</v>
      </c>
      <c r="U324" s="17" t="s">
        <v>42</v>
      </c>
      <c r="V324" s="17" t="s">
        <v>42</v>
      </c>
      <c r="W324" s="5" t="s">
        <v>1768</v>
      </c>
      <c r="X324" s="3" t="s">
        <v>3118</v>
      </c>
      <c r="Y324" s="9" t="str">
        <f>HYPERLINK("http://linkedin.com/in/fahad-alhagbani-5830b362/", "http://linkedin.com/in/fahad-alhagbani-5830b362/")</f>
        <v>http://linkedin.com/in/fahad-alhagbani-5830b362/</v>
      </c>
      <c r="Z324" s="3" t="s">
        <v>55</v>
      </c>
      <c r="AA324" s="3" t="s">
        <v>1770</v>
      </c>
      <c r="AB324" s="3" t="s">
        <v>1771</v>
      </c>
      <c r="AC324" s="3" t="s">
        <v>58</v>
      </c>
      <c r="AD324" s="3" t="s">
        <v>42</v>
      </c>
      <c r="AE324" s="5" t="s">
        <v>1772</v>
      </c>
      <c r="AF324" s="3" t="s">
        <v>60</v>
      </c>
      <c r="AG324" s="5" t="s">
        <v>42</v>
      </c>
      <c r="AH324" s="3" t="s">
        <v>61</v>
      </c>
      <c r="AI324" s="3" t="s">
        <v>61</v>
      </c>
      <c r="AJ324" s="3" t="s">
        <v>42</v>
      </c>
      <c r="AK324" s="3" t="s">
        <v>42</v>
      </c>
      <c r="AL324" s="29">
        <v>45838</v>
      </c>
      <c r="AM324" s="5">
        <v>1979</v>
      </c>
      <c r="AN324" s="9" t="str">
        <f>HYPERLINK("https://my.pitchbook.com?p=371498-50P", "View People Online")</f>
        <v>View People Online</v>
      </c>
    </row>
    <row r="325" spans="1:40" x14ac:dyDescent="0.2">
      <c r="A325" s="2" t="s">
        <v>3119</v>
      </c>
      <c r="B325" s="2" t="s">
        <v>3120</v>
      </c>
      <c r="C325" s="2" t="s">
        <v>42</v>
      </c>
      <c r="D325" s="2" t="s">
        <v>42</v>
      </c>
      <c r="E325" s="2" t="s">
        <v>3119</v>
      </c>
      <c r="F325" s="2" t="s">
        <v>3121</v>
      </c>
      <c r="G325" s="2" t="s">
        <v>686</v>
      </c>
      <c r="H325" s="2" t="s">
        <v>42</v>
      </c>
      <c r="I325" s="2" t="s">
        <v>46</v>
      </c>
      <c r="J325" s="2" t="s">
        <v>47</v>
      </c>
      <c r="K325" s="2" t="s">
        <v>3122</v>
      </c>
      <c r="L325" s="2" t="s">
        <v>111</v>
      </c>
      <c r="M325" s="8" t="str">
        <f>HYPERLINK("http://www.ataa.sa", "www.ataa.sa")</f>
        <v>www.ataa.sa</v>
      </c>
      <c r="N325" s="2" t="s">
        <v>210</v>
      </c>
      <c r="O325" s="2" t="s">
        <v>42</v>
      </c>
      <c r="P325" s="2" t="s">
        <v>3123</v>
      </c>
      <c r="Q325" s="2" t="s">
        <v>42</v>
      </c>
      <c r="R325" s="16" t="s">
        <v>42</v>
      </c>
      <c r="S325" s="16">
        <v>1</v>
      </c>
      <c r="T325" s="16">
        <v>1</v>
      </c>
      <c r="U325" s="16" t="s">
        <v>42</v>
      </c>
      <c r="V325" s="16" t="s">
        <v>42</v>
      </c>
      <c r="W325" s="4" t="s">
        <v>3124</v>
      </c>
      <c r="X325" s="2" t="s">
        <v>42</v>
      </c>
      <c r="Y325" s="8" t="str">
        <f>HYPERLINK("http://linkedin.com/in/fahad-altuwaijry-ph-d-8182721a4", "http://linkedin.com/in/fahad-altuwaijry-ph-d-8182721a4")</f>
        <v>http://linkedin.com/in/fahad-altuwaijry-ph-d-8182721a4</v>
      </c>
      <c r="Z325" s="2" t="s">
        <v>55</v>
      </c>
      <c r="AA325" s="2" t="s">
        <v>2687</v>
      </c>
      <c r="AB325" s="2" t="s">
        <v>3125</v>
      </c>
      <c r="AC325" s="2" t="s">
        <v>58</v>
      </c>
      <c r="AD325" s="2" t="s">
        <v>42</v>
      </c>
      <c r="AE325" s="4" t="s">
        <v>42</v>
      </c>
      <c r="AF325" s="2" t="s">
        <v>60</v>
      </c>
      <c r="AG325" s="4" t="s">
        <v>42</v>
      </c>
      <c r="AH325" s="2" t="s">
        <v>61</v>
      </c>
      <c r="AI325" s="2" t="s">
        <v>61</v>
      </c>
      <c r="AJ325" s="2" t="s">
        <v>42</v>
      </c>
      <c r="AK325" s="2" t="s">
        <v>2073</v>
      </c>
      <c r="AL325" s="28">
        <v>46055</v>
      </c>
      <c r="AM325" s="4" t="s">
        <v>42</v>
      </c>
      <c r="AN325" s="8" t="str">
        <f>HYPERLINK("https://my.pitchbook.com?p=484487-83P", "View People Online")</f>
        <v>View People Online</v>
      </c>
    </row>
    <row r="326" spans="1:40" x14ac:dyDescent="0.2">
      <c r="A326" s="3" t="s">
        <v>3126</v>
      </c>
      <c r="B326" s="3" t="s">
        <v>3127</v>
      </c>
      <c r="C326" s="3" t="s">
        <v>42</v>
      </c>
      <c r="D326" s="3" t="s">
        <v>42</v>
      </c>
      <c r="E326" s="3" t="s">
        <v>3126</v>
      </c>
      <c r="F326" s="3" t="s">
        <v>3128</v>
      </c>
      <c r="G326" s="3" t="s">
        <v>686</v>
      </c>
      <c r="H326" s="3" t="s">
        <v>42</v>
      </c>
      <c r="I326" s="3" t="s">
        <v>46</v>
      </c>
      <c r="J326" s="3" t="s">
        <v>47</v>
      </c>
      <c r="K326" s="3" t="s">
        <v>2820</v>
      </c>
      <c r="L326" s="3" t="s">
        <v>111</v>
      </c>
      <c r="M326" s="9" t="str">
        <f>HYPERLINK("http://www.nayifat.com", "www.nayifat.com")</f>
        <v>www.nayifat.com</v>
      </c>
      <c r="N326" s="3" t="s">
        <v>210</v>
      </c>
      <c r="O326" s="3" t="s">
        <v>42</v>
      </c>
      <c r="P326" s="3" t="s">
        <v>3129</v>
      </c>
      <c r="Q326" s="3" t="s">
        <v>42</v>
      </c>
      <c r="R326" s="17" t="s">
        <v>42</v>
      </c>
      <c r="S326" s="17">
        <v>1</v>
      </c>
      <c r="T326" s="17">
        <v>1</v>
      </c>
      <c r="U326" s="17" t="s">
        <v>42</v>
      </c>
      <c r="V326" s="17" t="s">
        <v>42</v>
      </c>
      <c r="W326" s="5" t="s">
        <v>2822</v>
      </c>
      <c r="X326" s="3" t="s">
        <v>3130</v>
      </c>
      <c r="Y326" s="3" t="s">
        <v>42</v>
      </c>
      <c r="Z326" s="3" t="s">
        <v>55</v>
      </c>
      <c r="AA326" s="3" t="s">
        <v>2823</v>
      </c>
      <c r="AB326" s="3" t="s">
        <v>2824</v>
      </c>
      <c r="AC326" s="3" t="s">
        <v>58</v>
      </c>
      <c r="AD326" s="3" t="s">
        <v>42</v>
      </c>
      <c r="AE326" s="5" t="s">
        <v>2825</v>
      </c>
      <c r="AF326" s="3" t="s">
        <v>60</v>
      </c>
      <c r="AG326" s="5" t="s">
        <v>42</v>
      </c>
      <c r="AH326" s="3" t="s">
        <v>61</v>
      </c>
      <c r="AI326" s="3" t="s">
        <v>61</v>
      </c>
      <c r="AJ326" s="3" t="s">
        <v>42</v>
      </c>
      <c r="AK326" s="3" t="s">
        <v>42</v>
      </c>
      <c r="AL326" s="29">
        <v>45653</v>
      </c>
      <c r="AM326" s="5" t="s">
        <v>42</v>
      </c>
      <c r="AN326" s="9" t="str">
        <f>HYPERLINK("https://my.pitchbook.com?p=426660-49P", "View People Online")</f>
        <v>View People Online</v>
      </c>
    </row>
    <row r="327" spans="1:40" x14ac:dyDescent="0.2">
      <c r="A327" s="2" t="s">
        <v>3131</v>
      </c>
      <c r="B327" s="2" t="s">
        <v>3132</v>
      </c>
      <c r="C327" s="2" t="s">
        <v>42</v>
      </c>
      <c r="D327" s="2" t="s">
        <v>42</v>
      </c>
      <c r="E327" s="2" t="s">
        <v>3131</v>
      </c>
      <c r="F327" s="2" t="s">
        <v>3133</v>
      </c>
      <c r="G327" s="2" t="s">
        <v>686</v>
      </c>
      <c r="H327" s="2" t="s">
        <v>42</v>
      </c>
      <c r="I327" s="2" t="s">
        <v>46</v>
      </c>
      <c r="J327" s="2" t="s">
        <v>47</v>
      </c>
      <c r="K327" s="2" t="s">
        <v>3134</v>
      </c>
      <c r="L327" s="2" t="s">
        <v>111</v>
      </c>
      <c r="M327" s="8" t="str">
        <f>HYPERLINK("http://www.spc-parts.com", "www.spc-parts.com")</f>
        <v>www.spc-parts.com</v>
      </c>
      <c r="N327" s="2" t="s">
        <v>447</v>
      </c>
      <c r="O327" s="2" t="s">
        <v>42</v>
      </c>
      <c r="P327" s="2" t="s">
        <v>3135</v>
      </c>
      <c r="Q327" s="2" t="s">
        <v>3136</v>
      </c>
      <c r="R327" s="16" t="s">
        <v>42</v>
      </c>
      <c r="S327" s="16">
        <v>1</v>
      </c>
      <c r="T327" s="16">
        <v>1</v>
      </c>
      <c r="U327" s="16" t="s">
        <v>42</v>
      </c>
      <c r="V327" s="16" t="s">
        <v>42</v>
      </c>
      <c r="W327" s="4" t="s">
        <v>3137</v>
      </c>
      <c r="X327" s="2" t="s">
        <v>3138</v>
      </c>
      <c r="Y327" s="8" t="str">
        <f>HYPERLINK("http://linkedin.com/in/fahad-m-alkhorayef-3b22b5b/?originalsubdomain=sa", "http://linkedin.com/in/fahad-m-alkhorayef-3b22b5b/?originalsubdomain=sa")</f>
        <v>http://linkedin.com/in/fahad-m-alkhorayef-3b22b5b/?originalsubdomain=sa</v>
      </c>
      <c r="Z327" s="2" t="s">
        <v>55</v>
      </c>
      <c r="AA327" s="2" t="s">
        <v>3139</v>
      </c>
      <c r="AB327" s="2" t="s">
        <v>453</v>
      </c>
      <c r="AC327" s="2" t="s">
        <v>58</v>
      </c>
      <c r="AD327" s="2" t="s">
        <v>42</v>
      </c>
      <c r="AE327" s="4" t="s">
        <v>727</v>
      </c>
      <c r="AF327" s="2" t="s">
        <v>60</v>
      </c>
      <c r="AG327" s="4" t="s">
        <v>42</v>
      </c>
      <c r="AH327" s="2" t="s">
        <v>61</v>
      </c>
      <c r="AI327" s="2" t="s">
        <v>61</v>
      </c>
      <c r="AJ327" s="2" t="s">
        <v>42</v>
      </c>
      <c r="AK327" s="2" t="s">
        <v>42</v>
      </c>
      <c r="AL327" s="28">
        <v>45838</v>
      </c>
      <c r="AM327" s="4">
        <v>1981</v>
      </c>
      <c r="AN327" s="8" t="str">
        <f>HYPERLINK("https://my.pitchbook.com?p=323197-39P", "View People Online")</f>
        <v>View People Online</v>
      </c>
    </row>
    <row r="328" spans="1:40" x14ac:dyDescent="0.2">
      <c r="A328" s="3" t="s">
        <v>3140</v>
      </c>
      <c r="B328" s="3" t="s">
        <v>3141</v>
      </c>
      <c r="C328" s="3" t="s">
        <v>42</v>
      </c>
      <c r="D328" s="3" t="s">
        <v>42</v>
      </c>
      <c r="E328" s="3" t="s">
        <v>3140</v>
      </c>
      <c r="F328" s="3" t="s">
        <v>3142</v>
      </c>
      <c r="G328" s="3" t="s">
        <v>3143</v>
      </c>
      <c r="H328" s="3" t="s">
        <v>42</v>
      </c>
      <c r="I328" s="3" t="s">
        <v>46</v>
      </c>
      <c r="J328" s="3" t="s">
        <v>47</v>
      </c>
      <c r="K328" s="3" t="s">
        <v>2401</v>
      </c>
      <c r="L328" s="3" t="s">
        <v>111</v>
      </c>
      <c r="M328" s="9" t="str">
        <f>HYPERLINK("http://www.ycc.sa", "www.ycc.sa")</f>
        <v>www.ycc.sa</v>
      </c>
      <c r="N328" s="3" t="s">
        <v>246</v>
      </c>
      <c r="O328" s="3" t="s">
        <v>42</v>
      </c>
      <c r="P328" s="3" t="s">
        <v>3144</v>
      </c>
      <c r="Q328" s="3" t="s">
        <v>42</v>
      </c>
      <c r="R328" s="17">
        <v>1</v>
      </c>
      <c r="S328" s="17">
        <v>1</v>
      </c>
      <c r="T328" s="17" t="s">
        <v>42</v>
      </c>
      <c r="U328" s="17" t="s">
        <v>42</v>
      </c>
      <c r="V328" s="17" t="s">
        <v>42</v>
      </c>
      <c r="W328" s="5" t="s">
        <v>2403</v>
      </c>
      <c r="X328" s="3" t="s">
        <v>42</v>
      </c>
      <c r="Y328" s="3" t="s">
        <v>42</v>
      </c>
      <c r="Z328" s="3" t="s">
        <v>174</v>
      </c>
      <c r="AA328" s="3" t="s">
        <v>2405</v>
      </c>
      <c r="AB328" s="3" t="s">
        <v>42</v>
      </c>
      <c r="AC328" s="3" t="s">
        <v>176</v>
      </c>
      <c r="AD328" s="3" t="s">
        <v>42</v>
      </c>
      <c r="AE328" s="5" t="s">
        <v>879</v>
      </c>
      <c r="AF328" s="3" t="s">
        <v>60</v>
      </c>
      <c r="AG328" s="5" t="s">
        <v>2406</v>
      </c>
      <c r="AH328" s="3" t="s">
        <v>61</v>
      </c>
      <c r="AI328" s="3" t="s">
        <v>61</v>
      </c>
      <c r="AJ328" s="3" t="s">
        <v>42</v>
      </c>
      <c r="AK328" s="3" t="s">
        <v>42</v>
      </c>
      <c r="AL328" s="29">
        <v>45467</v>
      </c>
      <c r="AM328" s="5" t="s">
        <v>42</v>
      </c>
      <c r="AN328" s="9" t="str">
        <f>HYPERLINK("https://my.pitchbook.com?p=235567-63P", "View People Online")</f>
        <v>View People Online</v>
      </c>
    </row>
    <row r="329" spans="1:40" x14ac:dyDescent="0.2">
      <c r="A329" s="2" t="s">
        <v>3145</v>
      </c>
      <c r="B329" s="2" t="s">
        <v>3146</v>
      </c>
      <c r="C329" s="2" t="s">
        <v>42</v>
      </c>
      <c r="D329" s="2" t="s">
        <v>42</v>
      </c>
      <c r="E329" s="2" t="s">
        <v>3145</v>
      </c>
      <c r="F329" s="2" t="s">
        <v>3147</v>
      </c>
      <c r="G329" s="2" t="s">
        <v>123</v>
      </c>
      <c r="H329" s="2" t="s">
        <v>3148</v>
      </c>
      <c r="I329" s="2" t="s">
        <v>46</v>
      </c>
      <c r="J329" s="2" t="s">
        <v>47</v>
      </c>
      <c r="K329" s="2" t="s">
        <v>3149</v>
      </c>
      <c r="L329" s="2" t="s">
        <v>111</v>
      </c>
      <c r="M329" s="8" t="str">
        <f>HYPERLINK("http://sal.sa", "sal.sa")</f>
        <v>sal.sa</v>
      </c>
      <c r="N329" s="2" t="s">
        <v>112</v>
      </c>
      <c r="O329" s="2" t="s">
        <v>42</v>
      </c>
      <c r="P329" s="2" t="s">
        <v>3150</v>
      </c>
      <c r="Q329" s="2" t="s">
        <v>128</v>
      </c>
      <c r="R329" s="16">
        <v>1</v>
      </c>
      <c r="S329" s="16">
        <v>1</v>
      </c>
      <c r="T329" s="16">
        <v>1</v>
      </c>
      <c r="U329" s="16" t="s">
        <v>42</v>
      </c>
      <c r="V329" s="16" t="s">
        <v>42</v>
      </c>
      <c r="W329" s="4" t="s">
        <v>3151</v>
      </c>
      <c r="X329" s="2" t="s">
        <v>3152</v>
      </c>
      <c r="Y329" s="8" t="str">
        <f>HYPERLINK("http://linkedin.com/in/faisalalbedah/", "http://linkedin.com/in/faisalalbedah/")</f>
        <v>http://linkedin.com/in/faisalalbedah/</v>
      </c>
      <c r="Z329" s="2" t="s">
        <v>174</v>
      </c>
      <c r="AA329" s="2" t="s">
        <v>3153</v>
      </c>
      <c r="AB329" s="2" t="s">
        <v>3154</v>
      </c>
      <c r="AC329" s="2" t="s">
        <v>176</v>
      </c>
      <c r="AD329" s="2" t="s">
        <v>42</v>
      </c>
      <c r="AE329" s="4" t="s">
        <v>42</v>
      </c>
      <c r="AF329" s="2" t="s">
        <v>60</v>
      </c>
      <c r="AG329" s="4" t="s">
        <v>42</v>
      </c>
      <c r="AH329" s="2" t="s">
        <v>61</v>
      </c>
      <c r="AI329" s="2" t="s">
        <v>61</v>
      </c>
      <c r="AJ329" s="2" t="s">
        <v>42</v>
      </c>
      <c r="AK329" s="2" t="s">
        <v>42</v>
      </c>
      <c r="AL329" s="28">
        <v>45973</v>
      </c>
      <c r="AM329" s="4">
        <v>1979</v>
      </c>
      <c r="AN329" s="8" t="str">
        <f>HYPERLINK("https://my.pitchbook.com?p=364791-97P", "View People Online")</f>
        <v>View People Online</v>
      </c>
    </row>
    <row r="330" spans="1:40" x14ac:dyDescent="0.2">
      <c r="A330" s="3" t="s">
        <v>3155</v>
      </c>
      <c r="B330" s="3" t="s">
        <v>3156</v>
      </c>
      <c r="C330" s="3" t="s">
        <v>42</v>
      </c>
      <c r="D330" s="3" t="s">
        <v>42</v>
      </c>
      <c r="E330" s="3" t="s">
        <v>3155</v>
      </c>
      <c r="F330" s="3" t="s">
        <v>3157</v>
      </c>
      <c r="G330" s="3" t="s">
        <v>123</v>
      </c>
      <c r="H330" s="3" t="s">
        <v>42</v>
      </c>
      <c r="I330" s="3" t="s">
        <v>46</v>
      </c>
      <c r="J330" s="3" t="s">
        <v>47</v>
      </c>
      <c r="K330" s="3" t="s">
        <v>3158</v>
      </c>
      <c r="L330" s="3" t="s">
        <v>111</v>
      </c>
      <c r="M330" s="9" t="str">
        <f>HYPERLINK("http://www.gasarabian.com", "www.gasarabian.com")</f>
        <v>www.gasarabian.com</v>
      </c>
      <c r="N330" s="3" t="s">
        <v>2285</v>
      </c>
      <c r="O330" s="3" t="s">
        <v>42</v>
      </c>
      <c r="P330" s="3" t="s">
        <v>3159</v>
      </c>
      <c r="Q330" s="3" t="s">
        <v>42</v>
      </c>
      <c r="R330" s="17">
        <v>1</v>
      </c>
      <c r="S330" s="17">
        <v>1</v>
      </c>
      <c r="T330" s="17">
        <v>1</v>
      </c>
      <c r="U330" s="17" t="s">
        <v>42</v>
      </c>
      <c r="V330" s="17" t="s">
        <v>42</v>
      </c>
      <c r="W330" s="5" t="s">
        <v>3160</v>
      </c>
      <c r="X330" s="3" t="s">
        <v>42</v>
      </c>
      <c r="Y330" s="9" t="str">
        <f>HYPERLINK("http://linkedin.com/in/faisal-k-aldabal-13b9b1233/", "http://linkedin.com/in/faisal-k-aldabal-13b9b1233/")</f>
        <v>http://linkedin.com/in/faisal-k-aldabal-13b9b1233/</v>
      </c>
      <c r="Z330" s="3" t="s">
        <v>383</v>
      </c>
      <c r="AA330" s="3" t="s">
        <v>3161</v>
      </c>
      <c r="AB330" s="3" t="s">
        <v>3162</v>
      </c>
      <c r="AC330" s="3" t="s">
        <v>385</v>
      </c>
      <c r="AD330" s="3" t="s">
        <v>42</v>
      </c>
      <c r="AE330" s="5" t="s">
        <v>3163</v>
      </c>
      <c r="AF330" s="3" t="s">
        <v>60</v>
      </c>
      <c r="AG330" s="5" t="s">
        <v>3164</v>
      </c>
      <c r="AH330" s="3" t="s">
        <v>61</v>
      </c>
      <c r="AI330" s="3" t="s">
        <v>61</v>
      </c>
      <c r="AJ330" s="3" t="s">
        <v>42</v>
      </c>
      <c r="AK330" s="3" t="s">
        <v>42</v>
      </c>
      <c r="AL330" s="29">
        <v>45369</v>
      </c>
      <c r="AM330" s="5" t="s">
        <v>42</v>
      </c>
      <c r="AN330" s="9" t="str">
        <f>HYPERLINK("https://my.pitchbook.com?p=325986-40P", "View People Online")</f>
        <v>View People Online</v>
      </c>
    </row>
    <row r="331" spans="1:40" x14ac:dyDescent="0.2">
      <c r="A331" s="2" t="s">
        <v>3165</v>
      </c>
      <c r="B331" s="2" t="s">
        <v>3166</v>
      </c>
      <c r="C331" s="2" t="s">
        <v>42</v>
      </c>
      <c r="D331" s="2" t="s">
        <v>42</v>
      </c>
      <c r="E331" s="2" t="s">
        <v>3165</v>
      </c>
      <c r="F331" s="2" t="s">
        <v>3167</v>
      </c>
      <c r="G331" s="2" t="s">
        <v>123</v>
      </c>
      <c r="H331" s="2" t="s">
        <v>3168</v>
      </c>
      <c r="I331" s="2" t="s">
        <v>46</v>
      </c>
      <c r="J331" s="2" t="s">
        <v>47</v>
      </c>
      <c r="K331" s="2" t="s">
        <v>3169</v>
      </c>
      <c r="L331" s="2" t="s">
        <v>111</v>
      </c>
      <c r="M331" s="8" t="str">
        <f>HYPERLINK("http://www.paperhome.com.sa", "www.paperhome.com.sa")</f>
        <v>www.paperhome.com.sa</v>
      </c>
      <c r="N331" s="2" t="s">
        <v>447</v>
      </c>
      <c r="O331" s="2" t="s">
        <v>42</v>
      </c>
      <c r="P331" s="2" t="s">
        <v>3170</v>
      </c>
      <c r="Q331" s="2" t="s">
        <v>42</v>
      </c>
      <c r="R331" s="16" t="s">
        <v>42</v>
      </c>
      <c r="S331" s="16">
        <v>1</v>
      </c>
      <c r="T331" s="16">
        <v>1</v>
      </c>
      <c r="U331" s="16" t="s">
        <v>42</v>
      </c>
      <c r="V331" s="16" t="s">
        <v>42</v>
      </c>
      <c r="W331" s="4" t="s">
        <v>3171</v>
      </c>
      <c r="X331" s="2" t="s">
        <v>3172</v>
      </c>
      <c r="Y331" s="2" t="s">
        <v>42</v>
      </c>
      <c r="Z331" s="2" t="s">
        <v>55</v>
      </c>
      <c r="AA331" s="2" t="s">
        <v>3173</v>
      </c>
      <c r="AB331" s="2" t="s">
        <v>3174</v>
      </c>
      <c r="AC331" s="2" t="s">
        <v>58</v>
      </c>
      <c r="AD331" s="2" t="s">
        <v>42</v>
      </c>
      <c r="AE331" s="4" t="s">
        <v>42</v>
      </c>
      <c r="AF331" s="2" t="s">
        <v>60</v>
      </c>
      <c r="AG331" s="4" t="s">
        <v>42</v>
      </c>
      <c r="AH331" s="2" t="s">
        <v>61</v>
      </c>
      <c r="AI331" s="2" t="s">
        <v>61</v>
      </c>
      <c r="AJ331" s="2" t="s">
        <v>42</v>
      </c>
      <c r="AK331" s="2" t="s">
        <v>42</v>
      </c>
      <c r="AL331" s="28">
        <v>45966</v>
      </c>
      <c r="AM331" s="4" t="s">
        <v>42</v>
      </c>
      <c r="AN331" s="8" t="str">
        <f>HYPERLINK("https://my.pitchbook.com?p=363601-18P", "View People Online")</f>
        <v>View People Online</v>
      </c>
    </row>
    <row r="332" spans="1:40" x14ac:dyDescent="0.2">
      <c r="A332" s="3" t="s">
        <v>3175</v>
      </c>
      <c r="B332" s="3" t="s">
        <v>3176</v>
      </c>
      <c r="C332" s="3" t="s">
        <v>42</v>
      </c>
      <c r="D332" s="3" t="s">
        <v>42</v>
      </c>
      <c r="E332" s="3" t="s">
        <v>3175</v>
      </c>
      <c r="F332" s="3" t="s">
        <v>3177</v>
      </c>
      <c r="G332" s="3" t="s">
        <v>123</v>
      </c>
      <c r="H332" s="3" t="s">
        <v>543</v>
      </c>
      <c r="I332" s="3" t="s">
        <v>46</v>
      </c>
      <c r="J332" s="3" t="s">
        <v>47</v>
      </c>
      <c r="K332" s="3" t="s">
        <v>1712</v>
      </c>
      <c r="L332" s="3" t="s">
        <v>111</v>
      </c>
      <c r="M332" s="9" t="str">
        <f>HYPERLINK("http://quarafinance.com", "quarafinance.com")</f>
        <v>quarafinance.com</v>
      </c>
      <c r="N332" s="3" t="s">
        <v>210</v>
      </c>
      <c r="O332" s="3" t="s">
        <v>42</v>
      </c>
      <c r="P332" s="3" t="s">
        <v>3178</v>
      </c>
      <c r="Q332" s="3" t="s">
        <v>42</v>
      </c>
      <c r="R332" s="17" t="s">
        <v>42</v>
      </c>
      <c r="S332" s="17">
        <v>1</v>
      </c>
      <c r="T332" s="17">
        <v>1</v>
      </c>
      <c r="U332" s="17" t="s">
        <v>42</v>
      </c>
      <c r="V332" s="17" t="s">
        <v>42</v>
      </c>
      <c r="W332" s="5" t="s">
        <v>42</v>
      </c>
      <c r="X332" s="3" t="s">
        <v>3179</v>
      </c>
      <c r="Y332" s="3" t="s">
        <v>42</v>
      </c>
      <c r="Z332" s="3" t="s">
        <v>55</v>
      </c>
      <c r="AA332" s="3" t="s">
        <v>1716</v>
      </c>
      <c r="AB332" s="3" t="s">
        <v>42</v>
      </c>
      <c r="AC332" s="3" t="s">
        <v>58</v>
      </c>
      <c r="AD332" s="3" t="s">
        <v>58</v>
      </c>
      <c r="AE332" s="5" t="s">
        <v>918</v>
      </c>
      <c r="AF332" s="3" t="s">
        <v>60</v>
      </c>
      <c r="AG332" s="5" t="s">
        <v>42</v>
      </c>
      <c r="AH332" s="3" t="s">
        <v>61</v>
      </c>
      <c r="AI332" s="3" t="s">
        <v>61</v>
      </c>
      <c r="AJ332" s="3" t="s">
        <v>42</v>
      </c>
      <c r="AK332" s="3" t="s">
        <v>42</v>
      </c>
      <c r="AL332" s="29">
        <v>45964</v>
      </c>
      <c r="AM332" s="5" t="s">
        <v>42</v>
      </c>
      <c r="AN332" s="9" t="str">
        <f>HYPERLINK("https://my.pitchbook.com?p=380793-43P", "View People Online")</f>
        <v>View People Online</v>
      </c>
    </row>
    <row r="333" spans="1:40" x14ac:dyDescent="0.2">
      <c r="A333" s="2" t="s">
        <v>3180</v>
      </c>
      <c r="B333" s="2" t="s">
        <v>3181</v>
      </c>
      <c r="C333" s="2" t="s">
        <v>42</v>
      </c>
      <c r="D333" s="2" t="s">
        <v>42</v>
      </c>
      <c r="E333" s="2" t="s">
        <v>3180</v>
      </c>
      <c r="F333" s="2" t="s">
        <v>3182</v>
      </c>
      <c r="G333" s="2" t="s">
        <v>123</v>
      </c>
      <c r="H333" s="2" t="s">
        <v>622</v>
      </c>
      <c r="I333" s="2" t="s">
        <v>46</v>
      </c>
      <c r="J333" s="2" t="s">
        <v>47</v>
      </c>
      <c r="K333" s="2" t="s">
        <v>3158</v>
      </c>
      <c r="L333" s="2" t="s">
        <v>111</v>
      </c>
      <c r="M333" s="8" t="str">
        <f>HYPERLINK("http://www.gasarabian.com", "www.gasarabian.com")</f>
        <v>www.gasarabian.com</v>
      </c>
      <c r="N333" s="2" t="s">
        <v>370</v>
      </c>
      <c r="O333" s="2" t="s">
        <v>42</v>
      </c>
      <c r="P333" s="2" t="s">
        <v>3183</v>
      </c>
      <c r="Q333" s="2" t="s">
        <v>42</v>
      </c>
      <c r="R333" s="16" t="s">
        <v>42</v>
      </c>
      <c r="S333" s="16">
        <v>1</v>
      </c>
      <c r="T333" s="16">
        <v>1</v>
      </c>
      <c r="U333" s="16" t="s">
        <v>42</v>
      </c>
      <c r="V333" s="16" t="s">
        <v>42</v>
      </c>
      <c r="W333" s="4" t="s">
        <v>3160</v>
      </c>
      <c r="X333" s="2" t="s">
        <v>3184</v>
      </c>
      <c r="Y333" s="8" t="str">
        <f>HYPERLINK("http://linkedin.com/in/faisal-al-sunaid-b4b3b510/", "http://linkedin.com/in/faisal-al-sunaid-b4b3b510/")</f>
        <v>http://linkedin.com/in/faisal-al-sunaid-b4b3b510/</v>
      </c>
      <c r="Z333" s="2" t="s">
        <v>383</v>
      </c>
      <c r="AA333" s="2" t="s">
        <v>3161</v>
      </c>
      <c r="AB333" s="2" t="s">
        <v>3162</v>
      </c>
      <c r="AC333" s="2" t="s">
        <v>385</v>
      </c>
      <c r="AD333" s="2" t="s">
        <v>42</v>
      </c>
      <c r="AE333" s="4" t="s">
        <v>3163</v>
      </c>
      <c r="AF333" s="2" t="s">
        <v>60</v>
      </c>
      <c r="AG333" s="4" t="s">
        <v>3164</v>
      </c>
      <c r="AH333" s="2" t="s">
        <v>61</v>
      </c>
      <c r="AI333" s="2" t="s">
        <v>61</v>
      </c>
      <c r="AJ333" s="2" t="s">
        <v>42</v>
      </c>
      <c r="AK333" s="2" t="s">
        <v>42</v>
      </c>
      <c r="AL333" s="28">
        <v>45838</v>
      </c>
      <c r="AM333" s="4">
        <v>1989</v>
      </c>
      <c r="AN333" s="8" t="str">
        <f>HYPERLINK("https://my.pitchbook.com?p=383599-63P", "View People Online")</f>
        <v>View People Online</v>
      </c>
    </row>
    <row r="334" spans="1:40" x14ac:dyDescent="0.2">
      <c r="A334" s="3" t="s">
        <v>3185</v>
      </c>
      <c r="B334" s="3" t="s">
        <v>3186</v>
      </c>
      <c r="C334" s="3" t="s">
        <v>42</v>
      </c>
      <c r="D334" s="3" t="s">
        <v>42</v>
      </c>
      <c r="E334" s="3" t="s">
        <v>3185</v>
      </c>
      <c r="F334" s="3" t="s">
        <v>3187</v>
      </c>
      <c r="G334" s="3" t="s">
        <v>3188</v>
      </c>
      <c r="H334" s="3" t="s">
        <v>3189</v>
      </c>
      <c r="I334" s="3" t="s">
        <v>46</v>
      </c>
      <c r="J334" s="3" t="s">
        <v>47</v>
      </c>
      <c r="K334" s="3" t="s">
        <v>2346</v>
      </c>
      <c r="L334" s="3" t="s">
        <v>111</v>
      </c>
      <c r="M334" s="9" t="str">
        <f>HYPERLINK("http://www.bci.sa", "www.bci.sa")</f>
        <v>www.bci.sa</v>
      </c>
      <c r="N334" s="3" t="s">
        <v>534</v>
      </c>
      <c r="O334" s="3" t="s">
        <v>42</v>
      </c>
      <c r="P334" s="3" t="s">
        <v>3190</v>
      </c>
      <c r="Q334" s="3" t="s">
        <v>42</v>
      </c>
      <c r="R334" s="17" t="s">
        <v>42</v>
      </c>
      <c r="S334" s="17">
        <v>1</v>
      </c>
      <c r="T334" s="17">
        <v>1</v>
      </c>
      <c r="U334" s="17" t="s">
        <v>42</v>
      </c>
      <c r="V334" s="17" t="s">
        <v>42</v>
      </c>
      <c r="W334" s="5" t="s">
        <v>2348</v>
      </c>
      <c r="X334" s="3" t="s">
        <v>3191</v>
      </c>
      <c r="Y334" s="9" t="str">
        <f>HYPERLINK("http://linkedin.com/in/fares-lahoud-2020/", "http://linkedin.com/in/fares-lahoud-2020/")</f>
        <v>http://linkedin.com/in/fares-lahoud-2020/</v>
      </c>
      <c r="Z334" s="3" t="s">
        <v>383</v>
      </c>
      <c r="AA334" s="3" t="s">
        <v>2349</v>
      </c>
      <c r="AB334" s="3" t="s">
        <v>42</v>
      </c>
      <c r="AC334" s="3" t="s">
        <v>385</v>
      </c>
      <c r="AD334" s="3" t="s">
        <v>42</v>
      </c>
      <c r="AE334" s="5" t="s">
        <v>2350</v>
      </c>
      <c r="AF334" s="3" t="s">
        <v>60</v>
      </c>
      <c r="AG334" s="5" t="s">
        <v>42</v>
      </c>
      <c r="AH334" s="3" t="s">
        <v>61</v>
      </c>
      <c r="AI334" s="3" t="s">
        <v>61</v>
      </c>
      <c r="AJ334" s="3" t="s">
        <v>42</v>
      </c>
      <c r="AK334" s="3" t="s">
        <v>42</v>
      </c>
      <c r="AL334" s="29">
        <v>45722</v>
      </c>
      <c r="AM334" s="5" t="s">
        <v>42</v>
      </c>
      <c r="AN334" s="9" t="str">
        <f>HYPERLINK("https://my.pitchbook.com?p=339957-91P", "View People Online")</f>
        <v>View People Online</v>
      </c>
    </row>
    <row r="335" spans="1:40" x14ac:dyDescent="0.2">
      <c r="A335" s="2" t="s">
        <v>3192</v>
      </c>
      <c r="B335" s="2" t="s">
        <v>3193</v>
      </c>
      <c r="C335" s="2" t="s">
        <v>42</v>
      </c>
      <c r="D335" s="2" t="s">
        <v>42</v>
      </c>
      <c r="E335" s="2" t="s">
        <v>3192</v>
      </c>
      <c r="F335" s="2" t="s">
        <v>3194</v>
      </c>
      <c r="G335" s="2" t="s">
        <v>3195</v>
      </c>
      <c r="H335" s="2" t="s">
        <v>42</v>
      </c>
      <c r="I335" s="2" t="s">
        <v>46</v>
      </c>
      <c r="J335" s="2" t="s">
        <v>47</v>
      </c>
      <c r="K335" s="2" t="s">
        <v>80</v>
      </c>
      <c r="L335" s="2" t="s">
        <v>81</v>
      </c>
      <c r="M335" s="8" t="str">
        <f>HYPERLINK("http://jadwa.com", "jadwa.com")</f>
        <v>jadwa.com</v>
      </c>
      <c r="N335" s="2" t="s">
        <v>3196</v>
      </c>
      <c r="O335" s="2" t="s">
        <v>42</v>
      </c>
      <c r="P335" s="2" t="s">
        <v>3197</v>
      </c>
      <c r="Q335" s="2" t="s">
        <v>3198</v>
      </c>
      <c r="R335" s="16" t="s">
        <v>42</v>
      </c>
      <c r="S335" s="16">
        <v>1</v>
      </c>
      <c r="T335" s="16">
        <v>1</v>
      </c>
      <c r="U335" s="16" t="s">
        <v>42</v>
      </c>
      <c r="V335" s="16" t="s">
        <v>42</v>
      </c>
      <c r="W335" s="4" t="s">
        <v>85</v>
      </c>
      <c r="X335" s="2" t="s">
        <v>3199</v>
      </c>
      <c r="Y335" s="8" t="str">
        <f>HYPERLINK("http://linkedin.com/in/farhan-hussain-26ba0a18/?originalsubdomain=sa", "http://linkedin.com/in/farhan-hussain-26ba0a18/?originalsubdomain=sa")</f>
        <v>http://linkedin.com/in/farhan-hussain-26ba0a18/?originalsubdomain=sa</v>
      </c>
      <c r="Z335" s="2" t="s">
        <v>55</v>
      </c>
      <c r="AA335" s="2" t="s">
        <v>87</v>
      </c>
      <c r="AB335" s="2" t="s">
        <v>88</v>
      </c>
      <c r="AC335" s="2" t="s">
        <v>58</v>
      </c>
      <c r="AD335" s="2" t="s">
        <v>42</v>
      </c>
      <c r="AE335" s="4" t="s">
        <v>89</v>
      </c>
      <c r="AF335" s="2" t="s">
        <v>60</v>
      </c>
      <c r="AG335" s="4" t="s">
        <v>90</v>
      </c>
      <c r="AH335" s="2" t="s">
        <v>61</v>
      </c>
      <c r="AI335" s="2" t="s">
        <v>61</v>
      </c>
      <c r="AJ335" s="2" t="s">
        <v>42</v>
      </c>
      <c r="AK335" s="2" t="s">
        <v>42</v>
      </c>
      <c r="AL335" s="28">
        <v>45954</v>
      </c>
      <c r="AM335" s="4" t="s">
        <v>42</v>
      </c>
      <c r="AN335" s="8" t="str">
        <f>HYPERLINK("https://my.pitchbook.com?p=308168-74P", "View People Online")</f>
        <v>View People Online</v>
      </c>
    </row>
    <row r="336" spans="1:40" x14ac:dyDescent="0.2">
      <c r="A336" s="3" t="s">
        <v>3200</v>
      </c>
      <c r="B336" s="3" t="s">
        <v>3201</v>
      </c>
      <c r="C336" s="3" t="s">
        <v>42</v>
      </c>
      <c r="D336" s="3" t="s">
        <v>42</v>
      </c>
      <c r="E336" s="3" t="s">
        <v>3200</v>
      </c>
      <c r="F336" s="3" t="s">
        <v>3202</v>
      </c>
      <c r="G336" s="3" t="s">
        <v>719</v>
      </c>
      <c r="H336" s="3" t="s">
        <v>3203</v>
      </c>
      <c r="I336" s="3" t="s">
        <v>46</v>
      </c>
      <c r="J336" s="3" t="s">
        <v>47</v>
      </c>
      <c r="K336" s="3" t="s">
        <v>3204</v>
      </c>
      <c r="L336" s="3" t="s">
        <v>111</v>
      </c>
      <c r="M336" s="9" t="str">
        <f>HYPERLINK("http://gulfunion.com.sa", "gulfunion.com.sa")</f>
        <v>gulfunion.com.sa</v>
      </c>
      <c r="N336" s="3" t="s">
        <v>534</v>
      </c>
      <c r="O336" s="3" t="s">
        <v>42</v>
      </c>
      <c r="P336" s="3" t="s">
        <v>3205</v>
      </c>
      <c r="Q336" s="3" t="s">
        <v>42</v>
      </c>
      <c r="R336" s="17" t="s">
        <v>42</v>
      </c>
      <c r="S336" s="17">
        <v>1</v>
      </c>
      <c r="T336" s="17">
        <v>1</v>
      </c>
      <c r="U336" s="17" t="s">
        <v>42</v>
      </c>
      <c r="V336" s="17" t="s">
        <v>42</v>
      </c>
      <c r="W336" s="5" t="s">
        <v>3206</v>
      </c>
      <c r="X336" s="3" t="s">
        <v>3207</v>
      </c>
      <c r="Y336" s="9" t="str">
        <f>HYPERLINK("http://linkedin.com/in/faris-alhabbad-7bbba59b/", "http://linkedin.com/in/faris-alhabbad-7bbba59b/")</f>
        <v>http://linkedin.com/in/faris-alhabbad-7bbba59b/</v>
      </c>
      <c r="Z336" s="3" t="s">
        <v>383</v>
      </c>
      <c r="AA336" s="3" t="s">
        <v>3208</v>
      </c>
      <c r="AB336" s="3" t="s">
        <v>3209</v>
      </c>
      <c r="AC336" s="3" t="s">
        <v>385</v>
      </c>
      <c r="AD336" s="3" t="s">
        <v>42</v>
      </c>
      <c r="AE336" s="5" t="s">
        <v>3210</v>
      </c>
      <c r="AF336" s="3" t="s">
        <v>60</v>
      </c>
      <c r="AG336" s="5" t="s">
        <v>42</v>
      </c>
      <c r="AH336" s="3" t="s">
        <v>61</v>
      </c>
      <c r="AI336" s="3" t="s">
        <v>61</v>
      </c>
      <c r="AJ336" s="3" t="s">
        <v>42</v>
      </c>
      <c r="AK336" s="3" t="s">
        <v>42</v>
      </c>
      <c r="AL336" s="29">
        <v>45967</v>
      </c>
      <c r="AM336" s="5" t="s">
        <v>42</v>
      </c>
      <c r="AN336" s="9" t="str">
        <f>HYPERLINK("https://my.pitchbook.com?p=385438-78P", "View People Online")</f>
        <v>View People Online</v>
      </c>
    </row>
    <row r="337" spans="1:40" x14ac:dyDescent="0.2">
      <c r="A337" s="2" t="s">
        <v>3211</v>
      </c>
      <c r="B337" s="2" t="s">
        <v>3212</v>
      </c>
      <c r="C337" s="2" t="s">
        <v>42</v>
      </c>
      <c r="D337" s="2" t="s">
        <v>42</v>
      </c>
      <c r="E337" s="2" t="s">
        <v>3211</v>
      </c>
      <c r="F337" s="2" t="s">
        <v>45</v>
      </c>
      <c r="G337" s="2" t="s">
        <v>3213</v>
      </c>
      <c r="H337" s="2" t="s">
        <v>66</v>
      </c>
      <c r="I337" s="2" t="s">
        <v>46</v>
      </c>
      <c r="J337" s="2" t="s">
        <v>47</v>
      </c>
      <c r="K337" s="2" t="s">
        <v>3214</v>
      </c>
      <c r="L337" s="2" t="s">
        <v>111</v>
      </c>
      <c r="M337" s="8" t="str">
        <f>HYPERLINK("http://www.maadaniyah.com", "www.maadaniyah.com")</f>
        <v>www.maadaniyah.com</v>
      </c>
      <c r="N337" s="2" t="s">
        <v>534</v>
      </c>
      <c r="O337" s="2" t="s">
        <v>42</v>
      </c>
      <c r="P337" s="2" t="s">
        <v>3215</v>
      </c>
      <c r="Q337" s="2" t="s">
        <v>42</v>
      </c>
      <c r="R337" s="16" t="s">
        <v>42</v>
      </c>
      <c r="S337" s="16">
        <v>1</v>
      </c>
      <c r="T337" s="16">
        <v>1</v>
      </c>
      <c r="U337" s="16" t="s">
        <v>42</v>
      </c>
      <c r="V337" s="16" t="s">
        <v>42</v>
      </c>
      <c r="W337" s="4" t="s">
        <v>3216</v>
      </c>
      <c r="X337" s="2" t="s">
        <v>3217</v>
      </c>
      <c r="Y337" s="8" t="str">
        <f>HYPERLINK("http://linkedin.com/in/fathalrahman-a-osman-402336161/", "http://linkedin.com/in/fathalrahman-a-osman-402336161/")</f>
        <v>http://linkedin.com/in/fathalrahman-a-osman-402336161/</v>
      </c>
      <c r="Z337" s="2" t="s">
        <v>396</v>
      </c>
      <c r="AA337" s="2" t="s">
        <v>3218</v>
      </c>
      <c r="AB337" s="2" t="s">
        <v>3219</v>
      </c>
      <c r="AC337" s="2" t="s">
        <v>398</v>
      </c>
      <c r="AD337" s="2" t="s">
        <v>42</v>
      </c>
      <c r="AE337" s="4" t="s">
        <v>399</v>
      </c>
      <c r="AF337" s="2" t="s">
        <v>60</v>
      </c>
      <c r="AG337" s="4" t="s">
        <v>3220</v>
      </c>
      <c r="AH337" s="2" t="s">
        <v>61</v>
      </c>
      <c r="AI337" s="2" t="s">
        <v>61</v>
      </c>
      <c r="AJ337" s="2" t="s">
        <v>42</v>
      </c>
      <c r="AK337" s="2" t="s">
        <v>42</v>
      </c>
      <c r="AL337" s="28">
        <v>45960</v>
      </c>
      <c r="AM337" s="4" t="s">
        <v>42</v>
      </c>
      <c r="AN337" s="8" t="str">
        <f>HYPERLINK("https://my.pitchbook.com?p=381219-94P", "View People Online")</f>
        <v>View People Online</v>
      </c>
    </row>
    <row r="338" spans="1:40" x14ac:dyDescent="0.2">
      <c r="A338" s="3" t="s">
        <v>3221</v>
      </c>
      <c r="B338" s="3" t="s">
        <v>3222</v>
      </c>
      <c r="C338" s="3" t="s">
        <v>42</v>
      </c>
      <c r="D338" s="3" t="s">
        <v>42</v>
      </c>
      <c r="E338" s="3" t="s">
        <v>3221</v>
      </c>
      <c r="F338" s="3" t="s">
        <v>730</v>
      </c>
      <c r="G338" s="3" t="s">
        <v>423</v>
      </c>
      <c r="H338" s="3" t="s">
        <v>42</v>
      </c>
      <c r="I338" s="3" t="s">
        <v>46</v>
      </c>
      <c r="J338" s="3" t="s">
        <v>47</v>
      </c>
      <c r="K338" s="3" t="s">
        <v>3223</v>
      </c>
      <c r="L338" s="3" t="s">
        <v>111</v>
      </c>
      <c r="M338" s="9" t="str">
        <f>HYPERLINK("http://www.benasteel.com", "www.benasteel.com")</f>
        <v>www.benasteel.com</v>
      </c>
      <c r="N338" s="3" t="s">
        <v>210</v>
      </c>
      <c r="O338" s="3" t="s">
        <v>42</v>
      </c>
      <c r="P338" s="3" t="s">
        <v>3224</v>
      </c>
      <c r="Q338" s="3" t="s">
        <v>42</v>
      </c>
      <c r="R338" s="17" t="s">
        <v>42</v>
      </c>
      <c r="S338" s="17">
        <v>1</v>
      </c>
      <c r="T338" s="17">
        <v>1</v>
      </c>
      <c r="U338" s="17" t="s">
        <v>42</v>
      </c>
      <c r="V338" s="17" t="s">
        <v>42</v>
      </c>
      <c r="W338" s="5" t="s">
        <v>3225</v>
      </c>
      <c r="X338" s="3" t="s">
        <v>3226</v>
      </c>
      <c r="Y338" s="3" t="s">
        <v>42</v>
      </c>
      <c r="Z338" s="3" t="s">
        <v>383</v>
      </c>
      <c r="AA338" s="3" t="s">
        <v>3227</v>
      </c>
      <c r="AB338" s="3" t="s">
        <v>3228</v>
      </c>
      <c r="AC338" s="3" t="s">
        <v>385</v>
      </c>
      <c r="AD338" s="3" t="s">
        <v>42</v>
      </c>
      <c r="AE338" s="5" t="s">
        <v>3229</v>
      </c>
      <c r="AF338" s="3" t="s">
        <v>60</v>
      </c>
      <c r="AG338" s="5" t="s">
        <v>3230</v>
      </c>
      <c r="AH338" s="3" t="s">
        <v>61</v>
      </c>
      <c r="AI338" s="3" t="s">
        <v>61</v>
      </c>
      <c r="AJ338" s="3" t="s">
        <v>42</v>
      </c>
      <c r="AK338" s="3" t="s">
        <v>42</v>
      </c>
      <c r="AL338" s="29">
        <v>45728</v>
      </c>
      <c r="AM338" s="5" t="s">
        <v>42</v>
      </c>
      <c r="AN338" s="9" t="str">
        <f>HYPERLINK("https://my.pitchbook.com?p=340991-47P", "View People Online")</f>
        <v>View People Online</v>
      </c>
    </row>
    <row r="339" spans="1:40" x14ac:dyDescent="0.2">
      <c r="A339" s="2" t="s">
        <v>3231</v>
      </c>
      <c r="B339" s="2" t="s">
        <v>3232</v>
      </c>
      <c r="C339" s="2" t="s">
        <v>42</v>
      </c>
      <c r="D339" s="2" t="s">
        <v>42</v>
      </c>
      <c r="E339" s="2" t="s">
        <v>3231</v>
      </c>
      <c r="F339" s="2" t="s">
        <v>3233</v>
      </c>
      <c r="G339" s="2" t="s">
        <v>423</v>
      </c>
      <c r="H339" s="2" t="s">
        <v>223</v>
      </c>
      <c r="I339" s="2" t="s">
        <v>46</v>
      </c>
      <c r="J339" s="2" t="s">
        <v>47</v>
      </c>
      <c r="K339" s="2" t="s">
        <v>2985</v>
      </c>
      <c r="L339" s="2" t="s">
        <v>111</v>
      </c>
      <c r="M339" s="8" t="str">
        <f>HYPERLINK("http://www.tasnee.com", "www.tasnee.com")</f>
        <v>www.tasnee.com</v>
      </c>
      <c r="N339" s="2" t="s">
        <v>112</v>
      </c>
      <c r="O339" s="2" t="s">
        <v>42</v>
      </c>
      <c r="P339" s="2" t="s">
        <v>3234</v>
      </c>
      <c r="Q339" s="2" t="s">
        <v>128</v>
      </c>
      <c r="R339" s="16">
        <v>1</v>
      </c>
      <c r="S339" s="16">
        <v>1</v>
      </c>
      <c r="T339" s="16">
        <v>1</v>
      </c>
      <c r="U339" s="16" t="s">
        <v>42</v>
      </c>
      <c r="V339" s="16" t="s">
        <v>42</v>
      </c>
      <c r="W339" s="4" t="s">
        <v>2988</v>
      </c>
      <c r="X339" s="2" t="s">
        <v>3235</v>
      </c>
      <c r="Y339" s="8" t="str">
        <f>HYPERLINK("http://linkedin.com/in/fawaz-alfawaz-55a97b15b/?originalsubdomain=sa", "http://linkedin.com/in/fawaz-alfawaz-55a97b15b/?originalsubdomain=sa")</f>
        <v>http://linkedin.com/in/fawaz-alfawaz-55a97b15b/?originalsubdomain=sa</v>
      </c>
      <c r="Z339" s="2" t="s">
        <v>55</v>
      </c>
      <c r="AA339" s="2" t="s">
        <v>2989</v>
      </c>
      <c r="AB339" s="2" t="s">
        <v>2990</v>
      </c>
      <c r="AC339" s="2" t="s">
        <v>58</v>
      </c>
      <c r="AD339" s="2" t="s">
        <v>42</v>
      </c>
      <c r="AE339" s="4" t="s">
        <v>682</v>
      </c>
      <c r="AF339" s="2" t="s">
        <v>60</v>
      </c>
      <c r="AG339" s="4" t="s">
        <v>2991</v>
      </c>
      <c r="AH339" s="2" t="s">
        <v>61</v>
      </c>
      <c r="AI339" s="2" t="s">
        <v>61</v>
      </c>
      <c r="AJ339" s="2" t="s">
        <v>42</v>
      </c>
      <c r="AK339" s="2" t="s">
        <v>42</v>
      </c>
      <c r="AL339" s="28">
        <v>45952</v>
      </c>
      <c r="AM339" s="4">
        <v>1993</v>
      </c>
      <c r="AN339" s="8" t="str">
        <f>HYPERLINK("https://my.pitchbook.com?p=415842-22P", "View People Online")</f>
        <v>View People Online</v>
      </c>
    </row>
    <row r="340" spans="1:40" x14ac:dyDescent="0.2">
      <c r="A340" s="3" t="s">
        <v>3236</v>
      </c>
      <c r="B340" s="3" t="s">
        <v>3237</v>
      </c>
      <c r="C340" s="3" t="s">
        <v>42</v>
      </c>
      <c r="D340" s="3" t="s">
        <v>42</v>
      </c>
      <c r="E340" s="3" t="s">
        <v>3236</v>
      </c>
      <c r="F340" s="3" t="s">
        <v>3238</v>
      </c>
      <c r="G340" s="3" t="s">
        <v>423</v>
      </c>
      <c r="H340" s="3" t="s">
        <v>3239</v>
      </c>
      <c r="I340" s="3" t="s">
        <v>42</v>
      </c>
      <c r="J340" s="3" t="s">
        <v>47</v>
      </c>
      <c r="K340" s="3" t="s">
        <v>3149</v>
      </c>
      <c r="L340" s="3" t="s">
        <v>111</v>
      </c>
      <c r="M340" s="9" t="str">
        <f>HYPERLINK("http://sal.sa", "sal.sa")</f>
        <v>sal.sa</v>
      </c>
      <c r="N340" s="3" t="s">
        <v>69</v>
      </c>
      <c r="O340" s="3" t="s">
        <v>42</v>
      </c>
      <c r="P340" s="3" t="s">
        <v>3240</v>
      </c>
      <c r="Q340" s="3" t="s">
        <v>42</v>
      </c>
      <c r="R340" s="17">
        <v>1</v>
      </c>
      <c r="S340" s="17">
        <v>1</v>
      </c>
      <c r="T340" s="17" t="s">
        <v>42</v>
      </c>
      <c r="U340" s="17" t="s">
        <v>42</v>
      </c>
      <c r="V340" s="17" t="s">
        <v>42</v>
      </c>
      <c r="W340" s="5" t="s">
        <v>3151</v>
      </c>
      <c r="X340" s="3" t="s">
        <v>42</v>
      </c>
      <c r="Y340" s="3" t="s">
        <v>42</v>
      </c>
      <c r="Z340" s="3" t="s">
        <v>174</v>
      </c>
      <c r="AA340" s="3" t="s">
        <v>3153</v>
      </c>
      <c r="AB340" s="3" t="s">
        <v>3154</v>
      </c>
      <c r="AC340" s="3" t="s">
        <v>176</v>
      </c>
      <c r="AD340" s="3" t="s">
        <v>42</v>
      </c>
      <c r="AE340" s="5" t="s">
        <v>42</v>
      </c>
      <c r="AF340" s="3" t="s">
        <v>60</v>
      </c>
      <c r="AG340" s="5" t="s">
        <v>42</v>
      </c>
      <c r="AH340" s="3" t="s">
        <v>61</v>
      </c>
      <c r="AI340" s="3" t="s">
        <v>61</v>
      </c>
      <c r="AJ340" s="3" t="s">
        <v>42</v>
      </c>
      <c r="AK340" s="3" t="s">
        <v>42</v>
      </c>
      <c r="AL340" s="29">
        <v>45597</v>
      </c>
      <c r="AM340" s="5" t="s">
        <v>42</v>
      </c>
      <c r="AN340" s="9" t="str">
        <f>HYPERLINK("https://my.pitchbook.com?p=417590-83P", "View People Online")</f>
        <v>View People Online</v>
      </c>
    </row>
    <row r="341" spans="1:40" x14ac:dyDescent="0.2">
      <c r="A341" s="2" t="s">
        <v>3241</v>
      </c>
      <c r="B341" s="2" t="s">
        <v>3242</v>
      </c>
      <c r="C341" s="2" t="s">
        <v>42</v>
      </c>
      <c r="D341" s="2" t="s">
        <v>42</v>
      </c>
      <c r="E341" s="2" t="s">
        <v>3241</v>
      </c>
      <c r="F341" s="2" t="s">
        <v>3243</v>
      </c>
      <c r="G341" s="2" t="s">
        <v>423</v>
      </c>
      <c r="H341" s="2" t="s">
        <v>391</v>
      </c>
      <c r="I341" s="2" t="s">
        <v>46</v>
      </c>
      <c r="J341" s="2" t="s">
        <v>47</v>
      </c>
      <c r="K341" s="2" t="s">
        <v>3244</v>
      </c>
      <c r="L341" s="2" t="s">
        <v>111</v>
      </c>
      <c r="M341" s="8" t="str">
        <f>HYPERLINK("http://www.malath.com.sa", "www.malath.com.sa")</f>
        <v>www.malath.com.sa</v>
      </c>
      <c r="N341" s="2" t="s">
        <v>447</v>
      </c>
      <c r="O341" s="2" t="s">
        <v>42</v>
      </c>
      <c r="P341" s="2" t="s">
        <v>3245</v>
      </c>
      <c r="Q341" s="2" t="s">
        <v>42</v>
      </c>
      <c r="R341" s="16" t="s">
        <v>42</v>
      </c>
      <c r="S341" s="16">
        <v>1</v>
      </c>
      <c r="T341" s="16">
        <v>1</v>
      </c>
      <c r="U341" s="16" t="s">
        <v>42</v>
      </c>
      <c r="V341" s="16" t="s">
        <v>42</v>
      </c>
      <c r="W341" s="4" t="s">
        <v>3246</v>
      </c>
      <c r="X341" s="2" t="s">
        <v>3247</v>
      </c>
      <c r="Y341" s="8" t="str">
        <f>HYPERLINK("http://linkedin.com/in/fawaz-al-hijji-80baa323/", "http://linkedin.com/in/fawaz-al-hijji-80baa323/")</f>
        <v>http://linkedin.com/in/fawaz-al-hijji-80baa323/</v>
      </c>
      <c r="Z341" s="2" t="s">
        <v>55</v>
      </c>
      <c r="AA341" s="2" t="s">
        <v>3248</v>
      </c>
      <c r="AB341" s="2" t="s">
        <v>3249</v>
      </c>
      <c r="AC341" s="2" t="s">
        <v>58</v>
      </c>
      <c r="AD341" s="2" t="s">
        <v>42</v>
      </c>
      <c r="AE341" s="4" t="s">
        <v>408</v>
      </c>
      <c r="AF341" s="2" t="s">
        <v>60</v>
      </c>
      <c r="AG341" s="4" t="s">
        <v>3250</v>
      </c>
      <c r="AH341" s="2" t="s">
        <v>61</v>
      </c>
      <c r="AI341" s="2" t="s">
        <v>61</v>
      </c>
      <c r="AJ341" s="2" t="s">
        <v>42</v>
      </c>
      <c r="AK341" s="2" t="s">
        <v>42</v>
      </c>
      <c r="AL341" s="28">
        <v>45880</v>
      </c>
      <c r="AM341" s="4" t="s">
        <v>42</v>
      </c>
      <c r="AN341" s="8" t="str">
        <f>HYPERLINK("https://my.pitchbook.com?p=324726-40P", "View People Online")</f>
        <v>View People Online</v>
      </c>
    </row>
    <row r="342" spans="1:40" x14ac:dyDescent="0.2">
      <c r="A342" s="3" t="s">
        <v>3251</v>
      </c>
      <c r="B342" s="3" t="s">
        <v>3252</v>
      </c>
      <c r="C342" s="3" t="s">
        <v>42</v>
      </c>
      <c r="D342" s="3" t="s">
        <v>42</v>
      </c>
      <c r="E342" s="3" t="s">
        <v>3251</v>
      </c>
      <c r="F342" s="3" t="s">
        <v>3253</v>
      </c>
      <c r="G342" s="3" t="s">
        <v>423</v>
      </c>
      <c r="H342" s="3" t="s">
        <v>284</v>
      </c>
      <c r="I342" s="3" t="s">
        <v>46</v>
      </c>
      <c r="J342" s="3" t="s">
        <v>47</v>
      </c>
      <c r="K342" s="3" t="s">
        <v>3254</v>
      </c>
      <c r="L342" s="3" t="s">
        <v>111</v>
      </c>
      <c r="M342" s="9" t="str">
        <f>HYPERLINK("http://www.halwani.com", "www.halwani.com")</f>
        <v>www.halwani.com</v>
      </c>
      <c r="N342" s="3" t="s">
        <v>2039</v>
      </c>
      <c r="O342" s="3" t="s">
        <v>42</v>
      </c>
      <c r="P342" s="3" t="s">
        <v>3255</v>
      </c>
      <c r="Q342" s="3" t="s">
        <v>42</v>
      </c>
      <c r="R342" s="17" t="s">
        <v>42</v>
      </c>
      <c r="S342" s="17">
        <v>1</v>
      </c>
      <c r="T342" s="17">
        <v>1</v>
      </c>
      <c r="U342" s="17" t="s">
        <v>42</v>
      </c>
      <c r="V342" s="17" t="s">
        <v>42</v>
      </c>
      <c r="W342" s="5" t="s">
        <v>3256</v>
      </c>
      <c r="X342" s="3" t="s">
        <v>42</v>
      </c>
      <c r="Y342" s="3" t="s">
        <v>42</v>
      </c>
      <c r="Z342" s="3" t="s">
        <v>2581</v>
      </c>
      <c r="AA342" s="3" t="s">
        <v>3257</v>
      </c>
      <c r="AB342" s="3" t="s">
        <v>3258</v>
      </c>
      <c r="AC342" s="3" t="s">
        <v>930</v>
      </c>
      <c r="AD342" s="3" t="s">
        <v>42</v>
      </c>
      <c r="AE342" s="5" t="s">
        <v>42</v>
      </c>
      <c r="AF342" s="3" t="s">
        <v>60</v>
      </c>
      <c r="AG342" s="5" t="s">
        <v>3259</v>
      </c>
      <c r="AH342" s="3" t="s">
        <v>61</v>
      </c>
      <c r="AI342" s="3" t="s">
        <v>61</v>
      </c>
      <c r="AJ342" s="3" t="s">
        <v>42</v>
      </c>
      <c r="AK342" s="3" t="s">
        <v>42</v>
      </c>
      <c r="AL342" s="29">
        <v>45706</v>
      </c>
      <c r="AM342" s="5" t="s">
        <v>42</v>
      </c>
      <c r="AN342" s="9" t="str">
        <f>HYPERLINK("https://my.pitchbook.com?p=370924-30P", "View People Online")</f>
        <v>View People Online</v>
      </c>
    </row>
    <row r="343" spans="1:40" x14ac:dyDescent="0.2">
      <c r="A343" s="2" t="s">
        <v>3260</v>
      </c>
      <c r="B343" s="2" t="s">
        <v>3261</v>
      </c>
      <c r="C343" s="2" t="s">
        <v>42</v>
      </c>
      <c r="D343" s="2" t="s">
        <v>42</v>
      </c>
      <c r="E343" s="2" t="s">
        <v>3260</v>
      </c>
      <c r="F343" s="2" t="s">
        <v>2106</v>
      </c>
      <c r="G343" s="2" t="s">
        <v>731</v>
      </c>
      <c r="H343" s="2" t="s">
        <v>749</v>
      </c>
      <c r="I343" s="2" t="s">
        <v>46</v>
      </c>
      <c r="J343" s="2" t="s">
        <v>47</v>
      </c>
      <c r="K343" s="2" t="s">
        <v>2647</v>
      </c>
      <c r="L343" s="2" t="s">
        <v>111</v>
      </c>
      <c r="M343" s="8" t="str">
        <f>HYPERLINK("http://www.amiantit.com", "www.amiantit.com")</f>
        <v>www.amiantit.com</v>
      </c>
      <c r="N343" s="2" t="s">
        <v>210</v>
      </c>
      <c r="O343" s="2" t="s">
        <v>42</v>
      </c>
      <c r="P343" s="2" t="s">
        <v>3262</v>
      </c>
      <c r="Q343" s="2" t="s">
        <v>42</v>
      </c>
      <c r="R343" s="16" t="s">
        <v>42</v>
      </c>
      <c r="S343" s="16">
        <v>1</v>
      </c>
      <c r="T343" s="16">
        <v>1</v>
      </c>
      <c r="U343" s="16" t="s">
        <v>42</v>
      </c>
      <c r="V343" s="16" t="s">
        <v>42</v>
      </c>
      <c r="W343" s="4" t="s">
        <v>2650</v>
      </c>
      <c r="X343" s="2" t="s">
        <v>3263</v>
      </c>
      <c r="Y343" s="8" t="str">
        <f>HYPERLINK("http://linkedin.com/in/feras-al-harbi-b6650236/?originalsubdomain=sa", "http://linkedin.com/in/feras-al-harbi-b6650236/?originalsubdomain=sa")</f>
        <v>http://linkedin.com/in/feras-al-harbi-b6650236/?originalsubdomain=sa</v>
      </c>
      <c r="Z343" s="2" t="s">
        <v>383</v>
      </c>
      <c r="AA343" s="2" t="s">
        <v>2652</v>
      </c>
      <c r="AB343" s="2" t="s">
        <v>42</v>
      </c>
      <c r="AC343" s="2" t="s">
        <v>385</v>
      </c>
      <c r="AD343" s="2" t="s">
        <v>2653</v>
      </c>
      <c r="AE343" s="4" t="s">
        <v>2654</v>
      </c>
      <c r="AF343" s="2" t="s">
        <v>60</v>
      </c>
      <c r="AG343" s="4" t="s">
        <v>2655</v>
      </c>
      <c r="AH343" s="2" t="s">
        <v>61</v>
      </c>
      <c r="AI343" s="2" t="s">
        <v>61</v>
      </c>
      <c r="AJ343" s="2" t="s">
        <v>42</v>
      </c>
      <c r="AK343" s="2" t="s">
        <v>42</v>
      </c>
      <c r="AL343" s="28">
        <v>45777</v>
      </c>
      <c r="AM343" s="4" t="s">
        <v>42</v>
      </c>
      <c r="AN343" s="8" t="str">
        <f>HYPERLINK("https://my.pitchbook.com?p=293068-00P", "View People Online")</f>
        <v>View People Online</v>
      </c>
    </row>
    <row r="344" spans="1:40" x14ac:dyDescent="0.2">
      <c r="A344" s="3" t="s">
        <v>3264</v>
      </c>
      <c r="B344" s="3" t="s">
        <v>3265</v>
      </c>
      <c r="C344" s="3" t="s">
        <v>42</v>
      </c>
      <c r="D344" s="3" t="s">
        <v>42</v>
      </c>
      <c r="E344" s="3" t="s">
        <v>3264</v>
      </c>
      <c r="F344" s="3" t="s">
        <v>3266</v>
      </c>
      <c r="G344" s="3" t="s">
        <v>3267</v>
      </c>
      <c r="H344" s="3" t="s">
        <v>42</v>
      </c>
      <c r="I344" s="3" t="s">
        <v>46</v>
      </c>
      <c r="J344" s="3" t="s">
        <v>47</v>
      </c>
      <c r="K344" s="3" t="s">
        <v>3008</v>
      </c>
      <c r="L344" s="3" t="s">
        <v>111</v>
      </c>
      <c r="M344" s="9" t="str">
        <f>HYPERLINK("http://www.alamar.com", "www.alamar.com")</f>
        <v>www.alamar.com</v>
      </c>
      <c r="N344" s="3" t="s">
        <v>225</v>
      </c>
      <c r="O344" s="3" t="s">
        <v>42</v>
      </c>
      <c r="P344" s="3" t="s">
        <v>3268</v>
      </c>
      <c r="Q344" s="3" t="s">
        <v>42</v>
      </c>
      <c r="R344" s="17" t="s">
        <v>42</v>
      </c>
      <c r="S344" s="17">
        <v>1</v>
      </c>
      <c r="T344" s="17">
        <v>1</v>
      </c>
      <c r="U344" s="17" t="s">
        <v>42</v>
      </c>
      <c r="V344" s="17" t="s">
        <v>42</v>
      </c>
      <c r="W344" s="5" t="s">
        <v>3011</v>
      </c>
      <c r="X344" s="3" t="s">
        <v>3269</v>
      </c>
      <c r="Y344" s="9" t="str">
        <f>HYPERLINK("http://linkedin.com/in/filippo-sgattoni-971744b", "http://linkedin.com/in/filippo-sgattoni-971744b")</f>
        <v>http://linkedin.com/in/filippo-sgattoni-971744b</v>
      </c>
      <c r="Z344" s="3" t="s">
        <v>55</v>
      </c>
      <c r="AA344" s="3" t="s">
        <v>3013</v>
      </c>
      <c r="AB344" s="3" t="s">
        <v>453</v>
      </c>
      <c r="AC344" s="3" t="s">
        <v>58</v>
      </c>
      <c r="AD344" s="3" t="s">
        <v>42</v>
      </c>
      <c r="AE344" s="5" t="s">
        <v>3014</v>
      </c>
      <c r="AF344" s="3" t="s">
        <v>60</v>
      </c>
      <c r="AG344" s="5" t="s">
        <v>3015</v>
      </c>
      <c r="AH344" s="3" t="s">
        <v>61</v>
      </c>
      <c r="AI344" s="3" t="s">
        <v>61</v>
      </c>
      <c r="AJ344" s="3" t="s">
        <v>42</v>
      </c>
      <c r="AK344" s="3" t="s">
        <v>42</v>
      </c>
      <c r="AL344" s="29">
        <v>45751</v>
      </c>
      <c r="AM344" s="5" t="s">
        <v>42</v>
      </c>
      <c r="AN344" s="9" t="str">
        <f>HYPERLINK("https://my.pitchbook.com?p=314044-21P", "View People Online")</f>
        <v>View People Online</v>
      </c>
    </row>
    <row r="345" spans="1:40" x14ac:dyDescent="0.2">
      <c r="A345" s="2" t="s">
        <v>3270</v>
      </c>
      <c r="B345" s="2" t="s">
        <v>3271</v>
      </c>
      <c r="C345" s="2" t="s">
        <v>42</v>
      </c>
      <c r="D345" s="2" t="s">
        <v>42</v>
      </c>
      <c r="E345" s="2" t="s">
        <v>3270</v>
      </c>
      <c r="F345" s="2" t="s">
        <v>3272</v>
      </c>
      <c r="G345" s="2" t="s">
        <v>3273</v>
      </c>
      <c r="H345" s="2" t="s">
        <v>3274</v>
      </c>
      <c r="I345" s="2" t="s">
        <v>46</v>
      </c>
      <c r="J345" s="2" t="s">
        <v>47</v>
      </c>
      <c r="K345" s="2" t="s">
        <v>3275</v>
      </c>
      <c r="L345" s="2" t="s">
        <v>111</v>
      </c>
      <c r="M345" s="8" t="str">
        <f>HYPERLINK("http://www.raydan.com.sa", "www.raydan.com.sa")</f>
        <v>www.raydan.com.sa</v>
      </c>
      <c r="N345" s="2" t="s">
        <v>534</v>
      </c>
      <c r="O345" s="2" t="s">
        <v>42</v>
      </c>
      <c r="P345" s="2" t="s">
        <v>3276</v>
      </c>
      <c r="Q345" s="2" t="s">
        <v>42</v>
      </c>
      <c r="R345" s="16" t="s">
        <v>42</v>
      </c>
      <c r="S345" s="16">
        <v>1</v>
      </c>
      <c r="T345" s="16">
        <v>1</v>
      </c>
      <c r="U345" s="16" t="s">
        <v>42</v>
      </c>
      <c r="V345" s="16" t="s">
        <v>42</v>
      </c>
      <c r="W345" s="4" t="s">
        <v>3277</v>
      </c>
      <c r="X345" s="2" t="s">
        <v>3278</v>
      </c>
      <c r="Y345" s="2" t="s">
        <v>42</v>
      </c>
      <c r="Z345" s="2" t="s">
        <v>174</v>
      </c>
      <c r="AA345" s="2" t="s">
        <v>3279</v>
      </c>
      <c r="AB345" s="2" t="s">
        <v>3280</v>
      </c>
      <c r="AC345" s="2" t="s">
        <v>176</v>
      </c>
      <c r="AD345" s="2" t="s">
        <v>42</v>
      </c>
      <c r="AE345" s="4" t="s">
        <v>3281</v>
      </c>
      <c r="AF345" s="2" t="s">
        <v>60</v>
      </c>
      <c r="AG345" s="4" t="s">
        <v>3282</v>
      </c>
      <c r="AH345" s="2" t="s">
        <v>61</v>
      </c>
      <c r="AI345" s="2" t="s">
        <v>61</v>
      </c>
      <c r="AJ345" s="2" t="s">
        <v>42</v>
      </c>
      <c r="AK345" s="2" t="s">
        <v>42</v>
      </c>
      <c r="AL345" s="28">
        <v>45673</v>
      </c>
      <c r="AM345" s="4" t="s">
        <v>42</v>
      </c>
      <c r="AN345" s="8" t="str">
        <f>HYPERLINK("https://my.pitchbook.com?p=327703-15P", "View People Online")</f>
        <v>View People Online</v>
      </c>
    </row>
    <row r="346" spans="1:40" x14ac:dyDescent="0.2">
      <c r="A346" s="3" t="s">
        <v>3283</v>
      </c>
      <c r="B346" s="3" t="s">
        <v>3284</v>
      </c>
      <c r="C346" s="3" t="s">
        <v>42</v>
      </c>
      <c r="D346" s="3" t="s">
        <v>42</v>
      </c>
      <c r="E346" s="3" t="s">
        <v>3283</v>
      </c>
      <c r="F346" s="3" t="s">
        <v>3285</v>
      </c>
      <c r="G346" s="3" t="s">
        <v>3273</v>
      </c>
      <c r="H346" s="3" t="s">
        <v>3286</v>
      </c>
      <c r="I346" s="3" t="s">
        <v>46</v>
      </c>
      <c r="J346" s="3" t="s">
        <v>47</v>
      </c>
      <c r="K346" s="3" t="s">
        <v>3287</v>
      </c>
      <c r="L346" s="3" t="s">
        <v>111</v>
      </c>
      <c r="M346" s="9" t="str">
        <f>HYPERLINK("http://www.smilecare.com.sa", "www.smilecare.com.sa")</f>
        <v>www.smilecare.com.sa</v>
      </c>
      <c r="N346" s="3" t="s">
        <v>534</v>
      </c>
      <c r="O346" s="3" t="s">
        <v>42</v>
      </c>
      <c r="P346" s="3" t="s">
        <v>3288</v>
      </c>
      <c r="Q346" s="3" t="s">
        <v>42</v>
      </c>
      <c r="R346" s="17" t="s">
        <v>42</v>
      </c>
      <c r="S346" s="17">
        <v>1</v>
      </c>
      <c r="T346" s="17">
        <v>1</v>
      </c>
      <c r="U346" s="17" t="s">
        <v>42</v>
      </c>
      <c r="V346" s="17" t="s">
        <v>42</v>
      </c>
      <c r="W346" s="5" t="s">
        <v>3289</v>
      </c>
      <c r="X346" s="3" t="s">
        <v>3290</v>
      </c>
      <c r="Y346" s="3" t="s">
        <v>42</v>
      </c>
      <c r="Z346" s="3" t="s">
        <v>55</v>
      </c>
      <c r="AA346" s="3" t="s">
        <v>3291</v>
      </c>
      <c r="AB346" s="3" t="s">
        <v>3292</v>
      </c>
      <c r="AC346" s="3" t="s">
        <v>58</v>
      </c>
      <c r="AD346" s="3" t="s">
        <v>42</v>
      </c>
      <c r="AE346" s="5" t="s">
        <v>3002</v>
      </c>
      <c r="AF346" s="3" t="s">
        <v>60</v>
      </c>
      <c r="AG346" s="5" t="s">
        <v>42</v>
      </c>
      <c r="AH346" s="3" t="s">
        <v>61</v>
      </c>
      <c r="AI346" s="3" t="s">
        <v>61</v>
      </c>
      <c r="AJ346" s="3" t="s">
        <v>42</v>
      </c>
      <c r="AK346" s="3" t="s">
        <v>42</v>
      </c>
      <c r="AL346" s="29">
        <v>45693</v>
      </c>
      <c r="AM346" s="5" t="s">
        <v>42</v>
      </c>
      <c r="AN346" s="9" t="str">
        <f>HYPERLINK("https://my.pitchbook.com?p=432636-58P", "View People Online")</f>
        <v>View People Online</v>
      </c>
    </row>
    <row r="347" spans="1:40" x14ac:dyDescent="0.2">
      <c r="A347" s="2" t="s">
        <v>3293</v>
      </c>
      <c r="B347" s="2" t="s">
        <v>3294</v>
      </c>
      <c r="C347" s="2" t="s">
        <v>42</v>
      </c>
      <c r="D347" s="2" t="s">
        <v>42</v>
      </c>
      <c r="E347" s="2" t="s">
        <v>3293</v>
      </c>
      <c r="F347" s="2" t="s">
        <v>3295</v>
      </c>
      <c r="G347" s="2" t="s">
        <v>3296</v>
      </c>
      <c r="H347" s="2" t="s">
        <v>42</v>
      </c>
      <c r="I347" s="2" t="s">
        <v>46</v>
      </c>
      <c r="J347" s="2" t="s">
        <v>47</v>
      </c>
      <c r="K347" s="2" t="s">
        <v>3149</v>
      </c>
      <c r="L347" s="2" t="s">
        <v>111</v>
      </c>
      <c r="M347" s="8" t="str">
        <f>HYPERLINK("http://sal.sa", "sal.sa")</f>
        <v>sal.sa</v>
      </c>
      <c r="N347" s="2" t="s">
        <v>534</v>
      </c>
      <c r="O347" s="2" t="s">
        <v>42</v>
      </c>
      <c r="P347" s="2" t="s">
        <v>3297</v>
      </c>
      <c r="Q347" s="2" t="s">
        <v>3298</v>
      </c>
      <c r="R347" s="16" t="s">
        <v>42</v>
      </c>
      <c r="S347" s="16">
        <v>1</v>
      </c>
      <c r="T347" s="16">
        <v>1</v>
      </c>
      <c r="U347" s="16" t="s">
        <v>42</v>
      </c>
      <c r="V347" s="16" t="s">
        <v>42</v>
      </c>
      <c r="W347" s="4" t="s">
        <v>3151</v>
      </c>
      <c r="X347" s="2" t="s">
        <v>3299</v>
      </c>
      <c r="Y347" s="8" t="str">
        <f>HYPERLINK("http://linkedin.com/in/gary-hoyle-50480310/", "http://linkedin.com/in/gary-hoyle-50480310/")</f>
        <v>http://linkedin.com/in/gary-hoyle-50480310/</v>
      </c>
      <c r="Z347" s="2" t="s">
        <v>174</v>
      </c>
      <c r="AA347" s="2" t="s">
        <v>3153</v>
      </c>
      <c r="AB347" s="2" t="s">
        <v>3154</v>
      </c>
      <c r="AC347" s="2" t="s">
        <v>176</v>
      </c>
      <c r="AD347" s="2" t="s">
        <v>42</v>
      </c>
      <c r="AE347" s="4" t="s">
        <v>42</v>
      </c>
      <c r="AF347" s="2" t="s">
        <v>60</v>
      </c>
      <c r="AG347" s="4" t="s">
        <v>42</v>
      </c>
      <c r="AH347" s="2" t="s">
        <v>61</v>
      </c>
      <c r="AI347" s="2" t="s">
        <v>61</v>
      </c>
      <c r="AJ347" s="2" t="s">
        <v>42</v>
      </c>
      <c r="AK347" s="2" t="s">
        <v>42</v>
      </c>
      <c r="AL347" s="28">
        <v>45735</v>
      </c>
      <c r="AM347" s="4" t="s">
        <v>42</v>
      </c>
      <c r="AN347" s="8" t="str">
        <f>HYPERLINK("https://my.pitchbook.com?p=364793-77P", "View People Online")</f>
        <v>View People Online</v>
      </c>
    </row>
    <row r="348" spans="1:40" x14ac:dyDescent="0.2">
      <c r="A348" s="3" t="s">
        <v>3300</v>
      </c>
      <c r="B348" s="3" t="s">
        <v>3301</v>
      </c>
      <c r="C348" s="3" t="s">
        <v>42</v>
      </c>
      <c r="D348" s="3" t="s">
        <v>42</v>
      </c>
      <c r="E348" s="3" t="s">
        <v>3300</v>
      </c>
      <c r="F348" s="3" t="s">
        <v>3302</v>
      </c>
      <c r="G348" s="3" t="s">
        <v>3303</v>
      </c>
      <c r="H348" s="3" t="s">
        <v>3304</v>
      </c>
      <c r="I348" s="3" t="s">
        <v>46</v>
      </c>
      <c r="J348" s="3" t="s">
        <v>47</v>
      </c>
      <c r="K348" s="3" t="s">
        <v>2923</v>
      </c>
      <c r="L348" s="3" t="s">
        <v>111</v>
      </c>
      <c r="M348" s="9" t="str">
        <f>HYPERLINK("http://www.amak.com.sa", "www.amak.com.sa")</f>
        <v>www.amak.com.sa</v>
      </c>
      <c r="N348" s="3" t="s">
        <v>210</v>
      </c>
      <c r="O348" s="3" t="s">
        <v>42</v>
      </c>
      <c r="P348" s="3" t="s">
        <v>3305</v>
      </c>
      <c r="Q348" s="3" t="s">
        <v>3306</v>
      </c>
      <c r="R348" s="17" t="s">
        <v>42</v>
      </c>
      <c r="S348" s="17">
        <v>1</v>
      </c>
      <c r="T348" s="17">
        <v>1</v>
      </c>
      <c r="U348" s="17" t="s">
        <v>42</v>
      </c>
      <c r="V348" s="17" t="s">
        <v>42</v>
      </c>
      <c r="W348" s="5" t="s">
        <v>2925</v>
      </c>
      <c r="X348" s="3" t="s">
        <v>3307</v>
      </c>
      <c r="Y348" s="9" t="str">
        <f>HYPERLINK("http://linkedin.com/in/geoff-day-47453010a/", "http://linkedin.com/in/geoff-day-47453010a/")</f>
        <v>http://linkedin.com/in/geoff-day-47453010a/</v>
      </c>
      <c r="Z348" s="3" t="s">
        <v>1168</v>
      </c>
      <c r="AA348" s="3" t="s">
        <v>2927</v>
      </c>
      <c r="AB348" s="3" t="s">
        <v>2928</v>
      </c>
      <c r="AC348" s="3" t="s">
        <v>1171</v>
      </c>
      <c r="AD348" s="3" t="s">
        <v>42</v>
      </c>
      <c r="AE348" s="5" t="s">
        <v>2929</v>
      </c>
      <c r="AF348" s="3" t="s">
        <v>60</v>
      </c>
      <c r="AG348" s="5" t="s">
        <v>2930</v>
      </c>
      <c r="AH348" s="3" t="s">
        <v>61</v>
      </c>
      <c r="AI348" s="3" t="s">
        <v>61</v>
      </c>
      <c r="AJ348" s="3" t="s">
        <v>42</v>
      </c>
      <c r="AK348" s="3" t="s">
        <v>3308</v>
      </c>
      <c r="AL348" s="29">
        <v>46052</v>
      </c>
      <c r="AM348" s="5" t="s">
        <v>42</v>
      </c>
      <c r="AN348" s="9" t="str">
        <f>HYPERLINK("https://my.pitchbook.com?p=401158-54P", "View People Online")</f>
        <v>View People Online</v>
      </c>
    </row>
    <row r="349" spans="1:40" x14ac:dyDescent="0.2">
      <c r="A349" s="2" t="s">
        <v>3309</v>
      </c>
      <c r="B349" s="2" t="s">
        <v>3310</v>
      </c>
      <c r="C349" s="2" t="s">
        <v>42</v>
      </c>
      <c r="D349" s="2" t="s">
        <v>42</v>
      </c>
      <c r="E349" s="2" t="s">
        <v>3309</v>
      </c>
      <c r="F349" s="2" t="s">
        <v>3311</v>
      </c>
      <c r="G349" s="2" t="s">
        <v>3312</v>
      </c>
      <c r="H349" s="2" t="s">
        <v>42</v>
      </c>
      <c r="I349" s="2" t="s">
        <v>46</v>
      </c>
      <c r="J349" s="2" t="s">
        <v>47</v>
      </c>
      <c r="K349" s="2" t="s">
        <v>380</v>
      </c>
      <c r="L349" s="2" t="s">
        <v>111</v>
      </c>
      <c r="M349" s="8" t="str">
        <f>HYPERLINK("http://www.senaat.com", "www.senaat.com")</f>
        <v>www.senaat.com</v>
      </c>
      <c r="N349" s="2" t="s">
        <v>3313</v>
      </c>
      <c r="O349" s="2" t="s">
        <v>42</v>
      </c>
      <c r="P349" s="2" t="s">
        <v>3314</v>
      </c>
      <c r="Q349" s="2" t="s">
        <v>42</v>
      </c>
      <c r="R349" s="16" t="s">
        <v>42</v>
      </c>
      <c r="S349" s="16">
        <v>1</v>
      </c>
      <c r="T349" s="16">
        <v>1</v>
      </c>
      <c r="U349" s="16" t="s">
        <v>42</v>
      </c>
      <c r="V349" s="16" t="s">
        <v>42</v>
      </c>
      <c r="W349" s="4" t="s">
        <v>382</v>
      </c>
      <c r="X349" s="2" t="s">
        <v>3315</v>
      </c>
      <c r="Y349" s="8" t="str">
        <f>HYPERLINK("http://linkedin.com/in/george-eapen-6964b8226/", "http://linkedin.com/in/george-eapen-6964b8226/")</f>
        <v>http://linkedin.com/in/george-eapen-6964b8226/</v>
      </c>
      <c r="Z349" s="2" t="s">
        <v>383</v>
      </c>
      <c r="AA349" s="2" t="s">
        <v>384</v>
      </c>
      <c r="AB349" s="2" t="s">
        <v>42</v>
      </c>
      <c r="AC349" s="2" t="s">
        <v>385</v>
      </c>
      <c r="AD349" s="2" t="s">
        <v>42</v>
      </c>
      <c r="AE349" s="4" t="s">
        <v>386</v>
      </c>
      <c r="AF349" s="2" t="s">
        <v>60</v>
      </c>
      <c r="AG349" s="4" t="s">
        <v>387</v>
      </c>
      <c r="AH349" s="2" t="s">
        <v>61</v>
      </c>
      <c r="AI349" s="2" t="s">
        <v>61</v>
      </c>
      <c r="AJ349" s="2" t="s">
        <v>42</v>
      </c>
      <c r="AK349" s="2" t="s">
        <v>42</v>
      </c>
      <c r="AL349" s="28">
        <v>45938</v>
      </c>
      <c r="AM349" s="4" t="s">
        <v>42</v>
      </c>
      <c r="AN349" s="8" t="str">
        <f>HYPERLINK("https://my.pitchbook.com?p=335703-79P", "View People Online")</f>
        <v>View People Online</v>
      </c>
    </row>
    <row r="350" spans="1:40" x14ac:dyDescent="0.2">
      <c r="A350" s="3" t="s">
        <v>3316</v>
      </c>
      <c r="B350" s="3" t="s">
        <v>3317</v>
      </c>
      <c r="C350" s="3" t="s">
        <v>42</v>
      </c>
      <c r="D350" s="3" t="s">
        <v>42</v>
      </c>
      <c r="E350" s="3" t="s">
        <v>3316</v>
      </c>
      <c r="F350" s="3" t="s">
        <v>2246</v>
      </c>
      <c r="G350" s="3" t="s">
        <v>3312</v>
      </c>
      <c r="H350" s="3" t="s">
        <v>344</v>
      </c>
      <c r="I350" s="3" t="s">
        <v>46</v>
      </c>
      <c r="J350" s="3" t="s">
        <v>47</v>
      </c>
      <c r="K350" s="3" t="s">
        <v>1037</v>
      </c>
      <c r="L350" s="3" t="s">
        <v>111</v>
      </c>
      <c r="M350" s="9" t="str">
        <f>HYPERLINK("http://zaoasis.com", "zaoasis.com")</f>
        <v>zaoasis.com</v>
      </c>
      <c r="N350" s="3" t="s">
        <v>112</v>
      </c>
      <c r="O350" s="3" t="s">
        <v>42</v>
      </c>
      <c r="P350" s="3" t="s">
        <v>3318</v>
      </c>
      <c r="Q350" s="3" t="s">
        <v>3319</v>
      </c>
      <c r="R350" s="17">
        <v>1</v>
      </c>
      <c r="S350" s="17">
        <v>1</v>
      </c>
      <c r="T350" s="17">
        <v>1</v>
      </c>
      <c r="U350" s="17" t="s">
        <v>42</v>
      </c>
      <c r="V350" s="17" t="s">
        <v>42</v>
      </c>
      <c r="W350" s="5" t="s">
        <v>1041</v>
      </c>
      <c r="X350" s="3" t="s">
        <v>42</v>
      </c>
      <c r="Y350" s="3" t="s">
        <v>42</v>
      </c>
      <c r="Z350" s="3" t="s">
        <v>55</v>
      </c>
      <c r="AA350" s="3" t="s">
        <v>1042</v>
      </c>
      <c r="AB350" s="3" t="s">
        <v>1043</v>
      </c>
      <c r="AC350" s="3" t="s">
        <v>58</v>
      </c>
      <c r="AD350" s="3" t="s">
        <v>42</v>
      </c>
      <c r="AE350" s="5" t="s">
        <v>1044</v>
      </c>
      <c r="AF350" s="3" t="s">
        <v>60</v>
      </c>
      <c r="AG350" s="5" t="s">
        <v>1045</v>
      </c>
      <c r="AH350" s="3" t="s">
        <v>61</v>
      </c>
      <c r="AI350" s="3" t="s">
        <v>61</v>
      </c>
      <c r="AJ350" s="3" t="s">
        <v>42</v>
      </c>
      <c r="AK350" s="3" t="s">
        <v>42</v>
      </c>
      <c r="AL350" s="29">
        <v>45685</v>
      </c>
      <c r="AM350" s="5" t="s">
        <v>42</v>
      </c>
      <c r="AN350" s="9" t="str">
        <f>HYPERLINK("https://my.pitchbook.com?p=329333-23P", "View People Online")</f>
        <v>View People Online</v>
      </c>
    </row>
    <row r="351" spans="1:40" x14ac:dyDescent="0.2">
      <c r="A351" s="2" t="s">
        <v>3320</v>
      </c>
      <c r="B351" s="2" t="s">
        <v>3321</v>
      </c>
      <c r="C351" s="2" t="s">
        <v>42</v>
      </c>
      <c r="D351" s="2" t="s">
        <v>42</v>
      </c>
      <c r="E351" s="2" t="s">
        <v>3320</v>
      </c>
      <c r="F351" s="2" t="s">
        <v>3322</v>
      </c>
      <c r="G351" s="2" t="s">
        <v>3323</v>
      </c>
      <c r="H351" s="2" t="s">
        <v>42</v>
      </c>
      <c r="I351" s="2" t="s">
        <v>46</v>
      </c>
      <c r="J351" s="2" t="s">
        <v>47</v>
      </c>
      <c r="K351" s="2" t="s">
        <v>3324</v>
      </c>
      <c r="L351" s="2" t="s">
        <v>1316</v>
      </c>
      <c r="M351" s="8" t="str">
        <f>HYPERLINK("http://www.medgulf.com.sa", "www.medgulf.com.sa")</f>
        <v>www.medgulf.com.sa</v>
      </c>
      <c r="N351" s="2" t="s">
        <v>534</v>
      </c>
      <c r="O351" s="2" t="s">
        <v>42</v>
      </c>
      <c r="P351" s="2" t="s">
        <v>3325</v>
      </c>
      <c r="Q351" s="2" t="s">
        <v>3326</v>
      </c>
      <c r="R351" s="16" t="s">
        <v>42</v>
      </c>
      <c r="S351" s="16">
        <v>1</v>
      </c>
      <c r="T351" s="16">
        <v>1</v>
      </c>
      <c r="U351" s="16" t="s">
        <v>42</v>
      </c>
      <c r="V351" s="16" t="s">
        <v>42</v>
      </c>
      <c r="W351" s="4" t="s">
        <v>42</v>
      </c>
      <c r="X351" s="2" t="s">
        <v>3327</v>
      </c>
      <c r="Y351" s="8" t="str">
        <f>HYPERLINK("http://linkedin.com/in/georgi-markov-mba-00946214/?originalsubdomain=bg", "http://linkedin.com/in/georgi-markov-mba-00946214/?originalsubdomain=bg")</f>
        <v>http://linkedin.com/in/georgi-markov-mba-00946214/?originalsubdomain=bg</v>
      </c>
      <c r="Z351" s="2" t="s">
        <v>55</v>
      </c>
      <c r="AA351" s="2" t="s">
        <v>3328</v>
      </c>
      <c r="AB351" s="2" t="s">
        <v>3329</v>
      </c>
      <c r="AC351" s="2" t="s">
        <v>58</v>
      </c>
      <c r="AD351" s="2" t="s">
        <v>42</v>
      </c>
      <c r="AE351" s="4" t="s">
        <v>3330</v>
      </c>
      <c r="AF351" s="2" t="s">
        <v>60</v>
      </c>
      <c r="AG351" s="4" t="s">
        <v>42</v>
      </c>
      <c r="AH351" s="2" t="s">
        <v>61</v>
      </c>
      <c r="AI351" s="2" t="s">
        <v>61</v>
      </c>
      <c r="AJ351" s="2" t="s">
        <v>42</v>
      </c>
      <c r="AK351" s="2" t="s">
        <v>42</v>
      </c>
      <c r="AL351" s="28">
        <v>45994</v>
      </c>
      <c r="AM351" s="4" t="s">
        <v>42</v>
      </c>
      <c r="AN351" s="8" t="str">
        <f>HYPERLINK("https://my.pitchbook.com?p=210757-87P", "View People Online")</f>
        <v>View People Online</v>
      </c>
    </row>
    <row r="352" spans="1:40" x14ac:dyDescent="0.2">
      <c r="A352" s="3" t="s">
        <v>3331</v>
      </c>
      <c r="B352" s="3" t="s">
        <v>3332</v>
      </c>
      <c r="C352" s="3" t="s">
        <v>42</v>
      </c>
      <c r="D352" s="3" t="s">
        <v>42</v>
      </c>
      <c r="E352" s="3" t="s">
        <v>3331</v>
      </c>
      <c r="F352" s="3" t="s">
        <v>3333</v>
      </c>
      <c r="G352" s="3" t="s">
        <v>3334</v>
      </c>
      <c r="H352" s="3" t="s">
        <v>42</v>
      </c>
      <c r="I352" s="3" t="s">
        <v>799</v>
      </c>
      <c r="J352" s="3" t="s">
        <v>800</v>
      </c>
      <c r="K352" s="3" t="s">
        <v>1068</v>
      </c>
      <c r="L352" s="3" t="s">
        <v>111</v>
      </c>
      <c r="M352" s="9" t="str">
        <f>HYPERLINK("http://www.sab.com", "www.sab.com")</f>
        <v>www.sab.com</v>
      </c>
      <c r="N352" s="3" t="s">
        <v>370</v>
      </c>
      <c r="O352" s="3" t="s">
        <v>42</v>
      </c>
      <c r="P352" s="3" t="s">
        <v>3335</v>
      </c>
      <c r="Q352" s="3" t="s">
        <v>3336</v>
      </c>
      <c r="R352" s="17" t="s">
        <v>42</v>
      </c>
      <c r="S352" s="17">
        <v>1</v>
      </c>
      <c r="T352" s="17">
        <v>1</v>
      </c>
      <c r="U352" s="17" t="s">
        <v>42</v>
      </c>
      <c r="V352" s="17" t="s">
        <v>42</v>
      </c>
      <c r="W352" s="5" t="s">
        <v>42</v>
      </c>
      <c r="X352" s="3" t="s">
        <v>3337</v>
      </c>
      <c r="Y352" s="9" t="str">
        <f>HYPERLINK("http://linkedin.com/in/ghada-al-jarbou-2900344/?originalsubdomain=sa", "http://linkedin.com/in/ghada-al-jarbou-2900344/?originalsubdomain=sa")</f>
        <v>http://linkedin.com/in/ghada-al-jarbou-2900344/?originalsubdomain=sa</v>
      </c>
      <c r="Z352" s="3" t="s">
        <v>55</v>
      </c>
      <c r="AA352" s="3" t="s">
        <v>1071</v>
      </c>
      <c r="AB352" s="3" t="s">
        <v>1072</v>
      </c>
      <c r="AC352" s="3" t="s">
        <v>58</v>
      </c>
      <c r="AD352" s="3" t="s">
        <v>42</v>
      </c>
      <c r="AE352" s="5" t="s">
        <v>1073</v>
      </c>
      <c r="AF352" s="3" t="s">
        <v>60</v>
      </c>
      <c r="AG352" s="5" t="s">
        <v>1074</v>
      </c>
      <c r="AH352" s="3" t="s">
        <v>61</v>
      </c>
      <c r="AI352" s="3" t="s">
        <v>61</v>
      </c>
      <c r="AJ352" s="3" t="s">
        <v>42</v>
      </c>
      <c r="AK352" s="3" t="s">
        <v>42</v>
      </c>
      <c r="AL352" s="29">
        <v>45818</v>
      </c>
      <c r="AM352" s="5" t="s">
        <v>42</v>
      </c>
      <c r="AN352" s="9" t="str">
        <f>HYPERLINK("https://my.pitchbook.com?p=356464-63P", "View People Online")</f>
        <v>View People Online</v>
      </c>
    </row>
    <row r="353" spans="1:40" x14ac:dyDescent="0.2">
      <c r="A353" s="2" t="s">
        <v>3338</v>
      </c>
      <c r="B353" s="2" t="s">
        <v>3339</v>
      </c>
      <c r="C353" s="2" t="s">
        <v>42</v>
      </c>
      <c r="D353" s="2" t="s">
        <v>42</v>
      </c>
      <c r="E353" s="2" t="s">
        <v>3338</v>
      </c>
      <c r="F353" s="2" t="s">
        <v>3340</v>
      </c>
      <c r="G353" s="2" t="s">
        <v>3341</v>
      </c>
      <c r="H353" s="2" t="s">
        <v>42</v>
      </c>
      <c r="I353" s="2" t="s">
        <v>46</v>
      </c>
      <c r="J353" s="2" t="s">
        <v>47</v>
      </c>
      <c r="K353" s="2" t="s">
        <v>3342</v>
      </c>
      <c r="L353" s="2" t="s">
        <v>111</v>
      </c>
      <c r="M353" s="8" t="str">
        <f>HYPERLINK("http://www.arabdrill.com", "www.arabdrill.com")</f>
        <v>www.arabdrill.com</v>
      </c>
      <c r="N353" s="2" t="s">
        <v>210</v>
      </c>
      <c r="O353" s="2" t="s">
        <v>42</v>
      </c>
      <c r="P353" s="2" t="s">
        <v>3343</v>
      </c>
      <c r="Q353" s="2" t="s">
        <v>3344</v>
      </c>
      <c r="R353" s="16" t="s">
        <v>42</v>
      </c>
      <c r="S353" s="16">
        <v>1</v>
      </c>
      <c r="T353" s="16">
        <v>1</v>
      </c>
      <c r="U353" s="16" t="s">
        <v>42</v>
      </c>
      <c r="V353" s="16" t="s">
        <v>42</v>
      </c>
      <c r="W353" s="4" t="s">
        <v>3345</v>
      </c>
      <c r="X353" s="2" t="s">
        <v>3346</v>
      </c>
      <c r="Y353" s="8" t="str">
        <f>HYPERLINK("http://linkedin.com/in/ghassanmirdad", "http://linkedin.com/in/ghassanmirdad")</f>
        <v>http://linkedin.com/in/ghassanmirdad</v>
      </c>
      <c r="Z353" s="2" t="s">
        <v>782</v>
      </c>
      <c r="AA353" s="2" t="s">
        <v>3347</v>
      </c>
      <c r="AB353" s="2" t="s">
        <v>42</v>
      </c>
      <c r="AC353" s="2" t="s">
        <v>785</v>
      </c>
      <c r="AD353" s="2" t="s">
        <v>42</v>
      </c>
      <c r="AE353" s="4" t="s">
        <v>599</v>
      </c>
      <c r="AF353" s="2" t="s">
        <v>60</v>
      </c>
      <c r="AG353" s="4" t="s">
        <v>3348</v>
      </c>
      <c r="AH353" s="2" t="s">
        <v>61</v>
      </c>
      <c r="AI353" s="2" t="s">
        <v>61</v>
      </c>
      <c r="AJ353" s="2" t="s">
        <v>42</v>
      </c>
      <c r="AK353" s="2" t="s">
        <v>42</v>
      </c>
      <c r="AL353" s="28">
        <v>45383</v>
      </c>
      <c r="AM353" s="4" t="s">
        <v>42</v>
      </c>
      <c r="AN353" s="8" t="str">
        <f>HYPERLINK("https://my.pitchbook.com?p=317282-41P", "View People Online")</f>
        <v>View People Online</v>
      </c>
    </row>
    <row r="354" spans="1:40" x14ac:dyDescent="0.2">
      <c r="A354" s="3" t="s">
        <v>3349</v>
      </c>
      <c r="B354" s="3" t="s">
        <v>3350</v>
      </c>
      <c r="C354" s="3" t="s">
        <v>42</v>
      </c>
      <c r="D354" s="3" t="s">
        <v>42</v>
      </c>
      <c r="E354" s="3" t="s">
        <v>3349</v>
      </c>
      <c r="F354" s="3" t="s">
        <v>2761</v>
      </c>
      <c r="G354" s="3" t="s">
        <v>3351</v>
      </c>
      <c r="H354" s="3" t="s">
        <v>3352</v>
      </c>
      <c r="I354" s="3" t="s">
        <v>46</v>
      </c>
      <c r="J354" s="3" t="s">
        <v>47</v>
      </c>
      <c r="K354" s="3" t="s">
        <v>1592</v>
      </c>
      <c r="L354" s="3" t="s">
        <v>111</v>
      </c>
      <c r="M354" s="9" t="str">
        <f>HYPERLINK("http://www.chemanol.com", "www.chemanol.com")</f>
        <v>www.chemanol.com</v>
      </c>
      <c r="N354" s="3" t="s">
        <v>370</v>
      </c>
      <c r="O354" s="3" t="s">
        <v>42</v>
      </c>
      <c r="P354" s="3" t="s">
        <v>3353</v>
      </c>
      <c r="Q354" s="3" t="s">
        <v>42</v>
      </c>
      <c r="R354" s="17" t="s">
        <v>42</v>
      </c>
      <c r="S354" s="17">
        <v>1</v>
      </c>
      <c r="T354" s="17">
        <v>1</v>
      </c>
      <c r="U354" s="17" t="s">
        <v>42</v>
      </c>
      <c r="V354" s="17" t="s">
        <v>42</v>
      </c>
      <c r="W354" s="5" t="s">
        <v>1596</v>
      </c>
      <c r="X354" s="3" t="s">
        <v>3354</v>
      </c>
      <c r="Y354" s="9" t="str">
        <f>HYPERLINK("http://linkedin.com/in/habes-shammari-12868396/?originalsubdomain=sa", "http://linkedin.com/in/habes-shammari-12868396/?originalsubdomain=sa")</f>
        <v>http://linkedin.com/in/habes-shammari-12868396/?originalsubdomain=sa</v>
      </c>
      <c r="Z354" s="3" t="s">
        <v>383</v>
      </c>
      <c r="AA354" s="3" t="s">
        <v>1598</v>
      </c>
      <c r="AB354" s="3" t="s">
        <v>1599</v>
      </c>
      <c r="AC354" s="3" t="s">
        <v>385</v>
      </c>
      <c r="AD354" s="3" t="s">
        <v>42</v>
      </c>
      <c r="AE354" s="5" t="s">
        <v>1600</v>
      </c>
      <c r="AF354" s="3" t="s">
        <v>60</v>
      </c>
      <c r="AG354" s="5" t="s">
        <v>1601</v>
      </c>
      <c r="AH354" s="3" t="s">
        <v>61</v>
      </c>
      <c r="AI354" s="3" t="s">
        <v>61</v>
      </c>
      <c r="AJ354" s="3" t="s">
        <v>42</v>
      </c>
      <c r="AK354" s="3" t="s">
        <v>42</v>
      </c>
      <c r="AL354" s="29">
        <v>45959</v>
      </c>
      <c r="AM354" s="5" t="s">
        <v>42</v>
      </c>
      <c r="AN354" s="9" t="str">
        <f>HYPERLINK("https://my.pitchbook.com?p=314744-23P", "View People Online")</f>
        <v>View People Online</v>
      </c>
    </row>
    <row r="355" spans="1:40" x14ac:dyDescent="0.2">
      <c r="A355" s="2" t="s">
        <v>3355</v>
      </c>
      <c r="B355" s="2" t="s">
        <v>3356</v>
      </c>
      <c r="C355" s="2" t="s">
        <v>42</v>
      </c>
      <c r="D355" s="2" t="s">
        <v>42</v>
      </c>
      <c r="E355" s="2" t="s">
        <v>3355</v>
      </c>
      <c r="F355" s="2" t="s">
        <v>3357</v>
      </c>
      <c r="G355" s="2" t="s">
        <v>3358</v>
      </c>
      <c r="H355" s="2" t="s">
        <v>3359</v>
      </c>
      <c r="I355" s="2" t="s">
        <v>46</v>
      </c>
      <c r="J355" s="2" t="s">
        <v>47</v>
      </c>
      <c r="K355" s="2" t="s">
        <v>2208</v>
      </c>
      <c r="L355" s="2" t="s">
        <v>111</v>
      </c>
      <c r="M355" s="8" t="str">
        <f>HYPERLINK("http://www.arabsea.com", "www.arabsea.com")</f>
        <v>www.arabsea.com</v>
      </c>
      <c r="N355" s="2" t="s">
        <v>112</v>
      </c>
      <c r="O355" s="2" t="s">
        <v>42</v>
      </c>
      <c r="P355" s="2" t="s">
        <v>3360</v>
      </c>
      <c r="Q355" s="2" t="s">
        <v>42</v>
      </c>
      <c r="R355" s="16">
        <v>1</v>
      </c>
      <c r="S355" s="16">
        <v>1</v>
      </c>
      <c r="T355" s="16">
        <v>1</v>
      </c>
      <c r="U355" s="16" t="s">
        <v>42</v>
      </c>
      <c r="V355" s="16" t="s">
        <v>42</v>
      </c>
      <c r="W355" s="4" t="s">
        <v>2210</v>
      </c>
      <c r="X355" s="2" t="s">
        <v>3361</v>
      </c>
      <c r="Y355" s="2" t="s">
        <v>42</v>
      </c>
      <c r="Z355" s="2" t="s">
        <v>55</v>
      </c>
      <c r="AA355" s="2" t="s">
        <v>2212</v>
      </c>
      <c r="AB355" s="2" t="s">
        <v>42</v>
      </c>
      <c r="AC355" s="2" t="s">
        <v>58</v>
      </c>
      <c r="AD355" s="2" t="s">
        <v>42</v>
      </c>
      <c r="AE355" s="4" t="s">
        <v>2213</v>
      </c>
      <c r="AF355" s="2" t="s">
        <v>60</v>
      </c>
      <c r="AG355" s="4" t="s">
        <v>2214</v>
      </c>
      <c r="AH355" s="2" t="s">
        <v>61</v>
      </c>
      <c r="AI355" s="2" t="s">
        <v>61</v>
      </c>
      <c r="AJ355" s="2" t="s">
        <v>42</v>
      </c>
      <c r="AK355" s="2" t="s">
        <v>42</v>
      </c>
      <c r="AL355" s="28">
        <v>45676</v>
      </c>
      <c r="AM355" s="4" t="s">
        <v>42</v>
      </c>
      <c r="AN355" s="8" t="str">
        <f>HYPERLINK("https://my.pitchbook.com?p=328071-07P", "View People Online")</f>
        <v>View People Online</v>
      </c>
    </row>
    <row r="356" spans="1:40" x14ac:dyDescent="0.2">
      <c r="A356" s="3" t="s">
        <v>3362</v>
      </c>
      <c r="B356" s="3" t="s">
        <v>3363</v>
      </c>
      <c r="C356" s="3" t="s">
        <v>42</v>
      </c>
      <c r="D356" s="3" t="s">
        <v>42</v>
      </c>
      <c r="E356" s="3" t="s">
        <v>3362</v>
      </c>
      <c r="F356" s="3" t="s">
        <v>3364</v>
      </c>
      <c r="G356" s="3" t="s">
        <v>3358</v>
      </c>
      <c r="H356" s="3" t="s">
        <v>3365</v>
      </c>
      <c r="I356" s="3" t="s">
        <v>46</v>
      </c>
      <c r="J356" s="3" t="s">
        <v>47</v>
      </c>
      <c r="K356" s="3" t="s">
        <v>3366</v>
      </c>
      <c r="L356" s="3" t="s">
        <v>111</v>
      </c>
      <c r="M356" s="9" t="str">
        <f>HYPERLINK("http://www.wataniya.com.sa", "www.wataniya.com.sa")</f>
        <v>www.wataniya.com.sa</v>
      </c>
      <c r="N356" s="3" t="s">
        <v>447</v>
      </c>
      <c r="O356" s="3" t="s">
        <v>42</v>
      </c>
      <c r="P356" s="3" t="s">
        <v>3367</v>
      </c>
      <c r="Q356" s="3" t="s">
        <v>42</v>
      </c>
      <c r="R356" s="17" t="s">
        <v>42</v>
      </c>
      <c r="S356" s="17">
        <v>1</v>
      </c>
      <c r="T356" s="17">
        <v>1</v>
      </c>
      <c r="U356" s="17" t="s">
        <v>42</v>
      </c>
      <c r="V356" s="17" t="s">
        <v>42</v>
      </c>
      <c r="W356" s="5" t="s">
        <v>3368</v>
      </c>
      <c r="X356" s="3" t="s">
        <v>3369</v>
      </c>
      <c r="Y356" s="9" t="str">
        <f>HYPERLINK("http://linkedin.com/in/haithamalbakree/", "http://linkedin.com/in/haithamalbakree/")</f>
        <v>http://linkedin.com/in/haithamalbakree/</v>
      </c>
      <c r="Z356" s="3" t="s">
        <v>174</v>
      </c>
      <c r="AA356" s="3" t="s">
        <v>3370</v>
      </c>
      <c r="AB356" s="3" t="s">
        <v>3371</v>
      </c>
      <c r="AC356" s="3" t="s">
        <v>176</v>
      </c>
      <c r="AD356" s="3" t="s">
        <v>42</v>
      </c>
      <c r="AE356" s="5" t="s">
        <v>3372</v>
      </c>
      <c r="AF356" s="3" t="s">
        <v>60</v>
      </c>
      <c r="AG356" s="5" t="s">
        <v>3373</v>
      </c>
      <c r="AH356" s="3" t="s">
        <v>61</v>
      </c>
      <c r="AI356" s="3" t="s">
        <v>61</v>
      </c>
      <c r="AJ356" s="3" t="s">
        <v>42</v>
      </c>
      <c r="AK356" s="3" t="s">
        <v>42</v>
      </c>
      <c r="AL356" s="29">
        <v>45933</v>
      </c>
      <c r="AM356" s="5" t="s">
        <v>42</v>
      </c>
      <c r="AN356" s="9" t="str">
        <f>HYPERLINK("https://my.pitchbook.com?p=286493-50P", "View People Online")</f>
        <v>View People Online</v>
      </c>
    </row>
    <row r="357" spans="1:40" x14ac:dyDescent="0.2">
      <c r="A357" s="2" t="s">
        <v>3374</v>
      </c>
      <c r="B357" s="2" t="s">
        <v>3375</v>
      </c>
      <c r="C357" s="2" t="s">
        <v>42</v>
      </c>
      <c r="D357" s="2" t="s">
        <v>42</v>
      </c>
      <c r="E357" s="2" t="s">
        <v>3374</v>
      </c>
      <c r="F357" s="2" t="s">
        <v>3376</v>
      </c>
      <c r="G357" s="2" t="s">
        <v>3358</v>
      </c>
      <c r="H357" s="2" t="s">
        <v>42</v>
      </c>
      <c r="I357" s="2" t="s">
        <v>46</v>
      </c>
      <c r="J357" s="2" t="s">
        <v>47</v>
      </c>
      <c r="K357" s="2" t="s">
        <v>3377</v>
      </c>
      <c r="L357" s="2" t="s">
        <v>111</v>
      </c>
      <c r="M357" s="8" t="str">
        <f>HYPERLINK("http://www.kdl.com.sa", "www.kdl.com.sa")</f>
        <v>www.kdl.com.sa</v>
      </c>
      <c r="N357" s="2" t="s">
        <v>534</v>
      </c>
      <c r="O357" s="2" t="s">
        <v>42</v>
      </c>
      <c r="P357" s="2" t="s">
        <v>3378</v>
      </c>
      <c r="Q357" s="2" t="s">
        <v>42</v>
      </c>
      <c r="R357" s="16" t="s">
        <v>42</v>
      </c>
      <c r="S357" s="16">
        <v>1</v>
      </c>
      <c r="T357" s="16">
        <v>1</v>
      </c>
      <c r="U357" s="16" t="s">
        <v>42</v>
      </c>
      <c r="V357" s="16" t="s">
        <v>42</v>
      </c>
      <c r="W357" s="4" t="s">
        <v>3379</v>
      </c>
      <c r="X357" s="2" t="s">
        <v>3380</v>
      </c>
      <c r="Y357" s="2" t="s">
        <v>42</v>
      </c>
      <c r="Z357" s="2" t="s">
        <v>55</v>
      </c>
      <c r="AA357" s="2" t="s">
        <v>3381</v>
      </c>
      <c r="AB357" s="2" t="s">
        <v>3382</v>
      </c>
      <c r="AC357" s="2" t="s">
        <v>58</v>
      </c>
      <c r="AD357" s="2" t="s">
        <v>42</v>
      </c>
      <c r="AE357" s="4" t="s">
        <v>42</v>
      </c>
      <c r="AF357" s="2" t="s">
        <v>60</v>
      </c>
      <c r="AG357" s="4" t="s">
        <v>42</v>
      </c>
      <c r="AH357" s="2" t="s">
        <v>61</v>
      </c>
      <c r="AI357" s="2" t="s">
        <v>61</v>
      </c>
      <c r="AJ357" s="2" t="s">
        <v>42</v>
      </c>
      <c r="AK357" s="2" t="s">
        <v>42</v>
      </c>
      <c r="AL357" s="28">
        <v>45999</v>
      </c>
      <c r="AM357" s="4" t="s">
        <v>42</v>
      </c>
      <c r="AN357" s="8" t="str">
        <f>HYPERLINK("https://my.pitchbook.com?p=477022-06P", "View People Online")</f>
        <v>View People Online</v>
      </c>
    </row>
    <row r="358" spans="1:40" x14ac:dyDescent="0.2">
      <c r="A358" s="3" t="s">
        <v>3383</v>
      </c>
      <c r="B358" s="3" t="s">
        <v>3384</v>
      </c>
      <c r="C358" s="3" t="s">
        <v>42</v>
      </c>
      <c r="D358" s="3" t="s">
        <v>42</v>
      </c>
      <c r="E358" s="3" t="s">
        <v>3383</v>
      </c>
      <c r="F358" s="3" t="s">
        <v>1487</v>
      </c>
      <c r="G358" s="3" t="s">
        <v>1803</v>
      </c>
      <c r="H358" s="3" t="s">
        <v>284</v>
      </c>
      <c r="I358" s="3" t="s">
        <v>42</v>
      </c>
      <c r="J358" s="3" t="s">
        <v>47</v>
      </c>
      <c r="K358" s="3" t="s">
        <v>1489</v>
      </c>
      <c r="L358" s="3" t="s">
        <v>111</v>
      </c>
      <c r="M358" s="9" t="str">
        <f>HYPERLINK("http://www.aldrees.com", "www.aldrees.com")</f>
        <v>www.aldrees.com</v>
      </c>
      <c r="N358" s="3" t="s">
        <v>69</v>
      </c>
      <c r="O358" s="3" t="s">
        <v>42</v>
      </c>
      <c r="P358" s="3" t="s">
        <v>3385</v>
      </c>
      <c r="Q358" s="3" t="s">
        <v>42</v>
      </c>
      <c r="R358" s="17">
        <v>1</v>
      </c>
      <c r="S358" s="17">
        <v>1</v>
      </c>
      <c r="T358" s="17" t="s">
        <v>42</v>
      </c>
      <c r="U358" s="17" t="s">
        <v>42</v>
      </c>
      <c r="V358" s="17" t="s">
        <v>42</v>
      </c>
      <c r="W358" s="5" t="s">
        <v>1491</v>
      </c>
      <c r="X358" s="3" t="s">
        <v>42</v>
      </c>
      <c r="Y358" s="3" t="s">
        <v>42</v>
      </c>
      <c r="Z358" s="3" t="s">
        <v>55</v>
      </c>
      <c r="AA358" s="3" t="s">
        <v>1492</v>
      </c>
      <c r="AB358" s="3" t="s">
        <v>42</v>
      </c>
      <c r="AC358" s="3" t="s">
        <v>58</v>
      </c>
      <c r="AD358" s="3" t="s">
        <v>42</v>
      </c>
      <c r="AE358" s="5" t="s">
        <v>1493</v>
      </c>
      <c r="AF358" s="3" t="s">
        <v>60</v>
      </c>
      <c r="AG358" s="5" t="s">
        <v>1494</v>
      </c>
      <c r="AH358" s="3" t="s">
        <v>61</v>
      </c>
      <c r="AI358" s="3" t="s">
        <v>61</v>
      </c>
      <c r="AJ358" s="3" t="s">
        <v>42</v>
      </c>
      <c r="AK358" s="3" t="s">
        <v>42</v>
      </c>
      <c r="AL358" s="29">
        <v>45868</v>
      </c>
      <c r="AM358" s="5" t="s">
        <v>42</v>
      </c>
      <c r="AN358" s="9" t="str">
        <f>HYPERLINK("https://my.pitchbook.com?p=393205-78P", "View People Online")</f>
        <v>View People Online</v>
      </c>
    </row>
    <row r="359" spans="1:40" x14ac:dyDescent="0.2">
      <c r="A359" s="2" t="s">
        <v>3386</v>
      </c>
      <c r="B359" s="2" t="s">
        <v>3387</v>
      </c>
      <c r="C359" s="2" t="s">
        <v>42</v>
      </c>
      <c r="D359" s="2" t="s">
        <v>42</v>
      </c>
      <c r="E359" s="2" t="s">
        <v>3386</v>
      </c>
      <c r="F359" s="2" t="s">
        <v>3388</v>
      </c>
      <c r="G359" s="2" t="s">
        <v>1803</v>
      </c>
      <c r="H359" s="2" t="s">
        <v>3389</v>
      </c>
      <c r="I359" s="2" t="s">
        <v>46</v>
      </c>
      <c r="J359" s="2" t="s">
        <v>47</v>
      </c>
      <c r="K359" s="2" t="s">
        <v>3390</v>
      </c>
      <c r="L359" s="2" t="s">
        <v>111</v>
      </c>
      <c r="M359" s="8" t="str">
        <f>HYPERLINK("http://www.ugc.com.sa", "www.ugc.com.sa")</f>
        <v>www.ugc.com.sa</v>
      </c>
      <c r="N359" s="2" t="s">
        <v>210</v>
      </c>
      <c r="O359" s="2" t="s">
        <v>42</v>
      </c>
      <c r="P359" s="2" t="s">
        <v>3391</v>
      </c>
      <c r="Q359" s="2" t="s">
        <v>42</v>
      </c>
      <c r="R359" s="16" t="s">
        <v>42</v>
      </c>
      <c r="S359" s="16">
        <v>1</v>
      </c>
      <c r="T359" s="16">
        <v>1</v>
      </c>
      <c r="U359" s="16" t="s">
        <v>42</v>
      </c>
      <c r="V359" s="16" t="s">
        <v>42</v>
      </c>
      <c r="W359" s="4" t="s">
        <v>3392</v>
      </c>
      <c r="X359" s="2" t="s">
        <v>3393</v>
      </c>
      <c r="Y359" s="8" t="str">
        <f>HYPERLINK("http://linkedin.com/in/hamad-alsourayia-21b15b39/", "http://linkedin.com/in/hamad-alsourayia-21b15b39/")</f>
        <v>http://linkedin.com/in/hamad-alsourayia-21b15b39/</v>
      </c>
      <c r="Z359" s="2" t="s">
        <v>174</v>
      </c>
      <c r="AA359" s="2" t="s">
        <v>3394</v>
      </c>
      <c r="AB359" s="2" t="s">
        <v>3395</v>
      </c>
      <c r="AC359" s="2" t="s">
        <v>176</v>
      </c>
      <c r="AD359" s="2" t="s">
        <v>42</v>
      </c>
      <c r="AE359" s="4" t="s">
        <v>3396</v>
      </c>
      <c r="AF359" s="2" t="s">
        <v>60</v>
      </c>
      <c r="AG359" s="4" t="s">
        <v>42</v>
      </c>
      <c r="AH359" s="2" t="s">
        <v>61</v>
      </c>
      <c r="AI359" s="2" t="s">
        <v>61</v>
      </c>
      <c r="AJ359" s="2" t="s">
        <v>42</v>
      </c>
      <c r="AK359" s="2" t="s">
        <v>42</v>
      </c>
      <c r="AL359" s="28">
        <v>46044</v>
      </c>
      <c r="AM359" s="4" t="s">
        <v>42</v>
      </c>
      <c r="AN359" s="8" t="str">
        <f>HYPERLINK("https://my.pitchbook.com?p=363592-36P", "View People Online")</f>
        <v>View People Online</v>
      </c>
    </row>
    <row r="360" spans="1:40" x14ac:dyDescent="0.2">
      <c r="A360" s="3" t="s">
        <v>3397</v>
      </c>
      <c r="B360" s="3" t="s">
        <v>3398</v>
      </c>
      <c r="C360" s="3" t="s">
        <v>42</v>
      </c>
      <c r="D360" s="3" t="s">
        <v>42</v>
      </c>
      <c r="E360" s="3" t="s">
        <v>3397</v>
      </c>
      <c r="F360" s="3" t="s">
        <v>3399</v>
      </c>
      <c r="G360" s="3" t="s">
        <v>1803</v>
      </c>
      <c r="H360" s="3" t="s">
        <v>42</v>
      </c>
      <c r="I360" s="3" t="s">
        <v>46</v>
      </c>
      <c r="J360" s="3" t="s">
        <v>47</v>
      </c>
      <c r="K360" s="3" t="s">
        <v>1404</v>
      </c>
      <c r="L360" s="3" t="s">
        <v>111</v>
      </c>
      <c r="M360" s="9" t="str">
        <f>HYPERLINK("http://www.h-saedan.sa", "www.h-saedan.sa")</f>
        <v>www.h-saedan.sa</v>
      </c>
      <c r="N360" s="3" t="s">
        <v>246</v>
      </c>
      <c r="O360" s="3" t="s">
        <v>42</v>
      </c>
      <c r="P360" s="3" t="s">
        <v>3400</v>
      </c>
      <c r="Q360" s="3" t="s">
        <v>42</v>
      </c>
      <c r="R360" s="17">
        <v>1</v>
      </c>
      <c r="S360" s="17">
        <v>1</v>
      </c>
      <c r="T360" s="17" t="s">
        <v>42</v>
      </c>
      <c r="U360" s="17" t="s">
        <v>42</v>
      </c>
      <c r="V360" s="17" t="s">
        <v>42</v>
      </c>
      <c r="W360" s="5" t="s">
        <v>42</v>
      </c>
      <c r="X360" s="3" t="s">
        <v>42</v>
      </c>
      <c r="Y360" s="3" t="s">
        <v>42</v>
      </c>
      <c r="Z360" s="3" t="s">
        <v>55</v>
      </c>
      <c r="AA360" s="3" t="s">
        <v>1406</v>
      </c>
      <c r="AB360" s="3" t="s">
        <v>1407</v>
      </c>
      <c r="AC360" s="3" t="s">
        <v>58</v>
      </c>
      <c r="AD360" s="3" t="s">
        <v>42</v>
      </c>
      <c r="AE360" s="5" t="s">
        <v>42</v>
      </c>
      <c r="AF360" s="3" t="s">
        <v>60</v>
      </c>
      <c r="AG360" s="5" t="s">
        <v>42</v>
      </c>
      <c r="AH360" s="3" t="s">
        <v>61</v>
      </c>
      <c r="AI360" s="3" t="s">
        <v>61</v>
      </c>
      <c r="AJ360" s="3" t="s">
        <v>42</v>
      </c>
      <c r="AK360" s="3" t="s">
        <v>42</v>
      </c>
      <c r="AL360" s="29">
        <v>46043</v>
      </c>
      <c r="AM360" s="5" t="s">
        <v>42</v>
      </c>
      <c r="AN360" s="9" t="str">
        <f>HYPERLINK("https://my.pitchbook.com?p=482974-48P", "View People Online")</f>
        <v>View People Online</v>
      </c>
    </row>
    <row r="361" spans="1:40" x14ac:dyDescent="0.2">
      <c r="A361" s="2" t="s">
        <v>3401</v>
      </c>
      <c r="B361" s="2" t="s">
        <v>3402</v>
      </c>
      <c r="C361" s="2" t="s">
        <v>42</v>
      </c>
      <c r="D361" s="2" t="s">
        <v>42</v>
      </c>
      <c r="E361" s="2" t="s">
        <v>3401</v>
      </c>
      <c r="F361" s="2" t="s">
        <v>3403</v>
      </c>
      <c r="G361" s="2" t="s">
        <v>3404</v>
      </c>
      <c r="H361" s="2" t="s">
        <v>3405</v>
      </c>
      <c r="I361" s="2" t="s">
        <v>46</v>
      </c>
      <c r="J361" s="2" t="s">
        <v>47</v>
      </c>
      <c r="K361" s="2" t="s">
        <v>3406</v>
      </c>
      <c r="L361" s="2" t="s">
        <v>111</v>
      </c>
      <c r="M361" s="8" t="str">
        <f>HYPERLINK("http://www.hilwa.com.sa", "www.hilwa.com.sa")</f>
        <v>www.hilwa.com.sa</v>
      </c>
      <c r="N361" s="2" t="s">
        <v>2356</v>
      </c>
      <c r="O361" s="2" t="s">
        <v>42</v>
      </c>
      <c r="P361" s="2" t="s">
        <v>3407</v>
      </c>
      <c r="Q361" s="2" t="s">
        <v>42</v>
      </c>
      <c r="R361" s="16" t="s">
        <v>42</v>
      </c>
      <c r="S361" s="16">
        <v>1</v>
      </c>
      <c r="T361" s="16">
        <v>1</v>
      </c>
      <c r="U361" s="16" t="s">
        <v>42</v>
      </c>
      <c r="V361" s="16" t="s">
        <v>42</v>
      </c>
      <c r="W361" s="4" t="s">
        <v>3408</v>
      </c>
      <c r="X361" s="2" t="s">
        <v>42</v>
      </c>
      <c r="Y361" s="2" t="s">
        <v>42</v>
      </c>
      <c r="Z361" s="2" t="s">
        <v>55</v>
      </c>
      <c r="AA361" s="2" t="s">
        <v>3409</v>
      </c>
      <c r="AB361" s="2" t="s">
        <v>3410</v>
      </c>
      <c r="AC361" s="2" t="s">
        <v>58</v>
      </c>
      <c r="AD361" s="2" t="s">
        <v>42</v>
      </c>
      <c r="AE361" s="4" t="s">
        <v>42</v>
      </c>
      <c r="AF361" s="2" t="s">
        <v>60</v>
      </c>
      <c r="AG361" s="4" t="s">
        <v>3408</v>
      </c>
      <c r="AH361" s="2" t="s">
        <v>61</v>
      </c>
      <c r="AI361" s="2" t="s">
        <v>61</v>
      </c>
      <c r="AJ361" s="2" t="s">
        <v>42</v>
      </c>
      <c r="AK361" s="2" t="s">
        <v>42</v>
      </c>
      <c r="AL361" s="28">
        <v>45638</v>
      </c>
      <c r="AM361" s="4" t="s">
        <v>42</v>
      </c>
      <c r="AN361" s="8" t="str">
        <f>HYPERLINK("https://my.pitchbook.com?p=316688-59P", "View People Online")</f>
        <v>View People Online</v>
      </c>
    </row>
    <row r="362" spans="1:40" x14ac:dyDescent="0.2">
      <c r="A362" s="3" t="s">
        <v>3411</v>
      </c>
      <c r="B362" s="3" t="s">
        <v>3412</v>
      </c>
      <c r="C362" s="3" t="s">
        <v>42</v>
      </c>
      <c r="D362" s="3" t="s">
        <v>42</v>
      </c>
      <c r="E362" s="3" t="s">
        <v>3411</v>
      </c>
      <c r="F362" s="3" t="s">
        <v>3413</v>
      </c>
      <c r="G362" s="3" t="s">
        <v>3414</v>
      </c>
      <c r="H362" s="3" t="s">
        <v>1314</v>
      </c>
      <c r="I362" s="3" t="s">
        <v>46</v>
      </c>
      <c r="J362" s="3" t="s">
        <v>47</v>
      </c>
      <c r="K362" s="3" t="s">
        <v>3415</v>
      </c>
      <c r="L362" s="3" t="s">
        <v>111</v>
      </c>
      <c r="M362" s="9" t="str">
        <f>HYPERLINK("http://www.raoomco.com", "www.raoomco.com")</f>
        <v>www.raoomco.com</v>
      </c>
      <c r="N362" s="3" t="s">
        <v>3416</v>
      </c>
      <c r="O362" s="3" t="s">
        <v>42</v>
      </c>
      <c r="P362" s="3" t="s">
        <v>3417</v>
      </c>
      <c r="Q362" s="3" t="s">
        <v>42</v>
      </c>
      <c r="R362" s="17" t="s">
        <v>42</v>
      </c>
      <c r="S362" s="17">
        <v>1</v>
      </c>
      <c r="T362" s="17">
        <v>1</v>
      </c>
      <c r="U362" s="17" t="s">
        <v>42</v>
      </c>
      <c r="V362" s="17" t="s">
        <v>42</v>
      </c>
      <c r="W362" s="5" t="s">
        <v>3418</v>
      </c>
      <c r="X362" s="3" t="s">
        <v>42</v>
      </c>
      <c r="Y362" s="3" t="s">
        <v>42</v>
      </c>
      <c r="Z362" s="3" t="s">
        <v>3419</v>
      </c>
      <c r="AA362" s="3" t="s">
        <v>3420</v>
      </c>
      <c r="AB362" s="3" t="s">
        <v>3421</v>
      </c>
      <c r="AC362" s="3" t="s">
        <v>3422</v>
      </c>
      <c r="AD362" s="3" t="s">
        <v>42</v>
      </c>
      <c r="AE362" s="5" t="s">
        <v>42</v>
      </c>
      <c r="AF362" s="3" t="s">
        <v>60</v>
      </c>
      <c r="AG362" s="5" t="s">
        <v>3423</v>
      </c>
      <c r="AH362" s="3" t="s">
        <v>61</v>
      </c>
      <c r="AI362" s="3" t="s">
        <v>61</v>
      </c>
      <c r="AJ362" s="3" t="s">
        <v>42</v>
      </c>
      <c r="AK362" s="3" t="s">
        <v>42</v>
      </c>
      <c r="AL362" s="29">
        <v>45922</v>
      </c>
      <c r="AM362" s="5" t="s">
        <v>42</v>
      </c>
      <c r="AN362" s="9" t="str">
        <f>HYPERLINK("https://my.pitchbook.com?p=305770-06P", "View People Online")</f>
        <v>View People Online</v>
      </c>
    </row>
    <row r="363" spans="1:40" x14ac:dyDescent="0.2">
      <c r="A363" s="2" t="s">
        <v>3424</v>
      </c>
      <c r="B363" s="2" t="s">
        <v>3425</v>
      </c>
      <c r="C363" s="2" t="s">
        <v>42</v>
      </c>
      <c r="D363" s="2" t="s">
        <v>42</v>
      </c>
      <c r="E363" s="2" t="s">
        <v>3424</v>
      </c>
      <c r="F363" s="2" t="s">
        <v>3426</v>
      </c>
      <c r="G363" s="2" t="s">
        <v>3427</v>
      </c>
      <c r="H363" s="2" t="s">
        <v>3428</v>
      </c>
      <c r="I363" s="2" t="s">
        <v>46</v>
      </c>
      <c r="J363" s="2" t="s">
        <v>47</v>
      </c>
      <c r="K363" s="2" t="s">
        <v>2238</v>
      </c>
      <c r="L363" s="2" t="s">
        <v>111</v>
      </c>
      <c r="M363" s="8" t="str">
        <f>HYPERLINK("http://www.signworldme.com", "www.signworldme.com")</f>
        <v>www.signworldme.com</v>
      </c>
      <c r="N363" s="2" t="s">
        <v>112</v>
      </c>
      <c r="O363" s="2" t="s">
        <v>42</v>
      </c>
      <c r="P363" s="2" t="s">
        <v>3429</v>
      </c>
      <c r="Q363" s="2" t="s">
        <v>42</v>
      </c>
      <c r="R363" s="16">
        <v>1</v>
      </c>
      <c r="S363" s="16">
        <v>1</v>
      </c>
      <c r="T363" s="16">
        <v>1</v>
      </c>
      <c r="U363" s="16" t="s">
        <v>42</v>
      </c>
      <c r="V363" s="16" t="s">
        <v>42</v>
      </c>
      <c r="W363" s="4" t="s">
        <v>2240</v>
      </c>
      <c r="X363" s="2" t="s">
        <v>42</v>
      </c>
      <c r="Y363" s="2" t="s">
        <v>42</v>
      </c>
      <c r="Z363" s="2" t="s">
        <v>55</v>
      </c>
      <c r="AA363" s="2" t="s">
        <v>2242</v>
      </c>
      <c r="AB363" s="2" t="s">
        <v>42</v>
      </c>
      <c r="AC363" s="2" t="s">
        <v>58</v>
      </c>
      <c r="AD363" s="2" t="s">
        <v>42</v>
      </c>
      <c r="AE363" s="4" t="s">
        <v>2243</v>
      </c>
      <c r="AF363" s="2" t="s">
        <v>60</v>
      </c>
      <c r="AG363" s="4" t="s">
        <v>42</v>
      </c>
      <c r="AH363" s="2" t="s">
        <v>61</v>
      </c>
      <c r="AI363" s="2" t="s">
        <v>61</v>
      </c>
      <c r="AJ363" s="2" t="s">
        <v>42</v>
      </c>
      <c r="AK363" s="2" t="s">
        <v>42</v>
      </c>
      <c r="AL363" s="28">
        <v>45868</v>
      </c>
      <c r="AM363" s="4" t="s">
        <v>42</v>
      </c>
      <c r="AN363" s="8" t="str">
        <f>HYPERLINK("https://my.pitchbook.com?p=457985-44P", "View People Online")</f>
        <v>View People Online</v>
      </c>
    </row>
    <row r="364" spans="1:40" x14ac:dyDescent="0.2">
      <c r="A364" s="3" t="s">
        <v>3430</v>
      </c>
      <c r="B364" s="3" t="s">
        <v>3431</v>
      </c>
      <c r="C364" s="3" t="s">
        <v>42</v>
      </c>
      <c r="D364" s="3" t="s">
        <v>42</v>
      </c>
      <c r="E364" s="3" t="s">
        <v>3430</v>
      </c>
      <c r="F364" s="3" t="s">
        <v>3432</v>
      </c>
      <c r="G364" s="3" t="s">
        <v>3427</v>
      </c>
      <c r="H364" s="3" t="s">
        <v>3433</v>
      </c>
      <c r="I364" s="3" t="s">
        <v>46</v>
      </c>
      <c r="J364" s="3" t="s">
        <v>47</v>
      </c>
      <c r="K364" s="3" t="s">
        <v>524</v>
      </c>
      <c r="L364" s="3" t="s">
        <v>111</v>
      </c>
      <c r="M364" s="9" t="str">
        <f>HYPERLINK("http://www.fipco.com.sa", "www.fipco.com.sa")</f>
        <v>www.fipco.com.sa</v>
      </c>
      <c r="N364" s="3" t="s">
        <v>3434</v>
      </c>
      <c r="O364" s="3" t="s">
        <v>42</v>
      </c>
      <c r="P364" s="3" t="s">
        <v>3435</v>
      </c>
      <c r="Q364" s="3" t="s">
        <v>42</v>
      </c>
      <c r="R364" s="17" t="s">
        <v>42</v>
      </c>
      <c r="S364" s="17">
        <v>1</v>
      </c>
      <c r="T364" s="17">
        <v>1</v>
      </c>
      <c r="U364" s="17" t="s">
        <v>42</v>
      </c>
      <c r="V364" s="17" t="s">
        <v>42</v>
      </c>
      <c r="W364" s="5" t="s">
        <v>526</v>
      </c>
      <c r="X364" s="3" t="s">
        <v>3436</v>
      </c>
      <c r="Y364" s="9" t="str">
        <f>HYPERLINK("http://linkedin.com/in/hamzeh-bibars-passed-cpa-51190541/?originalsubdomain=sa", "http://linkedin.com/in/hamzeh-bibars-passed-cpa-51190541/?originalsubdomain=sa")</f>
        <v>http://linkedin.com/in/hamzeh-bibars-passed-cpa-51190541/?originalsubdomain=sa</v>
      </c>
      <c r="Z364" s="3" t="s">
        <v>55</v>
      </c>
      <c r="AA364" s="3" t="s">
        <v>527</v>
      </c>
      <c r="AB364" s="3" t="s">
        <v>42</v>
      </c>
      <c r="AC364" s="3" t="s">
        <v>58</v>
      </c>
      <c r="AD364" s="3" t="s">
        <v>42</v>
      </c>
      <c r="AE364" s="5" t="s">
        <v>528</v>
      </c>
      <c r="AF364" s="3" t="s">
        <v>60</v>
      </c>
      <c r="AG364" s="5" t="s">
        <v>529</v>
      </c>
      <c r="AH364" s="3" t="s">
        <v>61</v>
      </c>
      <c r="AI364" s="3" t="s">
        <v>61</v>
      </c>
      <c r="AJ364" s="3" t="s">
        <v>42</v>
      </c>
      <c r="AK364" s="3" t="s">
        <v>42</v>
      </c>
      <c r="AL364" s="29">
        <v>46020</v>
      </c>
      <c r="AM364" s="5" t="s">
        <v>42</v>
      </c>
      <c r="AN364" s="9" t="str">
        <f>HYPERLINK("https://my.pitchbook.com?p=372774-79P", "View People Online")</f>
        <v>View People Online</v>
      </c>
    </row>
    <row r="365" spans="1:40" x14ac:dyDescent="0.2">
      <c r="A365" s="2" t="s">
        <v>3437</v>
      </c>
      <c r="B365" s="2" t="s">
        <v>3438</v>
      </c>
      <c r="C365" s="2" t="s">
        <v>42</v>
      </c>
      <c r="D365" s="2" t="s">
        <v>42</v>
      </c>
      <c r="E365" s="2" t="s">
        <v>3437</v>
      </c>
      <c r="F365" s="2" t="s">
        <v>3439</v>
      </c>
      <c r="G365" s="2" t="s">
        <v>3427</v>
      </c>
      <c r="H365" s="2" t="s">
        <v>284</v>
      </c>
      <c r="I365" s="2" t="s">
        <v>46</v>
      </c>
      <c r="J365" s="2" t="s">
        <v>47</v>
      </c>
      <c r="K365" s="2" t="s">
        <v>3440</v>
      </c>
      <c r="L365" s="2" t="s">
        <v>111</v>
      </c>
      <c r="M365" s="8" t="str">
        <f>HYPERLINK("http://www.lamasat.com.sa", "www.lamasat.com.sa")</f>
        <v>www.lamasat.com.sa</v>
      </c>
      <c r="N365" s="2" t="s">
        <v>210</v>
      </c>
      <c r="O365" s="2" t="s">
        <v>42</v>
      </c>
      <c r="P365" s="2" t="s">
        <v>3441</v>
      </c>
      <c r="Q365" s="2" t="s">
        <v>42</v>
      </c>
      <c r="R365" s="16" t="s">
        <v>42</v>
      </c>
      <c r="S365" s="16">
        <v>1</v>
      </c>
      <c r="T365" s="16">
        <v>1</v>
      </c>
      <c r="U365" s="16" t="s">
        <v>42</v>
      </c>
      <c r="V365" s="16" t="s">
        <v>42</v>
      </c>
      <c r="W365" s="4" t="s">
        <v>42</v>
      </c>
      <c r="X365" s="2" t="s">
        <v>42</v>
      </c>
      <c r="Y365" s="2" t="s">
        <v>42</v>
      </c>
      <c r="Z365" s="2" t="s">
        <v>3442</v>
      </c>
      <c r="AA365" s="2" t="s">
        <v>3443</v>
      </c>
      <c r="AB365" s="2" t="s">
        <v>42</v>
      </c>
      <c r="AC365" s="2" t="s">
        <v>3444</v>
      </c>
      <c r="AD365" s="2" t="s">
        <v>42</v>
      </c>
      <c r="AE365" s="4" t="s">
        <v>42</v>
      </c>
      <c r="AF365" s="2" t="s">
        <v>60</v>
      </c>
      <c r="AG365" s="4" t="s">
        <v>42</v>
      </c>
      <c r="AH365" s="2" t="s">
        <v>61</v>
      </c>
      <c r="AI365" s="2" t="s">
        <v>61</v>
      </c>
      <c r="AJ365" s="2" t="s">
        <v>42</v>
      </c>
      <c r="AK365" s="2" t="s">
        <v>42</v>
      </c>
      <c r="AL365" s="28">
        <v>45659</v>
      </c>
      <c r="AM365" s="4" t="s">
        <v>42</v>
      </c>
      <c r="AN365" s="8" t="str">
        <f>HYPERLINK("https://my.pitchbook.com?p=427090-60P", "View People Online")</f>
        <v>View People Online</v>
      </c>
    </row>
    <row r="366" spans="1:40" x14ac:dyDescent="0.2">
      <c r="A366" s="3" t="s">
        <v>3445</v>
      </c>
      <c r="B366" s="3" t="s">
        <v>3446</v>
      </c>
      <c r="C366" s="3" t="s">
        <v>42</v>
      </c>
      <c r="D366" s="3" t="s">
        <v>42</v>
      </c>
      <c r="E366" s="3" t="s">
        <v>3445</v>
      </c>
      <c r="F366" s="3" t="s">
        <v>3447</v>
      </c>
      <c r="G366" s="3" t="s">
        <v>3448</v>
      </c>
      <c r="H366" s="3" t="s">
        <v>3449</v>
      </c>
      <c r="I366" s="3" t="s">
        <v>46</v>
      </c>
      <c r="J366" s="3" t="s">
        <v>47</v>
      </c>
      <c r="K366" s="3" t="s">
        <v>3450</v>
      </c>
      <c r="L366" s="3" t="s">
        <v>111</v>
      </c>
      <c r="M366" s="9" t="str">
        <f>HYPERLINK("http://www.redseaintl.com", "www.redseaintl.com")</f>
        <v>www.redseaintl.com</v>
      </c>
      <c r="N366" s="3" t="s">
        <v>447</v>
      </c>
      <c r="O366" s="3" t="s">
        <v>42</v>
      </c>
      <c r="P366" s="3" t="s">
        <v>3451</v>
      </c>
      <c r="Q366" s="3" t="s">
        <v>42</v>
      </c>
      <c r="R366" s="17" t="s">
        <v>42</v>
      </c>
      <c r="S366" s="17">
        <v>1</v>
      </c>
      <c r="T366" s="17">
        <v>1</v>
      </c>
      <c r="U366" s="17" t="s">
        <v>42</v>
      </c>
      <c r="V366" s="17" t="s">
        <v>42</v>
      </c>
      <c r="W366" s="5" t="s">
        <v>42</v>
      </c>
      <c r="X366" s="3" t="s">
        <v>3452</v>
      </c>
      <c r="Y366" s="3" t="s">
        <v>42</v>
      </c>
      <c r="Z366" s="3" t="s">
        <v>174</v>
      </c>
      <c r="AA366" s="3" t="s">
        <v>176</v>
      </c>
      <c r="AB366" s="3" t="s">
        <v>42</v>
      </c>
      <c r="AC366" s="3" t="s">
        <v>176</v>
      </c>
      <c r="AD366" s="3" t="s">
        <v>42</v>
      </c>
      <c r="AE366" s="5" t="s">
        <v>42</v>
      </c>
      <c r="AF366" s="3" t="s">
        <v>60</v>
      </c>
      <c r="AG366" s="5" t="s">
        <v>42</v>
      </c>
      <c r="AH366" s="3" t="s">
        <v>61</v>
      </c>
      <c r="AI366" s="3" t="s">
        <v>61</v>
      </c>
      <c r="AJ366" s="3" t="s">
        <v>42</v>
      </c>
      <c r="AK366" s="3" t="s">
        <v>42</v>
      </c>
      <c r="AL366" s="29">
        <v>45974</v>
      </c>
      <c r="AM366" s="5" t="s">
        <v>42</v>
      </c>
      <c r="AN366" s="9" t="str">
        <f>HYPERLINK("https://my.pitchbook.com?p=473674-96P", "View People Online")</f>
        <v>View People Online</v>
      </c>
    </row>
    <row r="367" spans="1:40" x14ac:dyDescent="0.2">
      <c r="A367" s="2" t="s">
        <v>3453</v>
      </c>
      <c r="B367" s="2" t="s">
        <v>3454</v>
      </c>
      <c r="C367" s="2" t="s">
        <v>42</v>
      </c>
      <c r="D367" s="2" t="s">
        <v>42</v>
      </c>
      <c r="E367" s="2" t="s">
        <v>3453</v>
      </c>
      <c r="F367" s="2" t="s">
        <v>3455</v>
      </c>
      <c r="G367" s="2" t="s">
        <v>3456</v>
      </c>
      <c r="H367" s="2" t="s">
        <v>42</v>
      </c>
      <c r="I367" s="2" t="s">
        <v>46</v>
      </c>
      <c r="J367" s="2" t="s">
        <v>47</v>
      </c>
      <c r="K367" s="2" t="s">
        <v>3457</v>
      </c>
      <c r="L367" s="2" t="s">
        <v>111</v>
      </c>
      <c r="M367" s="8" t="str">
        <f>HYPERLINK("http://www.aljazirabank.com.sa", "www.aljazirabank.com.sa")</f>
        <v>www.aljazirabank.com.sa</v>
      </c>
      <c r="N367" s="2" t="s">
        <v>3458</v>
      </c>
      <c r="O367" s="2" t="s">
        <v>42</v>
      </c>
      <c r="P367" s="2" t="s">
        <v>3459</v>
      </c>
      <c r="Q367" s="2" t="s">
        <v>3460</v>
      </c>
      <c r="R367" s="16" t="s">
        <v>42</v>
      </c>
      <c r="S367" s="16">
        <v>1</v>
      </c>
      <c r="T367" s="16">
        <v>1</v>
      </c>
      <c r="U367" s="16" t="s">
        <v>42</v>
      </c>
      <c r="V367" s="16" t="s">
        <v>42</v>
      </c>
      <c r="W367" s="4" t="s">
        <v>3461</v>
      </c>
      <c r="X367" s="2" t="s">
        <v>3462</v>
      </c>
      <c r="Y367" s="2" t="s">
        <v>42</v>
      </c>
      <c r="Z367" s="2" t="s">
        <v>174</v>
      </c>
      <c r="AA367" s="2" t="s">
        <v>3463</v>
      </c>
      <c r="AB367" s="2" t="s">
        <v>3464</v>
      </c>
      <c r="AC367" s="2" t="s">
        <v>176</v>
      </c>
      <c r="AD367" s="2" t="s">
        <v>42</v>
      </c>
      <c r="AE367" s="4" t="s">
        <v>2626</v>
      </c>
      <c r="AF367" s="2" t="s">
        <v>60</v>
      </c>
      <c r="AG367" s="4" t="s">
        <v>3465</v>
      </c>
      <c r="AH367" s="2" t="s">
        <v>61</v>
      </c>
      <c r="AI367" s="2" t="s">
        <v>61</v>
      </c>
      <c r="AJ367" s="2" t="s">
        <v>42</v>
      </c>
      <c r="AK367" s="2" t="s">
        <v>42</v>
      </c>
      <c r="AL367" s="28">
        <v>45734</v>
      </c>
      <c r="AM367" s="4" t="s">
        <v>42</v>
      </c>
      <c r="AN367" s="8" t="str">
        <f>HYPERLINK("https://my.pitchbook.com?p=339947-47P", "View People Online")</f>
        <v>View People Online</v>
      </c>
    </row>
    <row r="368" spans="1:40" x14ac:dyDescent="0.2">
      <c r="A368" s="3" t="s">
        <v>3466</v>
      </c>
      <c r="B368" s="3" t="s">
        <v>3467</v>
      </c>
      <c r="C368" s="3" t="s">
        <v>42</v>
      </c>
      <c r="D368" s="3" t="s">
        <v>42</v>
      </c>
      <c r="E368" s="3" t="s">
        <v>3466</v>
      </c>
      <c r="F368" s="3" t="s">
        <v>3468</v>
      </c>
      <c r="G368" s="3" t="s">
        <v>3448</v>
      </c>
      <c r="H368" s="3" t="s">
        <v>42</v>
      </c>
      <c r="I368" s="3" t="s">
        <v>46</v>
      </c>
      <c r="J368" s="3" t="s">
        <v>47</v>
      </c>
      <c r="K368" s="3" t="s">
        <v>2870</v>
      </c>
      <c r="L368" s="3" t="s">
        <v>111</v>
      </c>
      <c r="M368" s="9" t="str">
        <f>HYPERLINK("http://smc.com.sa", "smc.com.sa")</f>
        <v>smc.com.sa</v>
      </c>
      <c r="N368" s="3" t="s">
        <v>3469</v>
      </c>
      <c r="O368" s="3" t="s">
        <v>42</v>
      </c>
      <c r="P368" s="3" t="s">
        <v>3470</v>
      </c>
      <c r="Q368" s="3" t="s">
        <v>42</v>
      </c>
      <c r="R368" s="17" t="s">
        <v>42</v>
      </c>
      <c r="S368" s="17">
        <v>1</v>
      </c>
      <c r="T368" s="17">
        <v>1</v>
      </c>
      <c r="U368" s="17" t="s">
        <v>42</v>
      </c>
      <c r="V368" s="17" t="s">
        <v>42</v>
      </c>
      <c r="W368" s="5" t="s">
        <v>2872</v>
      </c>
      <c r="X368" s="3" t="s">
        <v>3471</v>
      </c>
      <c r="Y368" s="9" t="str">
        <f>HYPERLINK("http://linkedin.com/in/hani-charani-242990101/", "http://linkedin.com/in/hani-charani-242990101/")</f>
        <v>http://linkedin.com/in/hani-charani-242990101/</v>
      </c>
      <c r="Z368" s="3" t="s">
        <v>55</v>
      </c>
      <c r="AA368" s="3" t="s">
        <v>2874</v>
      </c>
      <c r="AB368" s="3" t="s">
        <v>42</v>
      </c>
      <c r="AC368" s="3" t="s">
        <v>58</v>
      </c>
      <c r="AD368" s="3" t="s">
        <v>42</v>
      </c>
      <c r="AE368" s="5" t="s">
        <v>42</v>
      </c>
      <c r="AF368" s="3" t="s">
        <v>60</v>
      </c>
      <c r="AG368" s="5" t="s">
        <v>42</v>
      </c>
      <c r="AH368" s="3" t="s">
        <v>61</v>
      </c>
      <c r="AI368" s="3" t="s">
        <v>61</v>
      </c>
      <c r="AJ368" s="3" t="s">
        <v>42</v>
      </c>
      <c r="AK368" s="3" t="s">
        <v>42</v>
      </c>
      <c r="AL368" s="29">
        <v>45834</v>
      </c>
      <c r="AM368" s="5" t="s">
        <v>42</v>
      </c>
      <c r="AN368" s="9" t="str">
        <f>HYPERLINK("https://my.pitchbook.com?p=452575-27P", "View People Online")</f>
        <v>View People Online</v>
      </c>
    </row>
    <row r="369" spans="1:40" x14ac:dyDescent="0.2">
      <c r="A369" s="2" t="s">
        <v>3472</v>
      </c>
      <c r="B369" s="2" t="s">
        <v>3473</v>
      </c>
      <c r="C369" s="2" t="s">
        <v>42</v>
      </c>
      <c r="D369" s="2" t="s">
        <v>42</v>
      </c>
      <c r="E369" s="2" t="s">
        <v>3472</v>
      </c>
      <c r="F369" s="2" t="s">
        <v>3474</v>
      </c>
      <c r="G369" s="2" t="s">
        <v>3448</v>
      </c>
      <c r="H369" s="2" t="s">
        <v>42</v>
      </c>
      <c r="I369" s="2" t="s">
        <v>46</v>
      </c>
      <c r="J369" s="2" t="s">
        <v>47</v>
      </c>
      <c r="K369" s="2" t="s">
        <v>524</v>
      </c>
      <c r="L369" s="2" t="s">
        <v>111</v>
      </c>
      <c r="M369" s="8" t="str">
        <f>HYPERLINK("http://www.fipco.com.sa", "www.fipco.com.sa")</f>
        <v>www.fipco.com.sa</v>
      </c>
      <c r="N369" s="2" t="s">
        <v>370</v>
      </c>
      <c r="O369" s="2" t="s">
        <v>42</v>
      </c>
      <c r="P369" s="2" t="s">
        <v>3475</v>
      </c>
      <c r="Q369" s="2" t="s">
        <v>42</v>
      </c>
      <c r="R369" s="16" t="s">
        <v>42</v>
      </c>
      <c r="S369" s="16">
        <v>1</v>
      </c>
      <c r="T369" s="16">
        <v>1</v>
      </c>
      <c r="U369" s="16" t="s">
        <v>42</v>
      </c>
      <c r="V369" s="16" t="s">
        <v>42</v>
      </c>
      <c r="W369" s="4" t="s">
        <v>526</v>
      </c>
      <c r="X369" s="2" t="s">
        <v>3476</v>
      </c>
      <c r="Y369" s="2" t="s">
        <v>42</v>
      </c>
      <c r="Z369" s="2" t="s">
        <v>55</v>
      </c>
      <c r="AA369" s="2" t="s">
        <v>527</v>
      </c>
      <c r="AB369" s="2" t="s">
        <v>42</v>
      </c>
      <c r="AC369" s="2" t="s">
        <v>58</v>
      </c>
      <c r="AD369" s="2" t="s">
        <v>42</v>
      </c>
      <c r="AE369" s="4" t="s">
        <v>528</v>
      </c>
      <c r="AF369" s="2" t="s">
        <v>60</v>
      </c>
      <c r="AG369" s="4" t="s">
        <v>529</v>
      </c>
      <c r="AH369" s="2" t="s">
        <v>61</v>
      </c>
      <c r="AI369" s="2" t="s">
        <v>61</v>
      </c>
      <c r="AJ369" s="2" t="s">
        <v>42</v>
      </c>
      <c r="AK369" s="2" t="s">
        <v>42</v>
      </c>
      <c r="AL369" s="28">
        <v>45918</v>
      </c>
      <c r="AM369" s="4" t="s">
        <v>42</v>
      </c>
      <c r="AN369" s="8" t="str">
        <f>HYPERLINK("https://my.pitchbook.com?p=372775-15P", "View People Online")</f>
        <v>View People Online</v>
      </c>
    </row>
    <row r="370" spans="1:40" x14ac:dyDescent="0.2">
      <c r="A370" s="3" t="s">
        <v>3477</v>
      </c>
      <c r="B370" s="3" t="s">
        <v>3478</v>
      </c>
      <c r="C370" s="3" t="s">
        <v>42</v>
      </c>
      <c r="D370" s="3" t="s">
        <v>42</v>
      </c>
      <c r="E370" s="3" t="s">
        <v>3477</v>
      </c>
      <c r="F370" s="3" t="s">
        <v>3479</v>
      </c>
      <c r="G370" s="3" t="s">
        <v>3480</v>
      </c>
      <c r="H370" s="3" t="s">
        <v>42</v>
      </c>
      <c r="I370" s="3" t="s">
        <v>46</v>
      </c>
      <c r="J370" s="3" t="s">
        <v>47</v>
      </c>
      <c r="K370" s="3" t="s">
        <v>2312</v>
      </c>
      <c r="L370" s="3" t="s">
        <v>111</v>
      </c>
      <c r="M370" s="9" t="str">
        <f>HYPERLINK("http://www.arabianmills.com", "www.arabianmills.com")</f>
        <v>www.arabianmills.com</v>
      </c>
      <c r="N370" s="3" t="s">
        <v>370</v>
      </c>
      <c r="O370" s="3" t="s">
        <v>42</v>
      </c>
      <c r="P370" s="3" t="s">
        <v>3481</v>
      </c>
      <c r="Q370" s="3" t="s">
        <v>42</v>
      </c>
      <c r="R370" s="17" t="s">
        <v>42</v>
      </c>
      <c r="S370" s="17">
        <v>1</v>
      </c>
      <c r="T370" s="17">
        <v>1</v>
      </c>
      <c r="U370" s="17" t="s">
        <v>42</v>
      </c>
      <c r="V370" s="17" t="s">
        <v>42</v>
      </c>
      <c r="W370" s="5" t="s">
        <v>42</v>
      </c>
      <c r="X370" s="3" t="s">
        <v>42</v>
      </c>
      <c r="Y370" s="3" t="s">
        <v>42</v>
      </c>
      <c r="Z370" s="3" t="s">
        <v>55</v>
      </c>
      <c r="AA370" s="3" t="s">
        <v>2314</v>
      </c>
      <c r="AB370" s="3" t="s">
        <v>42</v>
      </c>
      <c r="AC370" s="3" t="s">
        <v>58</v>
      </c>
      <c r="AD370" s="3" t="s">
        <v>42</v>
      </c>
      <c r="AE370" s="5" t="s">
        <v>2315</v>
      </c>
      <c r="AF370" s="3" t="s">
        <v>60</v>
      </c>
      <c r="AG370" s="5" t="s">
        <v>42</v>
      </c>
      <c r="AH370" s="3" t="s">
        <v>61</v>
      </c>
      <c r="AI370" s="3" t="s">
        <v>61</v>
      </c>
      <c r="AJ370" s="3" t="s">
        <v>42</v>
      </c>
      <c r="AK370" s="3" t="s">
        <v>42</v>
      </c>
      <c r="AL370" s="29">
        <v>45544</v>
      </c>
      <c r="AM370" s="5" t="s">
        <v>42</v>
      </c>
      <c r="AN370" s="9" t="str">
        <f>HYPERLINK("https://my.pitchbook.com?p=412033-42P", "View People Online")</f>
        <v>View People Online</v>
      </c>
    </row>
    <row r="371" spans="1:40" x14ac:dyDescent="0.2">
      <c r="A371" s="2" t="s">
        <v>3482</v>
      </c>
      <c r="B371" s="2" t="s">
        <v>3483</v>
      </c>
      <c r="C371" s="2" t="s">
        <v>42</v>
      </c>
      <c r="D371" s="2" t="s">
        <v>42</v>
      </c>
      <c r="E371" s="2" t="s">
        <v>3482</v>
      </c>
      <c r="F371" s="2" t="s">
        <v>3484</v>
      </c>
      <c r="G371" s="2" t="s">
        <v>3485</v>
      </c>
      <c r="H371" s="2" t="s">
        <v>42</v>
      </c>
      <c r="I371" s="2" t="s">
        <v>46</v>
      </c>
      <c r="J371" s="2" t="s">
        <v>47</v>
      </c>
      <c r="K371" s="2" t="s">
        <v>3486</v>
      </c>
      <c r="L371" s="2" t="s">
        <v>1316</v>
      </c>
      <c r="M371" s="8" t="str">
        <f>HYPERLINK("http://www.chubb.com.sa", "www.chubb.com.sa")</f>
        <v>www.chubb.com.sa</v>
      </c>
      <c r="N371" s="2" t="s">
        <v>370</v>
      </c>
      <c r="O371" s="2" t="s">
        <v>42</v>
      </c>
      <c r="P371" s="2" t="s">
        <v>3487</v>
      </c>
      <c r="Q371" s="2" t="s">
        <v>42</v>
      </c>
      <c r="R371" s="16" t="s">
        <v>42</v>
      </c>
      <c r="S371" s="16">
        <v>1</v>
      </c>
      <c r="T371" s="16">
        <v>1</v>
      </c>
      <c r="U371" s="16" t="s">
        <v>42</v>
      </c>
      <c r="V371" s="16" t="s">
        <v>42</v>
      </c>
      <c r="W371" s="4" t="s">
        <v>3488</v>
      </c>
      <c r="X371" s="2" t="s">
        <v>3489</v>
      </c>
      <c r="Y371" s="8" t="str">
        <f>HYPERLINK("http://linkedin.com/in/has8910/", "http://linkedin.com/in/has8910/")</f>
        <v>http://linkedin.com/in/has8910/</v>
      </c>
      <c r="Z371" s="2" t="s">
        <v>595</v>
      </c>
      <c r="AA371" s="2" t="s">
        <v>3490</v>
      </c>
      <c r="AB371" s="2" t="s">
        <v>3491</v>
      </c>
      <c r="AC371" s="2" t="s">
        <v>598</v>
      </c>
      <c r="AD371" s="2" t="s">
        <v>42</v>
      </c>
      <c r="AE371" s="4" t="s">
        <v>599</v>
      </c>
      <c r="AF371" s="2" t="s">
        <v>60</v>
      </c>
      <c r="AG371" s="4" t="s">
        <v>3492</v>
      </c>
      <c r="AH371" s="2" t="s">
        <v>61</v>
      </c>
      <c r="AI371" s="2" t="s">
        <v>61</v>
      </c>
      <c r="AJ371" s="2" t="s">
        <v>42</v>
      </c>
      <c r="AK371" s="2" t="s">
        <v>42</v>
      </c>
      <c r="AL371" s="28">
        <v>45922</v>
      </c>
      <c r="AM371" s="4" t="s">
        <v>42</v>
      </c>
      <c r="AN371" s="8" t="str">
        <f>HYPERLINK("https://my.pitchbook.com?p=465813-82P", "View People Online")</f>
        <v>View People Online</v>
      </c>
    </row>
    <row r="372" spans="1:40" x14ac:dyDescent="0.2">
      <c r="A372" s="3" t="s">
        <v>3493</v>
      </c>
      <c r="B372" s="3" t="s">
        <v>3494</v>
      </c>
      <c r="C372" s="3" t="s">
        <v>42</v>
      </c>
      <c r="D372" s="3" t="s">
        <v>42</v>
      </c>
      <c r="E372" s="3" t="s">
        <v>3493</v>
      </c>
      <c r="F372" s="3" t="s">
        <v>3495</v>
      </c>
      <c r="G372" s="3" t="s">
        <v>2218</v>
      </c>
      <c r="H372" s="3" t="s">
        <v>3496</v>
      </c>
      <c r="I372" s="3" t="s">
        <v>46</v>
      </c>
      <c r="J372" s="3" t="s">
        <v>47</v>
      </c>
      <c r="K372" s="3" t="s">
        <v>3497</v>
      </c>
      <c r="L372" s="3" t="s">
        <v>111</v>
      </c>
      <c r="M372" s="9" t="str">
        <f>HYPERLINK("http://www.anaamgroup.com", "www.anaamgroup.com")</f>
        <v>www.anaamgroup.com</v>
      </c>
      <c r="N372" s="3" t="s">
        <v>3498</v>
      </c>
      <c r="O372" s="3" t="s">
        <v>42</v>
      </c>
      <c r="P372" s="3" t="s">
        <v>3499</v>
      </c>
      <c r="Q372" s="3" t="s">
        <v>42</v>
      </c>
      <c r="R372" s="17">
        <v>1</v>
      </c>
      <c r="S372" s="17">
        <v>1</v>
      </c>
      <c r="T372" s="17">
        <v>1</v>
      </c>
      <c r="U372" s="17" t="s">
        <v>42</v>
      </c>
      <c r="V372" s="17" t="s">
        <v>42</v>
      </c>
      <c r="W372" s="5" t="s">
        <v>3500</v>
      </c>
      <c r="X372" s="3" t="s">
        <v>42</v>
      </c>
      <c r="Y372" s="9" t="str">
        <f>HYPERLINK("http://linkedin.com/in/hassan-s-yamani-94a32a45/", "http://linkedin.com/in/hassan-s-yamani-94a32a45/")</f>
        <v>http://linkedin.com/in/hassan-s-yamani-94a32a45/</v>
      </c>
      <c r="Z372" s="3" t="s">
        <v>174</v>
      </c>
      <c r="AA372" s="3" t="s">
        <v>3501</v>
      </c>
      <c r="AB372" s="3" t="s">
        <v>1285</v>
      </c>
      <c r="AC372" s="3" t="s">
        <v>176</v>
      </c>
      <c r="AD372" s="3" t="s">
        <v>42</v>
      </c>
      <c r="AE372" s="5" t="s">
        <v>3502</v>
      </c>
      <c r="AF372" s="3" t="s">
        <v>60</v>
      </c>
      <c r="AG372" s="5" t="s">
        <v>3503</v>
      </c>
      <c r="AH372" s="3" t="s">
        <v>61</v>
      </c>
      <c r="AI372" s="3" t="s">
        <v>61</v>
      </c>
      <c r="AJ372" s="3" t="s">
        <v>42</v>
      </c>
      <c r="AK372" s="3" t="s">
        <v>42</v>
      </c>
      <c r="AL372" s="29">
        <v>46042</v>
      </c>
      <c r="AM372" s="5" t="s">
        <v>42</v>
      </c>
      <c r="AN372" s="9" t="str">
        <f>HYPERLINK("https://my.pitchbook.com?p=339798-61P", "View People Online")</f>
        <v>View People Online</v>
      </c>
    </row>
    <row r="373" spans="1:40" x14ac:dyDescent="0.2">
      <c r="A373" s="2" t="s">
        <v>3504</v>
      </c>
      <c r="B373" s="2" t="s">
        <v>3505</v>
      </c>
      <c r="C373" s="2" t="s">
        <v>42</v>
      </c>
      <c r="D373" s="2" t="s">
        <v>42</v>
      </c>
      <c r="E373" s="2" t="s">
        <v>3504</v>
      </c>
      <c r="F373" s="2" t="s">
        <v>3506</v>
      </c>
      <c r="G373" s="2" t="s">
        <v>2218</v>
      </c>
      <c r="H373" s="2" t="s">
        <v>3507</v>
      </c>
      <c r="I373" s="2" t="s">
        <v>196</v>
      </c>
      <c r="J373" s="2" t="s">
        <v>47</v>
      </c>
      <c r="K373" s="2" t="s">
        <v>1280</v>
      </c>
      <c r="L373" s="2" t="s">
        <v>111</v>
      </c>
      <c r="M373" s="8" t="str">
        <f>HYPERLINK("http://ladun.sa", "ladun.sa")</f>
        <v>ladun.sa</v>
      </c>
      <c r="N373" s="2" t="s">
        <v>112</v>
      </c>
      <c r="O373" s="2" t="s">
        <v>42</v>
      </c>
      <c r="P373" s="2" t="s">
        <v>3508</v>
      </c>
      <c r="Q373" s="2" t="s">
        <v>42</v>
      </c>
      <c r="R373" s="16">
        <v>1</v>
      </c>
      <c r="S373" s="16">
        <v>1</v>
      </c>
      <c r="T373" s="16">
        <v>1</v>
      </c>
      <c r="U373" s="16" t="s">
        <v>42</v>
      </c>
      <c r="V373" s="16" t="s">
        <v>42</v>
      </c>
      <c r="W373" s="4" t="s">
        <v>1283</v>
      </c>
      <c r="X373" s="2" t="s">
        <v>3509</v>
      </c>
      <c r="Y373" s="8" t="str">
        <f>HYPERLINK("http://linkedin.com/in/dr-hassan-shawqi-alhazmi-b481034/?originalsubdomain=sa", "http://linkedin.com/in/dr-hassan-shawqi-alhazmi-b481034/?originalsubdomain=sa")</f>
        <v>http://linkedin.com/in/dr-hassan-shawqi-alhazmi-b481034/?originalsubdomain=sa</v>
      </c>
      <c r="Z373" s="2" t="s">
        <v>55</v>
      </c>
      <c r="AA373" s="2" t="s">
        <v>1285</v>
      </c>
      <c r="AB373" s="2" t="s">
        <v>1286</v>
      </c>
      <c r="AC373" s="2" t="s">
        <v>58</v>
      </c>
      <c r="AD373" s="2" t="s">
        <v>42</v>
      </c>
      <c r="AE373" s="4" t="s">
        <v>599</v>
      </c>
      <c r="AF373" s="2" t="s">
        <v>60</v>
      </c>
      <c r="AG373" s="4" t="s">
        <v>1287</v>
      </c>
      <c r="AH373" s="2" t="s">
        <v>61</v>
      </c>
      <c r="AI373" s="2" t="s">
        <v>61</v>
      </c>
      <c r="AJ373" s="2" t="s">
        <v>42</v>
      </c>
      <c r="AK373" s="2" t="s">
        <v>42</v>
      </c>
      <c r="AL373" s="28">
        <v>45387</v>
      </c>
      <c r="AM373" s="4" t="s">
        <v>42</v>
      </c>
      <c r="AN373" s="8" t="str">
        <f>HYPERLINK("https://my.pitchbook.com?p=315787-06P", "View People Online")</f>
        <v>View People Online</v>
      </c>
    </row>
    <row r="374" spans="1:40" x14ac:dyDescent="0.2">
      <c r="A374" s="3" t="s">
        <v>3510</v>
      </c>
      <c r="B374" s="3" t="s">
        <v>3511</v>
      </c>
      <c r="C374" s="3" t="s">
        <v>42</v>
      </c>
      <c r="D374" s="3" t="s">
        <v>42</v>
      </c>
      <c r="E374" s="3" t="s">
        <v>3510</v>
      </c>
      <c r="F374" s="3" t="s">
        <v>3512</v>
      </c>
      <c r="G374" s="3" t="s">
        <v>2218</v>
      </c>
      <c r="H374" s="3" t="s">
        <v>42</v>
      </c>
      <c r="I374" s="3" t="s">
        <v>46</v>
      </c>
      <c r="J374" s="3" t="s">
        <v>47</v>
      </c>
      <c r="K374" s="3" t="s">
        <v>3149</v>
      </c>
      <c r="L374" s="3" t="s">
        <v>111</v>
      </c>
      <c r="M374" s="9" t="str">
        <f>HYPERLINK("http://sal.sa", "sal.sa")</f>
        <v>sal.sa</v>
      </c>
      <c r="N374" s="3" t="s">
        <v>1832</v>
      </c>
      <c r="O374" s="3" t="s">
        <v>42</v>
      </c>
      <c r="P374" s="3" t="s">
        <v>3513</v>
      </c>
      <c r="Q374" s="3" t="s">
        <v>42</v>
      </c>
      <c r="R374" s="17" t="s">
        <v>42</v>
      </c>
      <c r="S374" s="17">
        <v>1</v>
      </c>
      <c r="T374" s="17">
        <v>1</v>
      </c>
      <c r="U374" s="17" t="s">
        <v>42</v>
      </c>
      <c r="V374" s="17" t="s">
        <v>42</v>
      </c>
      <c r="W374" s="5" t="s">
        <v>3151</v>
      </c>
      <c r="X374" s="3" t="s">
        <v>3514</v>
      </c>
      <c r="Y374" s="9" t="str">
        <f>HYPERLINK("http://linkedin.com/in/hassan-aldessi-emba-7319a94b/", "http://linkedin.com/in/hassan-aldessi-emba-7319a94b/")</f>
        <v>http://linkedin.com/in/hassan-aldessi-emba-7319a94b/</v>
      </c>
      <c r="Z374" s="3" t="s">
        <v>174</v>
      </c>
      <c r="AA374" s="3" t="s">
        <v>3153</v>
      </c>
      <c r="AB374" s="3" t="s">
        <v>3154</v>
      </c>
      <c r="AC374" s="3" t="s">
        <v>176</v>
      </c>
      <c r="AD374" s="3" t="s">
        <v>42</v>
      </c>
      <c r="AE374" s="5" t="s">
        <v>42</v>
      </c>
      <c r="AF374" s="3" t="s">
        <v>60</v>
      </c>
      <c r="AG374" s="5" t="s">
        <v>42</v>
      </c>
      <c r="AH374" s="3" t="s">
        <v>61</v>
      </c>
      <c r="AI374" s="3" t="s">
        <v>61</v>
      </c>
      <c r="AJ374" s="3" t="s">
        <v>42</v>
      </c>
      <c r="AK374" s="3" t="s">
        <v>42</v>
      </c>
      <c r="AL374" s="29">
        <v>45735</v>
      </c>
      <c r="AM374" s="5" t="s">
        <v>42</v>
      </c>
      <c r="AN374" s="9" t="str">
        <f>HYPERLINK("https://my.pitchbook.com?p=364798-72P", "View People Online")</f>
        <v>View People Online</v>
      </c>
    </row>
    <row r="375" spans="1:40" x14ac:dyDescent="0.2">
      <c r="A375" s="2" t="s">
        <v>3515</v>
      </c>
      <c r="B375" s="2" t="s">
        <v>3516</v>
      </c>
      <c r="C375" s="2" t="s">
        <v>42</v>
      </c>
      <c r="D375" s="2" t="s">
        <v>42</v>
      </c>
      <c r="E375" s="2" t="s">
        <v>3515</v>
      </c>
      <c r="F375" s="2" t="s">
        <v>3517</v>
      </c>
      <c r="G375" s="2" t="s">
        <v>2218</v>
      </c>
      <c r="H375" s="2" t="s">
        <v>42</v>
      </c>
      <c r="I375" s="2" t="s">
        <v>46</v>
      </c>
      <c r="J375" s="2" t="s">
        <v>47</v>
      </c>
      <c r="K375" s="2" t="s">
        <v>1015</v>
      </c>
      <c r="L375" s="2" t="s">
        <v>111</v>
      </c>
      <c r="M375" s="8" t="str">
        <f>HYPERLINK("http://www.nadec.com", "www.nadec.com")</f>
        <v>www.nadec.com</v>
      </c>
      <c r="N375" s="2" t="s">
        <v>3518</v>
      </c>
      <c r="O375" s="2" t="s">
        <v>42</v>
      </c>
      <c r="P375" s="2" t="s">
        <v>3519</v>
      </c>
      <c r="Q375" s="2" t="s">
        <v>42</v>
      </c>
      <c r="R375" s="16" t="s">
        <v>42</v>
      </c>
      <c r="S375" s="16">
        <v>1</v>
      </c>
      <c r="T375" s="16">
        <v>1</v>
      </c>
      <c r="U375" s="16" t="s">
        <v>42</v>
      </c>
      <c r="V375" s="16" t="s">
        <v>42</v>
      </c>
      <c r="W375" s="4" t="s">
        <v>1017</v>
      </c>
      <c r="X375" s="2" t="s">
        <v>42</v>
      </c>
      <c r="Y375" s="8" t="str">
        <f>HYPERLINK("http://linkedin.com/in/hassanaqrouq", "http://linkedin.com/in/hassanaqrouq")</f>
        <v>http://linkedin.com/in/hassanaqrouq</v>
      </c>
      <c r="Z375" s="2" t="s">
        <v>55</v>
      </c>
      <c r="AA375" s="2" t="s">
        <v>1019</v>
      </c>
      <c r="AB375" s="2" t="s">
        <v>1020</v>
      </c>
      <c r="AC375" s="2" t="s">
        <v>58</v>
      </c>
      <c r="AD375" s="2" t="s">
        <v>42</v>
      </c>
      <c r="AE375" s="4" t="s">
        <v>1021</v>
      </c>
      <c r="AF375" s="2" t="s">
        <v>60</v>
      </c>
      <c r="AG375" s="4" t="s">
        <v>42</v>
      </c>
      <c r="AH375" s="2" t="s">
        <v>61</v>
      </c>
      <c r="AI375" s="2" t="s">
        <v>61</v>
      </c>
      <c r="AJ375" s="2" t="s">
        <v>42</v>
      </c>
      <c r="AK375" s="2" t="s">
        <v>42</v>
      </c>
      <c r="AL375" s="28">
        <v>45907</v>
      </c>
      <c r="AM375" s="4">
        <v>1978</v>
      </c>
      <c r="AN375" s="8" t="str">
        <f>HYPERLINK("https://my.pitchbook.com?p=366064-39P", "View People Online")</f>
        <v>View People Online</v>
      </c>
    </row>
    <row r="376" spans="1:40" x14ac:dyDescent="0.2">
      <c r="A376" s="3" t="s">
        <v>3520</v>
      </c>
      <c r="B376" s="3" t="s">
        <v>3521</v>
      </c>
      <c r="C376" s="3" t="s">
        <v>42</v>
      </c>
      <c r="D376" s="3" t="s">
        <v>42</v>
      </c>
      <c r="E376" s="3" t="s">
        <v>3520</v>
      </c>
      <c r="F376" s="3" t="s">
        <v>3522</v>
      </c>
      <c r="G376" s="3" t="s">
        <v>2218</v>
      </c>
      <c r="H376" s="3" t="s">
        <v>42</v>
      </c>
      <c r="I376" s="3" t="s">
        <v>46</v>
      </c>
      <c r="J376" s="3" t="s">
        <v>47</v>
      </c>
      <c r="K376" s="3" t="s">
        <v>3523</v>
      </c>
      <c r="L376" s="3" t="s">
        <v>111</v>
      </c>
      <c r="M376" s="9" t="str">
        <f>HYPERLINK("http://www.canadian-mc.com", "www.canadian-mc.com")</f>
        <v>www.canadian-mc.com</v>
      </c>
      <c r="N376" s="3" t="s">
        <v>370</v>
      </c>
      <c r="O376" s="3" t="s">
        <v>42</v>
      </c>
      <c r="P376" s="3" t="s">
        <v>3524</v>
      </c>
      <c r="Q376" s="3" t="s">
        <v>42</v>
      </c>
      <c r="R376" s="17" t="s">
        <v>42</v>
      </c>
      <c r="S376" s="17">
        <v>1</v>
      </c>
      <c r="T376" s="17">
        <v>1</v>
      </c>
      <c r="U376" s="17" t="s">
        <v>42</v>
      </c>
      <c r="V376" s="17" t="s">
        <v>42</v>
      </c>
      <c r="W376" s="5" t="s">
        <v>3525</v>
      </c>
      <c r="X376" s="3" t="s">
        <v>3526</v>
      </c>
      <c r="Y376" s="9" t="str">
        <f>HYPERLINK("http://linkedin.com/in/hasan-joudeh-57b56621/", "http://linkedin.com/in/hasan-joudeh-57b56621/")</f>
        <v>http://linkedin.com/in/hasan-joudeh-57b56621/</v>
      </c>
      <c r="Z376" s="3" t="s">
        <v>383</v>
      </c>
      <c r="AA376" s="3" t="s">
        <v>3527</v>
      </c>
      <c r="AB376" s="3" t="s">
        <v>3528</v>
      </c>
      <c r="AC376" s="3" t="s">
        <v>385</v>
      </c>
      <c r="AD376" s="3" t="s">
        <v>42</v>
      </c>
      <c r="AE376" s="5" t="s">
        <v>42</v>
      </c>
      <c r="AF376" s="3" t="s">
        <v>60</v>
      </c>
      <c r="AG376" s="5" t="s">
        <v>42</v>
      </c>
      <c r="AH376" s="3" t="s">
        <v>61</v>
      </c>
      <c r="AI376" s="3" t="s">
        <v>61</v>
      </c>
      <c r="AJ376" s="3" t="s">
        <v>42</v>
      </c>
      <c r="AK376" s="3" t="s">
        <v>42</v>
      </c>
      <c r="AL376" s="29">
        <v>46055</v>
      </c>
      <c r="AM376" s="5" t="s">
        <v>42</v>
      </c>
      <c r="AN376" s="9" t="str">
        <f>HYPERLINK("https://my.pitchbook.com?p=355155-04P", "View People Online")</f>
        <v>View People Online</v>
      </c>
    </row>
    <row r="377" spans="1:40" x14ac:dyDescent="0.2">
      <c r="A377" s="2" t="s">
        <v>3529</v>
      </c>
      <c r="B377" s="2" t="s">
        <v>3530</v>
      </c>
      <c r="C377" s="2" t="s">
        <v>42</v>
      </c>
      <c r="D377" s="2" t="s">
        <v>42</v>
      </c>
      <c r="E377" s="2" t="s">
        <v>3529</v>
      </c>
      <c r="F377" s="2" t="s">
        <v>3531</v>
      </c>
      <c r="G377" s="2" t="s">
        <v>3532</v>
      </c>
      <c r="H377" s="2" t="s">
        <v>42</v>
      </c>
      <c r="I377" s="2" t="s">
        <v>46</v>
      </c>
      <c r="J377" s="2" t="s">
        <v>47</v>
      </c>
      <c r="K377" s="2" t="s">
        <v>663</v>
      </c>
      <c r="L377" s="2" t="s">
        <v>111</v>
      </c>
      <c r="M377" s="8" t="str">
        <f>HYPERLINK("http://www.bahri.sa", "www.bahri.sa")</f>
        <v>www.bahri.sa</v>
      </c>
      <c r="N377" s="2" t="s">
        <v>370</v>
      </c>
      <c r="O377" s="2" t="s">
        <v>42</v>
      </c>
      <c r="P377" s="2" t="s">
        <v>3533</v>
      </c>
      <c r="Q377" s="2" t="s">
        <v>42</v>
      </c>
      <c r="R377" s="16" t="s">
        <v>42</v>
      </c>
      <c r="S377" s="16">
        <v>1</v>
      </c>
      <c r="T377" s="16">
        <v>1</v>
      </c>
      <c r="U377" s="16" t="s">
        <v>42</v>
      </c>
      <c r="V377" s="16" t="s">
        <v>42</v>
      </c>
      <c r="W377" s="4" t="s">
        <v>665</v>
      </c>
      <c r="X377" s="2" t="s">
        <v>42</v>
      </c>
      <c r="Y377" s="8" t="str">
        <f>HYPERLINK("http://linkedin.com/in/hatem-abdin-9853b332", "http://linkedin.com/in/hatem-abdin-9853b332")</f>
        <v>http://linkedin.com/in/hatem-abdin-9853b332</v>
      </c>
      <c r="Z377" s="2" t="s">
        <v>55</v>
      </c>
      <c r="AA377" s="2" t="s">
        <v>667</v>
      </c>
      <c r="AB377" s="2" t="s">
        <v>668</v>
      </c>
      <c r="AC377" s="2" t="s">
        <v>58</v>
      </c>
      <c r="AD377" s="2" t="s">
        <v>42</v>
      </c>
      <c r="AE377" s="4" t="s">
        <v>556</v>
      </c>
      <c r="AF377" s="2" t="s">
        <v>60</v>
      </c>
      <c r="AG377" s="4" t="s">
        <v>669</v>
      </c>
      <c r="AH377" s="2" t="s">
        <v>61</v>
      </c>
      <c r="AI377" s="2" t="s">
        <v>61</v>
      </c>
      <c r="AJ377" s="2" t="s">
        <v>42</v>
      </c>
      <c r="AK377" s="2" t="s">
        <v>42</v>
      </c>
      <c r="AL377" s="28">
        <v>45755</v>
      </c>
      <c r="AM377" s="4" t="s">
        <v>42</v>
      </c>
      <c r="AN377" s="8" t="str">
        <f>HYPERLINK("https://my.pitchbook.com?p=388540-81P", "View People Online")</f>
        <v>View People Online</v>
      </c>
    </row>
    <row r="378" spans="1:40" x14ac:dyDescent="0.2">
      <c r="A378" s="3" t="s">
        <v>3534</v>
      </c>
      <c r="B378" s="3" t="s">
        <v>3535</v>
      </c>
      <c r="C378" s="3" t="s">
        <v>42</v>
      </c>
      <c r="D378" s="3" t="s">
        <v>42</v>
      </c>
      <c r="E378" s="3" t="s">
        <v>3534</v>
      </c>
      <c r="F378" s="3" t="s">
        <v>3536</v>
      </c>
      <c r="G378" s="3" t="s">
        <v>3532</v>
      </c>
      <c r="H378" s="3" t="s">
        <v>42</v>
      </c>
      <c r="I378" s="3" t="s">
        <v>46</v>
      </c>
      <c r="J378" s="3" t="s">
        <v>47</v>
      </c>
      <c r="K378" s="3" t="s">
        <v>3537</v>
      </c>
      <c r="L378" s="3" t="s">
        <v>111</v>
      </c>
      <c r="M378" s="9" t="str">
        <f>HYPERLINK("http://www.zoujajglass.com", "www.zoujajglass.com")</f>
        <v>www.zoujajglass.com</v>
      </c>
      <c r="N378" s="3" t="s">
        <v>3538</v>
      </c>
      <c r="O378" s="3" t="s">
        <v>42</v>
      </c>
      <c r="P378" s="3" t="s">
        <v>3539</v>
      </c>
      <c r="Q378" s="3" t="s">
        <v>128</v>
      </c>
      <c r="R378" s="17" t="s">
        <v>42</v>
      </c>
      <c r="S378" s="17">
        <v>1</v>
      </c>
      <c r="T378" s="17">
        <v>1</v>
      </c>
      <c r="U378" s="17" t="s">
        <v>42</v>
      </c>
      <c r="V378" s="17" t="s">
        <v>42</v>
      </c>
      <c r="W378" s="5" t="s">
        <v>3540</v>
      </c>
      <c r="X378" s="3" t="s">
        <v>3541</v>
      </c>
      <c r="Y378" s="9" t="str">
        <f>HYPERLINK("http://linkedin.com/in/hatem-al-fadli-2b05b5190/", "http://linkedin.com/in/hatem-al-fadli-2b05b5190/")</f>
        <v>http://linkedin.com/in/hatem-al-fadli-2b05b5190/</v>
      </c>
      <c r="Z378" s="3" t="s">
        <v>55</v>
      </c>
      <c r="AA378" s="3" t="s">
        <v>3542</v>
      </c>
      <c r="AB378" s="3" t="s">
        <v>42</v>
      </c>
      <c r="AC378" s="3" t="s">
        <v>58</v>
      </c>
      <c r="AD378" s="3" t="s">
        <v>42</v>
      </c>
      <c r="AE378" s="5" t="s">
        <v>3543</v>
      </c>
      <c r="AF378" s="3" t="s">
        <v>60</v>
      </c>
      <c r="AG378" s="5" t="s">
        <v>42</v>
      </c>
      <c r="AH378" s="3" t="s">
        <v>61</v>
      </c>
      <c r="AI378" s="3" t="s">
        <v>61</v>
      </c>
      <c r="AJ378" s="3" t="s">
        <v>42</v>
      </c>
      <c r="AK378" s="3" t="s">
        <v>42</v>
      </c>
      <c r="AL378" s="29">
        <v>45744</v>
      </c>
      <c r="AM378" s="5" t="s">
        <v>42</v>
      </c>
      <c r="AN378" s="9" t="str">
        <f>HYPERLINK("https://my.pitchbook.com?p=385613-65P", "View People Online")</f>
        <v>View People Online</v>
      </c>
    </row>
    <row r="379" spans="1:40" x14ac:dyDescent="0.2">
      <c r="A379" s="2" t="s">
        <v>3544</v>
      </c>
      <c r="B379" s="2" t="s">
        <v>3545</v>
      </c>
      <c r="C379" s="2" t="s">
        <v>42</v>
      </c>
      <c r="D379" s="2" t="s">
        <v>42</v>
      </c>
      <c r="E379" s="2" t="s">
        <v>3544</v>
      </c>
      <c r="F379" s="2" t="s">
        <v>3546</v>
      </c>
      <c r="G379" s="2" t="s">
        <v>3547</v>
      </c>
      <c r="H379" s="2" t="s">
        <v>3548</v>
      </c>
      <c r="I379" s="2" t="s">
        <v>196</v>
      </c>
      <c r="J379" s="2" t="s">
        <v>47</v>
      </c>
      <c r="K379" s="2" t="s">
        <v>3549</v>
      </c>
      <c r="L379" s="2" t="s">
        <v>111</v>
      </c>
      <c r="M379" s="8" t="str">
        <f>HYPERLINK("http://www.alkhaleej.com.sa", "www.alkhaleej.com.sa")</f>
        <v>www.alkhaleej.com.sa</v>
      </c>
      <c r="N379" s="2" t="s">
        <v>210</v>
      </c>
      <c r="O379" s="2" t="s">
        <v>42</v>
      </c>
      <c r="P379" s="2" t="s">
        <v>3550</v>
      </c>
      <c r="Q379" s="2" t="s">
        <v>42</v>
      </c>
      <c r="R379" s="16" t="s">
        <v>42</v>
      </c>
      <c r="S379" s="16">
        <v>1</v>
      </c>
      <c r="T379" s="16">
        <v>1</v>
      </c>
      <c r="U379" s="16" t="s">
        <v>42</v>
      </c>
      <c r="V379" s="16" t="s">
        <v>42</v>
      </c>
      <c r="W379" s="4" t="s">
        <v>3551</v>
      </c>
      <c r="X379" s="2" t="s">
        <v>3552</v>
      </c>
      <c r="Y379" s="2" t="s">
        <v>42</v>
      </c>
      <c r="Z379" s="2" t="s">
        <v>55</v>
      </c>
      <c r="AA379" s="2" t="s">
        <v>3553</v>
      </c>
      <c r="AB379" s="2" t="s">
        <v>3554</v>
      </c>
      <c r="AC379" s="2" t="s">
        <v>58</v>
      </c>
      <c r="AD379" s="2" t="s">
        <v>42</v>
      </c>
      <c r="AE379" s="4" t="s">
        <v>3555</v>
      </c>
      <c r="AF379" s="2" t="s">
        <v>60</v>
      </c>
      <c r="AG379" s="4" t="s">
        <v>42</v>
      </c>
      <c r="AH379" s="2" t="s">
        <v>61</v>
      </c>
      <c r="AI379" s="2" t="s">
        <v>61</v>
      </c>
      <c r="AJ379" s="2" t="s">
        <v>42</v>
      </c>
      <c r="AK379" s="2" t="s">
        <v>42</v>
      </c>
      <c r="AL379" s="28">
        <v>45975</v>
      </c>
      <c r="AM379" s="4" t="s">
        <v>42</v>
      </c>
      <c r="AN379" s="8" t="str">
        <f>HYPERLINK("https://my.pitchbook.com?p=420663-52P", "View People Online")</f>
        <v>View People Online</v>
      </c>
    </row>
    <row r="380" spans="1:40" x14ac:dyDescent="0.2">
      <c r="A380" s="3" t="s">
        <v>3556</v>
      </c>
      <c r="B380" s="3" t="s">
        <v>3557</v>
      </c>
      <c r="C380" s="3" t="s">
        <v>42</v>
      </c>
      <c r="D380" s="3" t="s">
        <v>42</v>
      </c>
      <c r="E380" s="3" t="s">
        <v>3556</v>
      </c>
      <c r="F380" s="3" t="s">
        <v>3558</v>
      </c>
      <c r="G380" s="3" t="s">
        <v>3547</v>
      </c>
      <c r="H380" s="3" t="s">
        <v>42</v>
      </c>
      <c r="I380" s="3" t="s">
        <v>46</v>
      </c>
      <c r="J380" s="3" t="s">
        <v>47</v>
      </c>
      <c r="K380" s="3" t="s">
        <v>312</v>
      </c>
      <c r="L380" s="3" t="s">
        <v>111</v>
      </c>
      <c r="M380" s="9" t="str">
        <f>HYPERLINK("http://www.bupa.com.sa", "www.bupa.com.sa")</f>
        <v>www.bupa.com.sa</v>
      </c>
      <c r="N380" s="3" t="s">
        <v>534</v>
      </c>
      <c r="O380" s="3" t="s">
        <v>42</v>
      </c>
      <c r="P380" s="3" t="s">
        <v>3559</v>
      </c>
      <c r="Q380" s="3" t="s">
        <v>3344</v>
      </c>
      <c r="R380" s="17" t="s">
        <v>42</v>
      </c>
      <c r="S380" s="17">
        <v>1</v>
      </c>
      <c r="T380" s="17">
        <v>1</v>
      </c>
      <c r="U380" s="17" t="s">
        <v>42</v>
      </c>
      <c r="V380" s="17" t="s">
        <v>42</v>
      </c>
      <c r="W380" s="5" t="s">
        <v>42</v>
      </c>
      <c r="X380" s="3" t="s">
        <v>3560</v>
      </c>
      <c r="Y380" s="9" t="str">
        <f>HYPERLINK("http://sa.linkedin.com/in/hatim-jamal-179a9581", "http://sa.linkedin.com/in/hatim-jamal-179a9581")</f>
        <v>http://sa.linkedin.com/in/hatim-jamal-179a9581</v>
      </c>
      <c r="Z380" s="3" t="s">
        <v>174</v>
      </c>
      <c r="AA380" s="3" t="s">
        <v>316</v>
      </c>
      <c r="AB380" s="3" t="s">
        <v>317</v>
      </c>
      <c r="AC380" s="3" t="s">
        <v>176</v>
      </c>
      <c r="AD380" s="3" t="s">
        <v>42</v>
      </c>
      <c r="AE380" s="5" t="s">
        <v>318</v>
      </c>
      <c r="AF380" s="3" t="s">
        <v>60</v>
      </c>
      <c r="AG380" s="5" t="s">
        <v>42</v>
      </c>
      <c r="AH380" s="3" t="s">
        <v>61</v>
      </c>
      <c r="AI380" s="3" t="s">
        <v>61</v>
      </c>
      <c r="AJ380" s="3" t="s">
        <v>42</v>
      </c>
      <c r="AK380" s="3" t="s">
        <v>42</v>
      </c>
      <c r="AL380" s="29">
        <v>45985</v>
      </c>
      <c r="AM380" s="5" t="s">
        <v>42</v>
      </c>
      <c r="AN380" s="9" t="str">
        <f>HYPERLINK("https://my.pitchbook.com?p=391899-88P", "View People Online")</f>
        <v>View People Online</v>
      </c>
    </row>
    <row r="381" spans="1:40" x14ac:dyDescent="0.2">
      <c r="A381" s="2" t="s">
        <v>3561</v>
      </c>
      <c r="B381" s="2" t="s">
        <v>3562</v>
      </c>
      <c r="C381" s="2" t="s">
        <v>42</v>
      </c>
      <c r="D381" s="2" t="s">
        <v>42</v>
      </c>
      <c r="E381" s="2" t="s">
        <v>3561</v>
      </c>
      <c r="F381" s="2" t="s">
        <v>3563</v>
      </c>
      <c r="G381" s="2" t="s">
        <v>3564</v>
      </c>
      <c r="H381" s="2" t="s">
        <v>42</v>
      </c>
      <c r="I381" s="2" t="s">
        <v>46</v>
      </c>
      <c r="J381" s="2" t="s">
        <v>47</v>
      </c>
      <c r="K381" s="2" t="s">
        <v>1645</v>
      </c>
      <c r="L381" s="2" t="s">
        <v>1316</v>
      </c>
      <c r="M381" s="8" t="str">
        <f>HYPERLINK("http://www.amana.sa", "www.amana.sa")</f>
        <v>www.amana.sa</v>
      </c>
      <c r="N381" s="2" t="s">
        <v>534</v>
      </c>
      <c r="O381" s="2" t="s">
        <v>42</v>
      </c>
      <c r="P381" s="2" t="s">
        <v>3565</v>
      </c>
      <c r="Q381" s="2" t="s">
        <v>42</v>
      </c>
      <c r="R381" s="16" t="s">
        <v>42</v>
      </c>
      <c r="S381" s="16">
        <v>1</v>
      </c>
      <c r="T381" s="16">
        <v>1</v>
      </c>
      <c r="U381" s="16" t="s">
        <v>42</v>
      </c>
      <c r="V381" s="16" t="s">
        <v>42</v>
      </c>
      <c r="W381" s="4" t="s">
        <v>1647</v>
      </c>
      <c r="X381" s="2" t="s">
        <v>3566</v>
      </c>
      <c r="Y381" s="8" t="str">
        <f>HYPERLINK("http://linkedin.com/in/hazem-aoudi-70592aa/?originalsubdomain=sa", "http://linkedin.com/in/hazem-aoudi-70592aa/?originalsubdomain=sa")</f>
        <v>http://linkedin.com/in/hazem-aoudi-70592aa/?originalsubdomain=sa</v>
      </c>
      <c r="Z381" s="2" t="s">
        <v>55</v>
      </c>
      <c r="AA381" s="2" t="s">
        <v>1648</v>
      </c>
      <c r="AB381" s="2" t="s">
        <v>42</v>
      </c>
      <c r="AC381" s="2" t="s">
        <v>58</v>
      </c>
      <c r="AD381" s="2" t="s">
        <v>58</v>
      </c>
      <c r="AE381" s="4" t="s">
        <v>1649</v>
      </c>
      <c r="AF381" s="2" t="s">
        <v>60</v>
      </c>
      <c r="AG381" s="4" t="s">
        <v>1650</v>
      </c>
      <c r="AH381" s="2" t="s">
        <v>61</v>
      </c>
      <c r="AI381" s="2" t="s">
        <v>61</v>
      </c>
      <c r="AJ381" s="2" t="s">
        <v>42</v>
      </c>
      <c r="AK381" s="2" t="s">
        <v>42</v>
      </c>
      <c r="AL381" s="28">
        <v>45895</v>
      </c>
      <c r="AM381" s="4" t="s">
        <v>42</v>
      </c>
      <c r="AN381" s="8" t="str">
        <f>HYPERLINK("https://my.pitchbook.com?p=461936-26P", "View People Online")</f>
        <v>View People Online</v>
      </c>
    </row>
    <row r="382" spans="1:40" x14ac:dyDescent="0.2">
      <c r="A382" s="3" t="s">
        <v>3567</v>
      </c>
      <c r="B382" s="3" t="s">
        <v>3568</v>
      </c>
      <c r="C382" s="3" t="s">
        <v>42</v>
      </c>
      <c r="D382" s="3" t="s">
        <v>42</v>
      </c>
      <c r="E382" s="3" t="s">
        <v>3567</v>
      </c>
      <c r="F382" s="3" t="s">
        <v>3569</v>
      </c>
      <c r="G382" s="3" t="s">
        <v>3570</v>
      </c>
      <c r="H382" s="3" t="s">
        <v>543</v>
      </c>
      <c r="I382" s="3" t="s">
        <v>196</v>
      </c>
      <c r="J382" s="3" t="s">
        <v>47</v>
      </c>
      <c r="K382" s="3" t="s">
        <v>2523</v>
      </c>
      <c r="L382" s="3" t="s">
        <v>111</v>
      </c>
      <c r="M382" s="9" t="str">
        <f>HYPERLINK("http://www.fakeeh.care", "www.fakeeh.care")</f>
        <v>www.fakeeh.care</v>
      </c>
      <c r="N382" s="3" t="s">
        <v>370</v>
      </c>
      <c r="O382" s="3" t="s">
        <v>42</v>
      </c>
      <c r="P382" s="3" t="s">
        <v>3571</v>
      </c>
      <c r="Q382" s="3" t="s">
        <v>42</v>
      </c>
      <c r="R382" s="17" t="s">
        <v>42</v>
      </c>
      <c r="S382" s="17">
        <v>1</v>
      </c>
      <c r="T382" s="17">
        <v>1</v>
      </c>
      <c r="U382" s="17" t="s">
        <v>42</v>
      </c>
      <c r="V382" s="17" t="s">
        <v>42</v>
      </c>
      <c r="W382" s="5" t="s">
        <v>2525</v>
      </c>
      <c r="X382" s="3" t="s">
        <v>3572</v>
      </c>
      <c r="Y382" s="9" t="str">
        <f>HYPERLINK("http://linkedin.com/in/heba-almattar-dnp-madvprcnur-rn-81b17aa0/", "http://linkedin.com/in/heba-almattar-dnp-madvprcnur-rn-81b17aa0/")</f>
        <v>http://linkedin.com/in/heba-almattar-dnp-madvprcnur-rn-81b17aa0/</v>
      </c>
      <c r="Z382" s="3" t="s">
        <v>174</v>
      </c>
      <c r="AA382" s="3" t="s">
        <v>2526</v>
      </c>
      <c r="AB382" s="3" t="s">
        <v>42</v>
      </c>
      <c r="AC382" s="3" t="s">
        <v>176</v>
      </c>
      <c r="AD382" s="3" t="s">
        <v>42</v>
      </c>
      <c r="AE382" s="5" t="s">
        <v>2103</v>
      </c>
      <c r="AF382" s="3" t="s">
        <v>60</v>
      </c>
      <c r="AG382" s="5" t="s">
        <v>42</v>
      </c>
      <c r="AH382" s="3" t="s">
        <v>61</v>
      </c>
      <c r="AI382" s="3" t="s">
        <v>61</v>
      </c>
      <c r="AJ382" s="3" t="s">
        <v>42</v>
      </c>
      <c r="AK382" s="3" t="s">
        <v>42</v>
      </c>
      <c r="AL382" s="29">
        <v>45734</v>
      </c>
      <c r="AM382" s="5" t="s">
        <v>42</v>
      </c>
      <c r="AN382" s="9" t="str">
        <f>HYPERLINK("https://my.pitchbook.com?p=396178-21P", "View People Online")</f>
        <v>View People Online</v>
      </c>
    </row>
    <row r="383" spans="1:40" x14ac:dyDescent="0.2">
      <c r="A383" s="2" t="s">
        <v>3573</v>
      </c>
      <c r="B383" s="2" t="s">
        <v>3574</v>
      </c>
      <c r="C383" s="2" t="s">
        <v>42</v>
      </c>
      <c r="D383" s="2" t="s">
        <v>42</v>
      </c>
      <c r="E383" s="2" t="s">
        <v>3573</v>
      </c>
      <c r="F383" s="2" t="s">
        <v>3575</v>
      </c>
      <c r="G383" s="2" t="s">
        <v>3576</v>
      </c>
      <c r="H383" s="2" t="s">
        <v>42</v>
      </c>
      <c r="I383" s="2" t="s">
        <v>46</v>
      </c>
      <c r="J383" s="2" t="s">
        <v>47</v>
      </c>
      <c r="K383" s="2" t="s">
        <v>3577</v>
      </c>
      <c r="L383" s="2" t="s">
        <v>111</v>
      </c>
      <c r="M383" s="8" t="str">
        <f>HYPERLINK("http://www.carpets.com", "www.carpets.com")</f>
        <v>www.carpets.com</v>
      </c>
      <c r="N383" s="2" t="s">
        <v>534</v>
      </c>
      <c r="O383" s="2" t="s">
        <v>42</v>
      </c>
      <c r="P383" s="2" t="s">
        <v>3578</v>
      </c>
      <c r="Q383" s="2" t="s">
        <v>42</v>
      </c>
      <c r="R383" s="16" t="s">
        <v>42</v>
      </c>
      <c r="S383" s="16">
        <v>1</v>
      </c>
      <c r="T383" s="16">
        <v>1</v>
      </c>
      <c r="U383" s="16" t="s">
        <v>42</v>
      </c>
      <c r="V383" s="16" t="s">
        <v>42</v>
      </c>
      <c r="W383" s="4" t="s">
        <v>3579</v>
      </c>
      <c r="X383" s="2" t="s">
        <v>42</v>
      </c>
      <c r="Y383" s="8" t="str">
        <f>HYPERLINK("http://linkedin.com/in/helal-eweda-8a28077a/", "http://linkedin.com/in/helal-eweda-8a28077a/")</f>
        <v>http://linkedin.com/in/helal-eweda-8a28077a/</v>
      </c>
      <c r="Z383" s="2" t="s">
        <v>55</v>
      </c>
      <c r="AA383" s="2" t="s">
        <v>3580</v>
      </c>
      <c r="AB383" s="2" t="s">
        <v>3581</v>
      </c>
      <c r="AC383" s="2" t="s">
        <v>58</v>
      </c>
      <c r="AD383" s="2" t="s">
        <v>42</v>
      </c>
      <c r="AE383" s="4" t="s">
        <v>658</v>
      </c>
      <c r="AF383" s="2" t="s">
        <v>60</v>
      </c>
      <c r="AG383" s="4" t="s">
        <v>3582</v>
      </c>
      <c r="AH383" s="2" t="s">
        <v>61</v>
      </c>
      <c r="AI383" s="2" t="s">
        <v>61</v>
      </c>
      <c r="AJ383" s="2" t="s">
        <v>42</v>
      </c>
      <c r="AK383" s="2" t="s">
        <v>42</v>
      </c>
      <c r="AL383" s="28">
        <v>45728</v>
      </c>
      <c r="AM383" s="4" t="s">
        <v>42</v>
      </c>
      <c r="AN383" s="8" t="str">
        <f>HYPERLINK("https://my.pitchbook.com?p=339358-06P", "View People Online")</f>
        <v>View People Online</v>
      </c>
    </row>
    <row r="384" spans="1:40" x14ac:dyDescent="0.2">
      <c r="A384" s="3" t="s">
        <v>3583</v>
      </c>
      <c r="B384" s="3" t="s">
        <v>3584</v>
      </c>
      <c r="C384" s="3" t="s">
        <v>42</v>
      </c>
      <c r="D384" s="3" t="s">
        <v>42</v>
      </c>
      <c r="E384" s="3" t="s">
        <v>3583</v>
      </c>
      <c r="F384" s="3" t="s">
        <v>3585</v>
      </c>
      <c r="G384" s="3" t="s">
        <v>3586</v>
      </c>
      <c r="H384" s="3" t="s">
        <v>42</v>
      </c>
      <c r="I384" s="3" t="s">
        <v>46</v>
      </c>
      <c r="J384" s="3" t="s">
        <v>47</v>
      </c>
      <c r="K384" s="3" t="s">
        <v>751</v>
      </c>
      <c r="L384" s="3" t="s">
        <v>111</v>
      </c>
      <c r="M384" s="9" t="str">
        <f>HYPERLINK("http://www.jahezgroup.com", "www.jahezgroup.com")</f>
        <v>www.jahezgroup.com</v>
      </c>
      <c r="N384" s="3" t="s">
        <v>534</v>
      </c>
      <c r="O384" s="3" t="s">
        <v>42</v>
      </c>
      <c r="P384" s="3" t="s">
        <v>3587</v>
      </c>
      <c r="Q384" s="3" t="s">
        <v>42</v>
      </c>
      <c r="R384" s="17" t="s">
        <v>42</v>
      </c>
      <c r="S384" s="17">
        <v>1</v>
      </c>
      <c r="T384" s="17">
        <v>1</v>
      </c>
      <c r="U384" s="17" t="s">
        <v>42</v>
      </c>
      <c r="V384" s="17" t="s">
        <v>42</v>
      </c>
      <c r="W384" s="5" t="s">
        <v>42</v>
      </c>
      <c r="X384" s="3" t="s">
        <v>3588</v>
      </c>
      <c r="Y384" s="9" t="str">
        <f>HYPERLINK("http://linkedin.com/in/henijallouli/", "http://linkedin.com/in/henijallouli/")</f>
        <v>http://linkedin.com/in/henijallouli/</v>
      </c>
      <c r="Z384" s="3" t="s">
        <v>55</v>
      </c>
      <c r="AA384" s="3" t="s">
        <v>755</v>
      </c>
      <c r="AB384" s="3" t="s">
        <v>756</v>
      </c>
      <c r="AC384" s="3" t="s">
        <v>58</v>
      </c>
      <c r="AD384" s="3" t="s">
        <v>42</v>
      </c>
      <c r="AE384" s="5" t="s">
        <v>757</v>
      </c>
      <c r="AF384" s="3" t="s">
        <v>60</v>
      </c>
      <c r="AG384" s="5" t="s">
        <v>42</v>
      </c>
      <c r="AH384" s="3" t="s">
        <v>61</v>
      </c>
      <c r="AI384" s="3" t="s">
        <v>61</v>
      </c>
      <c r="AJ384" s="3" t="s">
        <v>42</v>
      </c>
      <c r="AK384" s="3" t="s">
        <v>42</v>
      </c>
      <c r="AL384" s="29">
        <v>46055</v>
      </c>
      <c r="AM384" s="5" t="s">
        <v>42</v>
      </c>
      <c r="AN384" s="9" t="str">
        <f>HYPERLINK("https://my.pitchbook.com?p=284768-47P", "View People Online")</f>
        <v>View People Online</v>
      </c>
    </row>
    <row r="385" spans="1:40" x14ac:dyDescent="0.2">
      <c r="A385" s="2" t="s">
        <v>3589</v>
      </c>
      <c r="B385" s="2" t="s">
        <v>3590</v>
      </c>
      <c r="C385" s="2" t="s">
        <v>42</v>
      </c>
      <c r="D385" s="2" t="s">
        <v>42</v>
      </c>
      <c r="E385" s="2" t="s">
        <v>3589</v>
      </c>
      <c r="F385" s="2" t="s">
        <v>3591</v>
      </c>
      <c r="G385" s="2" t="s">
        <v>3592</v>
      </c>
      <c r="H385" s="2" t="s">
        <v>1199</v>
      </c>
      <c r="I385" s="2" t="s">
        <v>46</v>
      </c>
      <c r="J385" s="2" t="s">
        <v>47</v>
      </c>
      <c r="K385" s="2" t="s">
        <v>3593</v>
      </c>
      <c r="L385" s="2" t="s">
        <v>111</v>
      </c>
      <c r="M385" s="8" t="str">
        <f>HYPERLINK("http://www.dwf.com.sa", "www.dwf.com.sa")</f>
        <v>www.dwf.com.sa</v>
      </c>
      <c r="N385" s="2" t="s">
        <v>3594</v>
      </c>
      <c r="O385" s="2" t="s">
        <v>42</v>
      </c>
      <c r="P385" s="2" t="s">
        <v>3595</v>
      </c>
      <c r="Q385" s="2" t="s">
        <v>42</v>
      </c>
      <c r="R385" s="16" t="s">
        <v>42</v>
      </c>
      <c r="S385" s="16">
        <v>1</v>
      </c>
      <c r="T385" s="16">
        <v>1</v>
      </c>
      <c r="U385" s="16" t="s">
        <v>42</v>
      </c>
      <c r="V385" s="16" t="s">
        <v>42</v>
      </c>
      <c r="W385" s="4" t="s">
        <v>3596</v>
      </c>
      <c r="X385" s="2" t="s">
        <v>42</v>
      </c>
      <c r="Y385" s="8" t="str">
        <f>HYPERLINK("http://linkedin.com/in/mogrenh/", "http://linkedin.com/in/mogrenh/")</f>
        <v>http://linkedin.com/in/mogrenh/</v>
      </c>
      <c r="Z385" s="2" t="s">
        <v>55</v>
      </c>
      <c r="AA385" s="2" t="s">
        <v>3597</v>
      </c>
      <c r="AB385" s="2" t="s">
        <v>42</v>
      </c>
      <c r="AC385" s="2" t="s">
        <v>58</v>
      </c>
      <c r="AD385" s="2" t="s">
        <v>42</v>
      </c>
      <c r="AE385" s="4" t="s">
        <v>3598</v>
      </c>
      <c r="AF385" s="2" t="s">
        <v>60</v>
      </c>
      <c r="AG385" s="4" t="s">
        <v>3599</v>
      </c>
      <c r="AH385" s="2" t="s">
        <v>61</v>
      </c>
      <c r="AI385" s="2" t="s">
        <v>61</v>
      </c>
      <c r="AJ385" s="2" t="s">
        <v>42</v>
      </c>
      <c r="AK385" s="2" t="s">
        <v>42</v>
      </c>
      <c r="AL385" s="28">
        <v>45804</v>
      </c>
      <c r="AM385" s="4" t="s">
        <v>42</v>
      </c>
      <c r="AN385" s="8" t="str">
        <f>HYPERLINK("https://my.pitchbook.com?p=329050-72P", "View People Online")</f>
        <v>View People Online</v>
      </c>
    </row>
    <row r="386" spans="1:40" x14ac:dyDescent="0.2">
      <c r="A386" s="3" t="s">
        <v>3600</v>
      </c>
      <c r="B386" s="3" t="s">
        <v>3601</v>
      </c>
      <c r="C386" s="3" t="s">
        <v>42</v>
      </c>
      <c r="D386" s="3" t="s">
        <v>42</v>
      </c>
      <c r="E386" s="3" t="s">
        <v>3600</v>
      </c>
      <c r="F386" s="3" t="s">
        <v>3602</v>
      </c>
      <c r="G386" s="3" t="s">
        <v>827</v>
      </c>
      <c r="H386" s="3" t="s">
        <v>356</v>
      </c>
      <c r="I386" s="3" t="s">
        <v>46</v>
      </c>
      <c r="J386" s="3" t="s">
        <v>47</v>
      </c>
      <c r="K386" s="3" t="s">
        <v>1359</v>
      </c>
      <c r="L386" s="3" t="s">
        <v>481</v>
      </c>
      <c r="M386" s="9" t="str">
        <f>HYPERLINK("http://www.bankalbilad.com", "www.bankalbilad.com")</f>
        <v>www.bankalbilad.com</v>
      </c>
      <c r="N386" s="3" t="s">
        <v>534</v>
      </c>
      <c r="O386" s="3" t="s">
        <v>42</v>
      </c>
      <c r="P386" s="3" t="s">
        <v>3603</v>
      </c>
      <c r="Q386" s="3" t="s">
        <v>42</v>
      </c>
      <c r="R386" s="17" t="s">
        <v>42</v>
      </c>
      <c r="S386" s="17">
        <v>1</v>
      </c>
      <c r="T386" s="17">
        <v>1</v>
      </c>
      <c r="U386" s="17" t="s">
        <v>42</v>
      </c>
      <c r="V386" s="17" t="s">
        <v>42</v>
      </c>
      <c r="W386" s="5" t="s">
        <v>1361</v>
      </c>
      <c r="X386" s="3" t="s">
        <v>3604</v>
      </c>
      <c r="Y386" s="3" t="s">
        <v>42</v>
      </c>
      <c r="Z386" s="3" t="s">
        <v>55</v>
      </c>
      <c r="AA386" s="3" t="s">
        <v>1363</v>
      </c>
      <c r="AB386" s="3" t="s">
        <v>1364</v>
      </c>
      <c r="AC386" s="3" t="s">
        <v>58</v>
      </c>
      <c r="AD386" s="3" t="s">
        <v>42</v>
      </c>
      <c r="AE386" s="5" t="s">
        <v>1365</v>
      </c>
      <c r="AF386" s="3" t="s">
        <v>60</v>
      </c>
      <c r="AG386" s="5" t="s">
        <v>1366</v>
      </c>
      <c r="AH386" s="3" t="s">
        <v>61</v>
      </c>
      <c r="AI386" s="3" t="s">
        <v>61</v>
      </c>
      <c r="AJ386" s="3" t="s">
        <v>42</v>
      </c>
      <c r="AK386" s="3" t="s">
        <v>42</v>
      </c>
      <c r="AL386" s="29">
        <v>45627</v>
      </c>
      <c r="AM386" s="5" t="s">
        <v>42</v>
      </c>
      <c r="AN386" s="9" t="str">
        <f>HYPERLINK("https://my.pitchbook.com?p=329804-74P", "View People Online")</f>
        <v>View People Online</v>
      </c>
    </row>
    <row r="387" spans="1:40" x14ac:dyDescent="0.2">
      <c r="A387" s="2" t="s">
        <v>3605</v>
      </c>
      <c r="B387" s="2" t="s">
        <v>3606</v>
      </c>
      <c r="C387" s="2" t="s">
        <v>42</v>
      </c>
      <c r="D387" s="2" t="s">
        <v>42</v>
      </c>
      <c r="E387" s="2" t="s">
        <v>3605</v>
      </c>
      <c r="F387" s="2" t="s">
        <v>3607</v>
      </c>
      <c r="G387" s="2" t="s">
        <v>827</v>
      </c>
      <c r="H387" s="2" t="s">
        <v>3608</v>
      </c>
      <c r="I387" s="2" t="s">
        <v>46</v>
      </c>
      <c r="J387" s="2" t="s">
        <v>47</v>
      </c>
      <c r="K387" s="2" t="s">
        <v>3609</v>
      </c>
      <c r="L387" s="2" t="s">
        <v>111</v>
      </c>
      <c r="M387" s="8" t="str">
        <f>HYPERLINK("http://www.qomel.com", "www.qomel.com")</f>
        <v>www.qomel.com</v>
      </c>
      <c r="N387" s="2" t="s">
        <v>447</v>
      </c>
      <c r="O387" s="2" t="s">
        <v>42</v>
      </c>
      <c r="P387" s="2" t="s">
        <v>3610</v>
      </c>
      <c r="Q387" s="2" t="s">
        <v>42</v>
      </c>
      <c r="R387" s="16" t="s">
        <v>42</v>
      </c>
      <c r="S387" s="16">
        <v>1</v>
      </c>
      <c r="T387" s="16">
        <v>1</v>
      </c>
      <c r="U387" s="16" t="s">
        <v>42</v>
      </c>
      <c r="V387" s="16" t="s">
        <v>42</v>
      </c>
      <c r="W387" s="4" t="s">
        <v>3611</v>
      </c>
      <c r="X387" s="2" t="s">
        <v>3612</v>
      </c>
      <c r="Y387" s="8" t="str">
        <f>HYPERLINK("http://linkedin.com/in/hisham-alagla-686115352/", "http://linkedin.com/in/hisham-alagla-686115352/")</f>
        <v>http://linkedin.com/in/hisham-alagla-686115352/</v>
      </c>
      <c r="Z387" s="2" t="s">
        <v>55</v>
      </c>
      <c r="AA387" s="2" t="s">
        <v>3613</v>
      </c>
      <c r="AB387" s="2" t="s">
        <v>3614</v>
      </c>
      <c r="AC387" s="2" t="s">
        <v>58</v>
      </c>
      <c r="AD387" s="2" t="s">
        <v>42</v>
      </c>
      <c r="AE387" s="4" t="s">
        <v>3615</v>
      </c>
      <c r="AF387" s="2" t="s">
        <v>60</v>
      </c>
      <c r="AG387" s="4" t="s">
        <v>42</v>
      </c>
      <c r="AH387" s="2" t="s">
        <v>61</v>
      </c>
      <c r="AI387" s="2" t="s">
        <v>61</v>
      </c>
      <c r="AJ387" s="2" t="s">
        <v>42</v>
      </c>
      <c r="AK387" s="2" t="s">
        <v>42</v>
      </c>
      <c r="AL387" s="28">
        <v>46027</v>
      </c>
      <c r="AM387" s="4" t="s">
        <v>42</v>
      </c>
      <c r="AN387" s="8" t="str">
        <f>HYPERLINK("https://my.pitchbook.com?p=396951-85P", "View People Online")</f>
        <v>View People Online</v>
      </c>
    </row>
    <row r="388" spans="1:40" x14ac:dyDescent="0.2">
      <c r="A388" s="3" t="s">
        <v>3616</v>
      </c>
      <c r="B388" s="3" t="s">
        <v>3617</v>
      </c>
      <c r="C388" s="3" t="s">
        <v>42</v>
      </c>
      <c r="D388" s="3" t="s">
        <v>42</v>
      </c>
      <c r="E388" s="3" t="s">
        <v>3616</v>
      </c>
      <c r="F388" s="3" t="s">
        <v>3618</v>
      </c>
      <c r="G388" s="3" t="s">
        <v>827</v>
      </c>
      <c r="H388" s="3" t="s">
        <v>2504</v>
      </c>
      <c r="I388" s="3" t="s">
        <v>46</v>
      </c>
      <c r="J388" s="3" t="s">
        <v>47</v>
      </c>
      <c r="K388" s="3" t="s">
        <v>169</v>
      </c>
      <c r="L388" s="3" t="s">
        <v>81</v>
      </c>
      <c r="M388" s="9" t="str">
        <f>HYPERLINK("http://www.alkhabeer.com", "www.alkhabeer.com")</f>
        <v>www.alkhabeer.com</v>
      </c>
      <c r="N388" s="3" t="s">
        <v>3619</v>
      </c>
      <c r="O388" s="3" t="s">
        <v>42</v>
      </c>
      <c r="P388" s="3" t="s">
        <v>3620</v>
      </c>
      <c r="Q388" s="3" t="s">
        <v>42</v>
      </c>
      <c r="R388" s="17" t="s">
        <v>42</v>
      </c>
      <c r="S388" s="17">
        <v>1</v>
      </c>
      <c r="T388" s="17">
        <v>1</v>
      </c>
      <c r="U388" s="17" t="s">
        <v>42</v>
      </c>
      <c r="V388" s="17" t="s">
        <v>42</v>
      </c>
      <c r="W388" s="5" t="s">
        <v>172</v>
      </c>
      <c r="X388" s="3" t="s">
        <v>3621</v>
      </c>
      <c r="Y388" s="9" t="str">
        <f>HYPERLINK("http://linkedin.com/in/hisham-baroom-12654a98/", "http://linkedin.com/in/hisham-baroom-12654a98/")</f>
        <v>http://linkedin.com/in/hisham-baroom-12654a98/</v>
      </c>
      <c r="Z388" s="3" t="s">
        <v>174</v>
      </c>
      <c r="AA388" s="3" t="s">
        <v>175</v>
      </c>
      <c r="AB388" s="3" t="s">
        <v>42</v>
      </c>
      <c r="AC388" s="3" t="s">
        <v>176</v>
      </c>
      <c r="AD388" s="3" t="s">
        <v>42</v>
      </c>
      <c r="AE388" s="5" t="s">
        <v>177</v>
      </c>
      <c r="AF388" s="3" t="s">
        <v>60</v>
      </c>
      <c r="AG388" s="5" t="s">
        <v>178</v>
      </c>
      <c r="AH388" s="3" t="s">
        <v>61</v>
      </c>
      <c r="AI388" s="3" t="s">
        <v>61</v>
      </c>
      <c r="AJ388" s="3" t="s">
        <v>42</v>
      </c>
      <c r="AK388" s="3" t="s">
        <v>42</v>
      </c>
      <c r="AL388" s="29">
        <v>45992</v>
      </c>
      <c r="AM388" s="5">
        <v>1973</v>
      </c>
      <c r="AN388" s="9" t="str">
        <f>HYPERLINK("https://my.pitchbook.com?p=89595-73P", "View People Online")</f>
        <v>View People Online</v>
      </c>
    </row>
    <row r="389" spans="1:40" x14ac:dyDescent="0.2">
      <c r="A389" s="2" t="s">
        <v>3622</v>
      </c>
      <c r="B389" s="2" t="s">
        <v>3623</v>
      </c>
      <c r="C389" s="2" t="s">
        <v>42</v>
      </c>
      <c r="D389" s="2" t="s">
        <v>42</v>
      </c>
      <c r="E389" s="2" t="s">
        <v>3622</v>
      </c>
      <c r="F389" s="2" t="s">
        <v>2783</v>
      </c>
      <c r="G389" s="2" t="s">
        <v>3624</v>
      </c>
      <c r="H389" s="2" t="s">
        <v>42</v>
      </c>
      <c r="I389" s="2" t="s">
        <v>46</v>
      </c>
      <c r="J389" s="2" t="s">
        <v>47</v>
      </c>
      <c r="K389" s="2" t="s">
        <v>322</v>
      </c>
      <c r="L389" s="2" t="s">
        <v>323</v>
      </c>
      <c r="M389" s="8" t="str">
        <f>HYPERLINK("http://www.web.derayah.com", "www.web.derayah.com")</f>
        <v>www.web.derayah.com</v>
      </c>
      <c r="N389" s="2" t="s">
        <v>370</v>
      </c>
      <c r="O389" s="2" t="s">
        <v>42</v>
      </c>
      <c r="P389" s="2" t="s">
        <v>3625</v>
      </c>
      <c r="Q389" s="2" t="s">
        <v>3626</v>
      </c>
      <c r="R389" s="16" t="s">
        <v>42</v>
      </c>
      <c r="S389" s="16">
        <v>1</v>
      </c>
      <c r="T389" s="16">
        <v>1</v>
      </c>
      <c r="U389" s="16" t="s">
        <v>42</v>
      </c>
      <c r="V389" s="16" t="s">
        <v>42</v>
      </c>
      <c r="W389" s="4" t="s">
        <v>325</v>
      </c>
      <c r="X389" s="2" t="s">
        <v>3627</v>
      </c>
      <c r="Y389" s="8" t="str">
        <f>HYPERLINK("http://sa.linkedin.com/in/hossam-badr-0616223", "http://sa.linkedin.com/in/hossam-badr-0616223")</f>
        <v>http://sa.linkedin.com/in/hossam-badr-0616223</v>
      </c>
      <c r="Z389" s="2" t="s">
        <v>55</v>
      </c>
      <c r="AA389" s="2" t="s">
        <v>327</v>
      </c>
      <c r="AB389" s="2" t="s">
        <v>328</v>
      </c>
      <c r="AC389" s="2" t="s">
        <v>58</v>
      </c>
      <c r="AD389" s="2" t="s">
        <v>42</v>
      </c>
      <c r="AE389" s="4" t="s">
        <v>329</v>
      </c>
      <c r="AF389" s="2" t="s">
        <v>60</v>
      </c>
      <c r="AG389" s="4" t="s">
        <v>330</v>
      </c>
      <c r="AH389" s="2" t="s">
        <v>61</v>
      </c>
      <c r="AI389" s="2" t="s">
        <v>61</v>
      </c>
      <c r="AJ389" s="2" t="s">
        <v>42</v>
      </c>
      <c r="AK389" s="2" t="s">
        <v>42</v>
      </c>
      <c r="AL389" s="28">
        <v>45680</v>
      </c>
      <c r="AM389" s="4" t="s">
        <v>42</v>
      </c>
      <c r="AN389" s="8" t="str">
        <f>HYPERLINK("https://my.pitchbook.com?p=169116-49P", "View People Online")</f>
        <v>View People Online</v>
      </c>
    </row>
    <row r="390" spans="1:40" x14ac:dyDescent="0.2">
      <c r="A390" s="3" t="s">
        <v>3628</v>
      </c>
      <c r="B390" s="3" t="s">
        <v>3629</v>
      </c>
      <c r="C390" s="3" t="s">
        <v>42</v>
      </c>
      <c r="D390" s="3" t="s">
        <v>42</v>
      </c>
      <c r="E390" s="3" t="s">
        <v>3628</v>
      </c>
      <c r="F390" s="3" t="s">
        <v>3630</v>
      </c>
      <c r="G390" s="3" t="s">
        <v>3631</v>
      </c>
      <c r="H390" s="3" t="s">
        <v>42</v>
      </c>
      <c r="I390" s="3" t="s">
        <v>46</v>
      </c>
      <c r="J390" s="3" t="s">
        <v>47</v>
      </c>
      <c r="K390" s="3" t="s">
        <v>3342</v>
      </c>
      <c r="L390" s="3" t="s">
        <v>111</v>
      </c>
      <c r="M390" s="9" t="str">
        <f>HYPERLINK("http://www.arabdrill.com", "www.arabdrill.com")</f>
        <v>www.arabdrill.com</v>
      </c>
      <c r="N390" s="3" t="s">
        <v>534</v>
      </c>
      <c r="O390" s="3" t="s">
        <v>42</v>
      </c>
      <c r="P390" s="3" t="s">
        <v>3632</v>
      </c>
      <c r="Q390" s="3" t="s">
        <v>3633</v>
      </c>
      <c r="R390" s="17" t="s">
        <v>42</v>
      </c>
      <c r="S390" s="17">
        <v>1</v>
      </c>
      <c r="T390" s="17">
        <v>1</v>
      </c>
      <c r="U390" s="17" t="s">
        <v>42</v>
      </c>
      <c r="V390" s="17" t="s">
        <v>42</v>
      </c>
      <c r="W390" s="5" t="s">
        <v>3345</v>
      </c>
      <c r="X390" s="3" t="s">
        <v>3634</v>
      </c>
      <c r="Y390" s="9" t="str">
        <f>HYPERLINK("http://linkedin.com/in/hubert-lafeuille-195b87a/", "http://linkedin.com/in/hubert-lafeuille-195b87a/")</f>
        <v>http://linkedin.com/in/hubert-lafeuille-195b87a/</v>
      </c>
      <c r="Z390" s="3" t="s">
        <v>782</v>
      </c>
      <c r="AA390" s="3" t="s">
        <v>3347</v>
      </c>
      <c r="AB390" s="3" t="s">
        <v>42</v>
      </c>
      <c r="AC390" s="3" t="s">
        <v>785</v>
      </c>
      <c r="AD390" s="3" t="s">
        <v>42</v>
      </c>
      <c r="AE390" s="5" t="s">
        <v>599</v>
      </c>
      <c r="AF390" s="3" t="s">
        <v>60</v>
      </c>
      <c r="AG390" s="5" t="s">
        <v>3348</v>
      </c>
      <c r="AH390" s="3" t="s">
        <v>61</v>
      </c>
      <c r="AI390" s="3" t="s">
        <v>61</v>
      </c>
      <c r="AJ390" s="3" t="s">
        <v>42</v>
      </c>
      <c r="AK390" s="3" t="s">
        <v>42</v>
      </c>
      <c r="AL390" s="29">
        <v>45687</v>
      </c>
      <c r="AM390" s="5" t="s">
        <v>42</v>
      </c>
      <c r="AN390" s="9" t="str">
        <f>HYPERLINK("https://my.pitchbook.com?p=323529-67P", "View People Online")</f>
        <v>View People Online</v>
      </c>
    </row>
    <row r="391" spans="1:40" x14ac:dyDescent="0.2">
      <c r="A391" s="2" t="s">
        <v>3635</v>
      </c>
      <c r="B391" s="2" t="s">
        <v>3636</v>
      </c>
      <c r="C391" s="2" t="s">
        <v>42</v>
      </c>
      <c r="D391" s="2" t="s">
        <v>42</v>
      </c>
      <c r="E391" s="2" t="s">
        <v>3635</v>
      </c>
      <c r="F391" s="2" t="s">
        <v>548</v>
      </c>
      <c r="G391" s="2" t="s">
        <v>3637</v>
      </c>
      <c r="H391" s="2" t="s">
        <v>284</v>
      </c>
      <c r="I391" s="2" t="s">
        <v>46</v>
      </c>
      <c r="J391" s="2" t="s">
        <v>47</v>
      </c>
      <c r="K391" s="2" t="s">
        <v>404</v>
      </c>
      <c r="L391" s="2" t="s">
        <v>111</v>
      </c>
      <c r="M391" s="8" t="str">
        <f>HYPERLINK("http://www.siig.com.sa", "www.siig.com.sa")</f>
        <v>www.siig.com.sa</v>
      </c>
      <c r="N391" s="2" t="s">
        <v>534</v>
      </c>
      <c r="O391" s="2" t="s">
        <v>42</v>
      </c>
      <c r="P391" s="2" t="s">
        <v>3638</v>
      </c>
      <c r="Q391" s="2" t="s">
        <v>42</v>
      </c>
      <c r="R391" s="16" t="s">
        <v>42</v>
      </c>
      <c r="S391" s="16">
        <v>1</v>
      </c>
      <c r="T391" s="16">
        <v>1</v>
      </c>
      <c r="U391" s="16" t="s">
        <v>42</v>
      </c>
      <c r="V391" s="16" t="s">
        <v>42</v>
      </c>
      <c r="W391" s="4" t="s">
        <v>406</v>
      </c>
      <c r="X391" s="2" t="s">
        <v>3639</v>
      </c>
      <c r="Y391" s="2" t="s">
        <v>42</v>
      </c>
      <c r="Z391" s="2" t="s">
        <v>55</v>
      </c>
      <c r="AA391" s="2" t="s">
        <v>407</v>
      </c>
      <c r="AB391" s="2" t="s">
        <v>42</v>
      </c>
      <c r="AC391" s="2" t="s">
        <v>58</v>
      </c>
      <c r="AD391" s="2" t="s">
        <v>42</v>
      </c>
      <c r="AE391" s="4" t="s">
        <v>408</v>
      </c>
      <c r="AF391" s="2" t="s">
        <v>60</v>
      </c>
      <c r="AG391" s="4" t="s">
        <v>409</v>
      </c>
      <c r="AH391" s="2" t="s">
        <v>61</v>
      </c>
      <c r="AI391" s="2" t="s">
        <v>61</v>
      </c>
      <c r="AJ391" s="2" t="s">
        <v>42</v>
      </c>
      <c r="AK391" s="2" t="s">
        <v>42</v>
      </c>
      <c r="AL391" s="28">
        <v>45882</v>
      </c>
      <c r="AM391" s="4" t="s">
        <v>42</v>
      </c>
      <c r="AN391" s="8" t="str">
        <f>HYPERLINK("https://my.pitchbook.com?p=460048-96P", "View People Online")</f>
        <v>View People Online</v>
      </c>
    </row>
    <row r="392" spans="1:40" x14ac:dyDescent="0.2">
      <c r="A392" s="3" t="s">
        <v>3640</v>
      </c>
      <c r="B392" s="3" t="s">
        <v>3641</v>
      </c>
      <c r="C392" s="3" t="s">
        <v>42</v>
      </c>
      <c r="D392" s="3" t="s">
        <v>42</v>
      </c>
      <c r="E392" s="3" t="s">
        <v>3640</v>
      </c>
      <c r="F392" s="3" t="s">
        <v>3642</v>
      </c>
      <c r="G392" s="3" t="s">
        <v>3643</v>
      </c>
      <c r="H392" s="3" t="s">
        <v>42</v>
      </c>
      <c r="I392" s="3" t="s">
        <v>46</v>
      </c>
      <c r="J392" s="3" t="s">
        <v>47</v>
      </c>
      <c r="K392" s="3" t="s">
        <v>1079</v>
      </c>
      <c r="L392" s="3" t="s">
        <v>111</v>
      </c>
      <c r="M392" s="9" t="str">
        <f>HYPERLINK("http://www.mbc.net", "www.mbc.net")</f>
        <v>www.mbc.net</v>
      </c>
      <c r="N392" s="3" t="s">
        <v>534</v>
      </c>
      <c r="O392" s="3" t="s">
        <v>42</v>
      </c>
      <c r="P392" s="3" t="s">
        <v>3644</v>
      </c>
      <c r="Q392" s="3" t="s">
        <v>3645</v>
      </c>
      <c r="R392" s="17" t="s">
        <v>42</v>
      </c>
      <c r="S392" s="17">
        <v>1</v>
      </c>
      <c r="T392" s="17">
        <v>1</v>
      </c>
      <c r="U392" s="17" t="s">
        <v>42</v>
      </c>
      <c r="V392" s="17" t="s">
        <v>42</v>
      </c>
      <c r="W392" s="5" t="s">
        <v>1082</v>
      </c>
      <c r="X392" s="3" t="s">
        <v>3646</v>
      </c>
      <c r="Y392" s="9" t="str">
        <f>HYPERLINK("http://linkedin.com/in/hussam-alnouri-13928628/", "http://linkedin.com/in/hussam-alnouri-13928628/")</f>
        <v>http://linkedin.com/in/hussam-alnouri-13928628/</v>
      </c>
      <c r="Z392" s="3" t="s">
        <v>55</v>
      </c>
      <c r="AA392" s="3" t="s">
        <v>1084</v>
      </c>
      <c r="AB392" s="3" t="s">
        <v>1085</v>
      </c>
      <c r="AC392" s="3" t="s">
        <v>58</v>
      </c>
      <c r="AD392" s="3" t="s">
        <v>42</v>
      </c>
      <c r="AE392" s="5" t="s">
        <v>1086</v>
      </c>
      <c r="AF392" s="3" t="s">
        <v>60</v>
      </c>
      <c r="AG392" s="5" t="s">
        <v>1087</v>
      </c>
      <c r="AH392" s="3" t="s">
        <v>61</v>
      </c>
      <c r="AI392" s="3" t="s">
        <v>61</v>
      </c>
      <c r="AJ392" s="3" t="s">
        <v>42</v>
      </c>
      <c r="AK392" s="3" t="s">
        <v>42</v>
      </c>
      <c r="AL392" s="29">
        <v>45861</v>
      </c>
      <c r="AM392" s="5" t="s">
        <v>42</v>
      </c>
      <c r="AN392" s="9" t="str">
        <f>HYPERLINK("https://my.pitchbook.com?p=363251-98P", "View People Online")</f>
        <v>View People Online</v>
      </c>
    </row>
    <row r="393" spans="1:40" x14ac:dyDescent="0.2">
      <c r="A393" s="2" t="s">
        <v>3647</v>
      </c>
      <c r="B393" s="2" t="s">
        <v>3648</v>
      </c>
      <c r="C393" s="2" t="s">
        <v>42</v>
      </c>
      <c r="D393" s="2" t="s">
        <v>42</v>
      </c>
      <c r="E393" s="2" t="s">
        <v>3647</v>
      </c>
      <c r="F393" s="2" t="s">
        <v>3649</v>
      </c>
      <c r="G393" s="2" t="s">
        <v>3643</v>
      </c>
      <c r="H393" s="2" t="s">
        <v>298</v>
      </c>
      <c r="I393" s="2" t="s">
        <v>46</v>
      </c>
      <c r="J393" s="2" t="s">
        <v>47</v>
      </c>
      <c r="K393" s="2" t="s">
        <v>3650</v>
      </c>
      <c r="L393" s="2" t="s">
        <v>1316</v>
      </c>
      <c r="M393" s="8" t="str">
        <f>HYPERLINK("http://www.aletihad.sa", "www.aletihad.sa")</f>
        <v>www.aletihad.sa</v>
      </c>
      <c r="N393" s="2" t="s">
        <v>210</v>
      </c>
      <c r="O393" s="2" t="s">
        <v>42</v>
      </c>
      <c r="P393" s="2" t="s">
        <v>3651</v>
      </c>
      <c r="Q393" s="2" t="s">
        <v>42</v>
      </c>
      <c r="R393" s="16" t="s">
        <v>42</v>
      </c>
      <c r="S393" s="16">
        <v>1</v>
      </c>
      <c r="T393" s="16">
        <v>1</v>
      </c>
      <c r="U393" s="16" t="s">
        <v>42</v>
      </c>
      <c r="V393" s="16" t="s">
        <v>42</v>
      </c>
      <c r="W393" s="4" t="s">
        <v>42</v>
      </c>
      <c r="X393" s="2" t="s">
        <v>3652</v>
      </c>
      <c r="Y393" s="2" t="s">
        <v>42</v>
      </c>
      <c r="Z393" s="2" t="s">
        <v>116</v>
      </c>
      <c r="AA393" s="2" t="s">
        <v>3653</v>
      </c>
      <c r="AB393" s="2" t="s">
        <v>3654</v>
      </c>
      <c r="AC393" s="2" t="s">
        <v>118</v>
      </c>
      <c r="AD393" s="2" t="s">
        <v>42</v>
      </c>
      <c r="AE393" s="4" t="s">
        <v>3655</v>
      </c>
      <c r="AF393" s="2" t="s">
        <v>60</v>
      </c>
      <c r="AG393" s="4" t="s">
        <v>42</v>
      </c>
      <c r="AH393" s="2" t="s">
        <v>61</v>
      </c>
      <c r="AI393" s="2" t="s">
        <v>61</v>
      </c>
      <c r="AJ393" s="2" t="s">
        <v>42</v>
      </c>
      <c r="AK393" s="2" t="s">
        <v>42</v>
      </c>
      <c r="AL393" s="28">
        <v>45895</v>
      </c>
      <c r="AM393" s="4" t="s">
        <v>42</v>
      </c>
      <c r="AN393" s="8" t="str">
        <f>HYPERLINK("https://my.pitchbook.com?p=461821-15P", "View People Online")</f>
        <v>View People Online</v>
      </c>
    </row>
    <row r="394" spans="1:40" x14ac:dyDescent="0.2">
      <c r="A394" s="3" t="s">
        <v>3656</v>
      </c>
      <c r="B394" s="3" t="s">
        <v>3657</v>
      </c>
      <c r="C394" s="3" t="s">
        <v>42</v>
      </c>
      <c r="D394" s="3" t="s">
        <v>42</v>
      </c>
      <c r="E394" s="3" t="s">
        <v>3656</v>
      </c>
      <c r="F394" s="3" t="s">
        <v>3658</v>
      </c>
      <c r="G394" s="3" t="s">
        <v>3659</v>
      </c>
      <c r="H394" s="3" t="s">
        <v>3660</v>
      </c>
      <c r="I394" s="3" t="s">
        <v>46</v>
      </c>
      <c r="J394" s="3" t="s">
        <v>47</v>
      </c>
      <c r="K394" s="3" t="s">
        <v>197</v>
      </c>
      <c r="L394" s="3" t="s">
        <v>111</v>
      </c>
      <c r="M394" s="9" t="str">
        <f>HYPERLINK("http://www.adesgroup.com", "www.adesgroup.com")</f>
        <v>www.adesgroup.com</v>
      </c>
      <c r="N394" s="3" t="s">
        <v>534</v>
      </c>
      <c r="O394" s="3" t="s">
        <v>42</v>
      </c>
      <c r="P394" s="3" t="s">
        <v>3661</v>
      </c>
      <c r="Q394" s="3" t="s">
        <v>3662</v>
      </c>
      <c r="R394" s="17" t="s">
        <v>42</v>
      </c>
      <c r="S394" s="17">
        <v>1</v>
      </c>
      <c r="T394" s="17">
        <v>1</v>
      </c>
      <c r="U394" s="17" t="s">
        <v>42</v>
      </c>
      <c r="V394" s="17" t="s">
        <v>42</v>
      </c>
      <c r="W394" s="5" t="s">
        <v>201</v>
      </c>
      <c r="X394" s="3" t="s">
        <v>3663</v>
      </c>
      <c r="Y394" s="9" t="str">
        <f>HYPERLINK("http://linkedin.com/in/hussein-badawy-12842920/", "http://linkedin.com/in/hussein-badawy-12842920/")</f>
        <v>http://linkedin.com/in/hussein-badawy-12842920/</v>
      </c>
      <c r="Z394" s="3" t="s">
        <v>142</v>
      </c>
      <c r="AA394" s="3" t="s">
        <v>202</v>
      </c>
      <c r="AB394" s="3" t="s">
        <v>203</v>
      </c>
      <c r="AC394" s="3" t="s">
        <v>145</v>
      </c>
      <c r="AD394" s="3" t="s">
        <v>42</v>
      </c>
      <c r="AE394" s="5" t="s">
        <v>204</v>
      </c>
      <c r="AF394" s="3" t="s">
        <v>147</v>
      </c>
      <c r="AG394" s="5" t="s">
        <v>42</v>
      </c>
      <c r="AH394" s="3" t="s">
        <v>61</v>
      </c>
      <c r="AI394" s="3" t="s">
        <v>61</v>
      </c>
      <c r="AJ394" s="3" t="s">
        <v>42</v>
      </c>
      <c r="AK394" s="3" t="s">
        <v>42</v>
      </c>
      <c r="AL394" s="29">
        <v>45874</v>
      </c>
      <c r="AM394" s="5" t="s">
        <v>42</v>
      </c>
      <c r="AN394" s="9" t="str">
        <f>HYPERLINK("https://my.pitchbook.com?p=369224-02P", "View People Online")</f>
        <v>View People Online</v>
      </c>
    </row>
    <row r="395" spans="1:40" x14ac:dyDescent="0.2">
      <c r="A395" s="2" t="s">
        <v>3664</v>
      </c>
      <c r="B395" s="2" t="s">
        <v>3665</v>
      </c>
      <c r="C395" s="2" t="s">
        <v>42</v>
      </c>
      <c r="D395" s="2" t="s">
        <v>42</v>
      </c>
      <c r="E395" s="2" t="s">
        <v>3664</v>
      </c>
      <c r="F395" s="2" t="s">
        <v>3666</v>
      </c>
      <c r="G395" s="2" t="s">
        <v>3659</v>
      </c>
      <c r="H395" s="2" t="s">
        <v>42</v>
      </c>
      <c r="I395" s="2" t="s">
        <v>46</v>
      </c>
      <c r="J395" s="2" t="s">
        <v>47</v>
      </c>
      <c r="K395" s="2" t="s">
        <v>3667</v>
      </c>
      <c r="L395" s="2" t="s">
        <v>481</v>
      </c>
      <c r="M395" s="8" t="str">
        <f>HYPERLINK("http://www.alahli.com", "www.alahli.com")</f>
        <v>www.alahli.com</v>
      </c>
      <c r="N395" s="2" t="s">
        <v>1281</v>
      </c>
      <c r="O395" s="2" t="s">
        <v>42</v>
      </c>
      <c r="P395" s="2" t="s">
        <v>3668</v>
      </c>
      <c r="Q395" s="2" t="s">
        <v>42</v>
      </c>
      <c r="R395" s="16" t="s">
        <v>42</v>
      </c>
      <c r="S395" s="16">
        <v>1</v>
      </c>
      <c r="T395" s="16">
        <v>1</v>
      </c>
      <c r="U395" s="16" t="s">
        <v>42</v>
      </c>
      <c r="V395" s="16" t="s">
        <v>42</v>
      </c>
      <c r="W395" s="4" t="s">
        <v>3669</v>
      </c>
      <c r="X395" s="2" t="s">
        <v>3670</v>
      </c>
      <c r="Y395" s="8" t="str">
        <f>HYPERLINK("http://linkedin.com/in/husseineid/", "http://linkedin.com/in/husseineid/")</f>
        <v>http://linkedin.com/in/husseineid/</v>
      </c>
      <c r="Z395" s="2" t="s">
        <v>55</v>
      </c>
      <c r="AA395" s="2" t="s">
        <v>3671</v>
      </c>
      <c r="AB395" s="2" t="s">
        <v>3672</v>
      </c>
      <c r="AC395" s="2" t="s">
        <v>58</v>
      </c>
      <c r="AD395" s="2" t="s">
        <v>3673</v>
      </c>
      <c r="AE395" s="4" t="s">
        <v>3674</v>
      </c>
      <c r="AF395" s="2" t="s">
        <v>60</v>
      </c>
      <c r="AG395" s="4" t="s">
        <v>42</v>
      </c>
      <c r="AH395" s="2" t="s">
        <v>61</v>
      </c>
      <c r="AI395" s="2" t="s">
        <v>61</v>
      </c>
      <c r="AJ395" s="2" t="s">
        <v>42</v>
      </c>
      <c r="AK395" s="2" t="s">
        <v>42</v>
      </c>
      <c r="AL395" s="28">
        <v>45968</v>
      </c>
      <c r="AM395" s="4" t="s">
        <v>42</v>
      </c>
      <c r="AN395" s="8" t="str">
        <f>HYPERLINK("https://my.pitchbook.com?p=256524-13P", "View People Online")</f>
        <v>View People Online</v>
      </c>
    </row>
    <row r="396" spans="1:40" x14ac:dyDescent="0.2">
      <c r="A396" s="3" t="s">
        <v>3675</v>
      </c>
      <c r="B396" s="3" t="s">
        <v>3676</v>
      </c>
      <c r="C396" s="3" t="s">
        <v>42</v>
      </c>
      <c r="D396" s="3" t="s">
        <v>42</v>
      </c>
      <c r="E396" s="3" t="s">
        <v>3675</v>
      </c>
      <c r="F396" s="3" t="s">
        <v>3677</v>
      </c>
      <c r="G396" s="3" t="s">
        <v>3678</v>
      </c>
      <c r="H396" s="3" t="s">
        <v>42</v>
      </c>
      <c r="I396" s="3" t="s">
        <v>46</v>
      </c>
      <c r="J396" s="3" t="s">
        <v>47</v>
      </c>
      <c r="K396" s="3" t="s">
        <v>3679</v>
      </c>
      <c r="L396" s="3" t="s">
        <v>111</v>
      </c>
      <c r="M396" s="9" t="str">
        <f>HYPERLINK("http://www.extra.com", "www.extra.com")</f>
        <v>www.extra.com</v>
      </c>
      <c r="N396" s="3" t="s">
        <v>370</v>
      </c>
      <c r="O396" s="3" t="s">
        <v>42</v>
      </c>
      <c r="P396" s="3" t="s">
        <v>3680</v>
      </c>
      <c r="Q396" s="3" t="s">
        <v>42</v>
      </c>
      <c r="R396" s="17" t="s">
        <v>42</v>
      </c>
      <c r="S396" s="17">
        <v>1</v>
      </c>
      <c r="T396" s="17">
        <v>1</v>
      </c>
      <c r="U396" s="17" t="s">
        <v>42</v>
      </c>
      <c r="V396" s="17" t="s">
        <v>42</v>
      </c>
      <c r="W396" s="5" t="s">
        <v>3681</v>
      </c>
      <c r="X396" s="3" t="s">
        <v>42</v>
      </c>
      <c r="Y396" s="9" t="str">
        <f>HYPERLINK("http://linkedin.com/in/ian-kent-89a38645", "http://linkedin.com/in/ian-kent-89a38645")</f>
        <v>http://linkedin.com/in/ian-kent-89a38645</v>
      </c>
      <c r="Z396" s="3" t="s">
        <v>595</v>
      </c>
      <c r="AA396" s="3" t="s">
        <v>3682</v>
      </c>
      <c r="AB396" s="3" t="s">
        <v>3683</v>
      </c>
      <c r="AC396" s="3" t="s">
        <v>598</v>
      </c>
      <c r="AD396" s="3" t="s">
        <v>42</v>
      </c>
      <c r="AE396" s="5" t="s">
        <v>599</v>
      </c>
      <c r="AF396" s="3" t="s">
        <v>60</v>
      </c>
      <c r="AG396" s="5" t="s">
        <v>3684</v>
      </c>
      <c r="AH396" s="3" t="s">
        <v>61</v>
      </c>
      <c r="AI396" s="3" t="s">
        <v>61</v>
      </c>
      <c r="AJ396" s="3" t="s">
        <v>42</v>
      </c>
      <c r="AK396" s="3" t="s">
        <v>42</v>
      </c>
      <c r="AL396" s="29">
        <v>45838</v>
      </c>
      <c r="AM396" s="5">
        <v>1972</v>
      </c>
      <c r="AN396" s="9" t="str">
        <f>HYPERLINK("https://my.pitchbook.com?p=385802-02P", "View People Online")</f>
        <v>View People Online</v>
      </c>
    </row>
    <row r="397" spans="1:40" x14ac:dyDescent="0.2">
      <c r="A397" s="2" t="s">
        <v>3685</v>
      </c>
      <c r="B397" s="2" t="s">
        <v>3686</v>
      </c>
      <c r="C397" s="2" t="s">
        <v>42</v>
      </c>
      <c r="D397" s="2" t="s">
        <v>42</v>
      </c>
      <c r="E397" s="2" t="s">
        <v>3685</v>
      </c>
      <c r="F397" s="2" t="s">
        <v>3687</v>
      </c>
      <c r="G397" s="2" t="s">
        <v>161</v>
      </c>
      <c r="H397" s="2" t="s">
        <v>271</v>
      </c>
      <c r="I397" s="2" t="s">
        <v>46</v>
      </c>
      <c r="J397" s="2" t="s">
        <v>47</v>
      </c>
      <c r="K397" s="2" t="s">
        <v>3688</v>
      </c>
      <c r="L397" s="2" t="s">
        <v>111</v>
      </c>
      <c r="M397" s="8" t="str">
        <f>HYPERLINK("http://www.obeikanglass.sa", "www.obeikanglass.sa")</f>
        <v>www.obeikanglass.sa</v>
      </c>
      <c r="N397" s="2" t="s">
        <v>210</v>
      </c>
      <c r="O397" s="2" t="s">
        <v>42</v>
      </c>
      <c r="P397" s="2" t="s">
        <v>3689</v>
      </c>
      <c r="Q397" s="2" t="s">
        <v>42</v>
      </c>
      <c r="R397" s="16" t="s">
        <v>42</v>
      </c>
      <c r="S397" s="16">
        <v>1</v>
      </c>
      <c r="T397" s="16">
        <v>1</v>
      </c>
      <c r="U397" s="16" t="s">
        <v>42</v>
      </c>
      <c r="V397" s="16" t="s">
        <v>42</v>
      </c>
      <c r="W397" s="4" t="s">
        <v>3690</v>
      </c>
      <c r="X397" s="2" t="s">
        <v>42</v>
      </c>
      <c r="Y397" s="8" t="str">
        <f>HYPERLINK("http://linkedin.com/in/ibrahim-al-hammad-91530699/", "http://linkedin.com/in/ibrahim-al-hammad-91530699/")</f>
        <v>http://linkedin.com/in/ibrahim-al-hammad-91530699/</v>
      </c>
      <c r="Z397" s="2" t="s">
        <v>3691</v>
      </c>
      <c r="AA397" s="2" t="s">
        <v>3692</v>
      </c>
      <c r="AB397" s="2" t="s">
        <v>3693</v>
      </c>
      <c r="AC397" s="2" t="s">
        <v>3694</v>
      </c>
      <c r="AD397" s="2" t="s">
        <v>42</v>
      </c>
      <c r="AE397" s="4" t="s">
        <v>727</v>
      </c>
      <c r="AF397" s="2" t="s">
        <v>60</v>
      </c>
      <c r="AG397" s="4" t="s">
        <v>42</v>
      </c>
      <c r="AH397" s="2" t="s">
        <v>61</v>
      </c>
      <c r="AI397" s="2" t="s">
        <v>61</v>
      </c>
      <c r="AJ397" s="2" t="s">
        <v>42</v>
      </c>
      <c r="AK397" s="2" t="s">
        <v>42</v>
      </c>
      <c r="AL397" s="28">
        <v>45908</v>
      </c>
      <c r="AM397" s="4" t="s">
        <v>42</v>
      </c>
      <c r="AN397" s="8" t="str">
        <f>HYPERLINK("https://my.pitchbook.com?p=350081-47P", "View People Online")</f>
        <v>View People Online</v>
      </c>
    </row>
    <row r="398" spans="1:40" x14ac:dyDescent="0.2">
      <c r="A398" s="3" t="s">
        <v>3695</v>
      </c>
      <c r="B398" s="3" t="s">
        <v>3696</v>
      </c>
      <c r="C398" s="3" t="s">
        <v>42</v>
      </c>
      <c r="D398" s="3" t="s">
        <v>42</v>
      </c>
      <c r="E398" s="3" t="s">
        <v>3695</v>
      </c>
      <c r="F398" s="3" t="s">
        <v>3697</v>
      </c>
      <c r="G398" s="3" t="s">
        <v>161</v>
      </c>
      <c r="H398" s="3" t="s">
        <v>1314</v>
      </c>
      <c r="I398" s="3" t="s">
        <v>46</v>
      </c>
      <c r="J398" s="3" t="s">
        <v>47</v>
      </c>
      <c r="K398" s="3" t="s">
        <v>3457</v>
      </c>
      <c r="L398" s="3" t="s">
        <v>111</v>
      </c>
      <c r="M398" s="9" t="str">
        <f>HYPERLINK("http://www.aljazirabank.com.sa", "www.aljazirabank.com.sa")</f>
        <v>www.aljazirabank.com.sa</v>
      </c>
      <c r="N398" s="3" t="s">
        <v>3698</v>
      </c>
      <c r="O398" s="3" t="s">
        <v>42</v>
      </c>
      <c r="P398" s="3" t="s">
        <v>3699</v>
      </c>
      <c r="Q398" s="3" t="s">
        <v>42</v>
      </c>
      <c r="R398" s="17" t="s">
        <v>42</v>
      </c>
      <c r="S398" s="17">
        <v>1</v>
      </c>
      <c r="T398" s="17">
        <v>1</v>
      </c>
      <c r="U398" s="17" t="s">
        <v>42</v>
      </c>
      <c r="V398" s="17" t="s">
        <v>42</v>
      </c>
      <c r="W398" s="5" t="s">
        <v>3461</v>
      </c>
      <c r="X398" s="3" t="s">
        <v>3700</v>
      </c>
      <c r="Y398" s="9" t="str">
        <f>HYPERLINK("http://linkedin.com/in/alomar/", "http://linkedin.com/in/alomar/")</f>
        <v>http://linkedin.com/in/alomar/</v>
      </c>
      <c r="Z398" s="3" t="s">
        <v>174</v>
      </c>
      <c r="AA398" s="3" t="s">
        <v>3463</v>
      </c>
      <c r="AB398" s="3" t="s">
        <v>3464</v>
      </c>
      <c r="AC398" s="3" t="s">
        <v>176</v>
      </c>
      <c r="AD398" s="3" t="s">
        <v>42</v>
      </c>
      <c r="AE398" s="5" t="s">
        <v>2626</v>
      </c>
      <c r="AF398" s="3" t="s">
        <v>60</v>
      </c>
      <c r="AG398" s="5" t="s">
        <v>3465</v>
      </c>
      <c r="AH398" s="3" t="s">
        <v>61</v>
      </c>
      <c r="AI398" s="3" t="s">
        <v>61</v>
      </c>
      <c r="AJ398" s="3" t="s">
        <v>42</v>
      </c>
      <c r="AK398" s="3" t="s">
        <v>42</v>
      </c>
      <c r="AL398" s="29">
        <v>45734</v>
      </c>
      <c r="AM398" s="5" t="s">
        <v>42</v>
      </c>
      <c r="AN398" s="9" t="str">
        <f>HYPERLINK("https://my.pitchbook.com?p=339946-30P", "View People Online")</f>
        <v>View People Online</v>
      </c>
    </row>
    <row r="399" spans="1:40" x14ac:dyDescent="0.2">
      <c r="A399" s="2" t="s">
        <v>3701</v>
      </c>
      <c r="B399" s="2" t="s">
        <v>3702</v>
      </c>
      <c r="C399" s="2" t="s">
        <v>42</v>
      </c>
      <c r="D399" s="2" t="s">
        <v>42</v>
      </c>
      <c r="E399" s="2" t="s">
        <v>3701</v>
      </c>
      <c r="F399" s="2" t="s">
        <v>3703</v>
      </c>
      <c r="G399" s="2" t="s">
        <v>161</v>
      </c>
      <c r="H399" s="2" t="s">
        <v>42</v>
      </c>
      <c r="I399" s="2" t="s">
        <v>46</v>
      </c>
      <c r="J399" s="2" t="s">
        <v>47</v>
      </c>
      <c r="K399" s="2" t="s">
        <v>3704</v>
      </c>
      <c r="L399" s="2" t="s">
        <v>111</v>
      </c>
      <c r="M399" s="2" t="s">
        <v>42</v>
      </c>
      <c r="N399" s="2" t="s">
        <v>3705</v>
      </c>
      <c r="O399" s="2" t="s">
        <v>42</v>
      </c>
      <c r="P399" s="2" t="s">
        <v>3706</v>
      </c>
      <c r="Q399" s="2" t="s">
        <v>42</v>
      </c>
      <c r="R399" s="16" t="s">
        <v>42</v>
      </c>
      <c r="S399" s="16">
        <v>1</v>
      </c>
      <c r="T399" s="16">
        <v>1</v>
      </c>
      <c r="U399" s="16" t="s">
        <v>42</v>
      </c>
      <c r="V399" s="16" t="s">
        <v>42</v>
      </c>
      <c r="W399" s="4" t="s">
        <v>3707</v>
      </c>
      <c r="X399" s="2" t="s">
        <v>42</v>
      </c>
      <c r="Y399" s="2" t="s">
        <v>42</v>
      </c>
      <c r="Z399" s="2" t="s">
        <v>2882</v>
      </c>
      <c r="AA399" s="2" t="s">
        <v>3708</v>
      </c>
      <c r="AB399" s="2" t="s">
        <v>3709</v>
      </c>
      <c r="AC399" s="2" t="s">
        <v>2884</v>
      </c>
      <c r="AD399" s="2" t="s">
        <v>42</v>
      </c>
      <c r="AE399" s="4" t="s">
        <v>599</v>
      </c>
      <c r="AF399" s="2" t="s">
        <v>60</v>
      </c>
      <c r="AG399" s="4" t="s">
        <v>3710</v>
      </c>
      <c r="AH399" s="2" t="s">
        <v>61</v>
      </c>
      <c r="AI399" s="2" t="s">
        <v>61</v>
      </c>
      <c r="AJ399" s="2" t="s">
        <v>42</v>
      </c>
      <c r="AK399" s="2" t="s">
        <v>42</v>
      </c>
      <c r="AL399" s="28">
        <v>45966</v>
      </c>
      <c r="AM399" s="4" t="s">
        <v>42</v>
      </c>
      <c r="AN399" s="8" t="str">
        <f>HYPERLINK("https://my.pitchbook.com?p=329269-42P", "View People Online")</f>
        <v>View People Online</v>
      </c>
    </row>
    <row r="400" spans="1:40" x14ac:dyDescent="0.2">
      <c r="A400" s="3" t="s">
        <v>3711</v>
      </c>
      <c r="B400" s="3" t="s">
        <v>3712</v>
      </c>
      <c r="C400" s="3" t="s">
        <v>42</v>
      </c>
      <c r="D400" s="3" t="s">
        <v>42</v>
      </c>
      <c r="E400" s="3" t="s">
        <v>3711</v>
      </c>
      <c r="F400" s="3" t="s">
        <v>3713</v>
      </c>
      <c r="G400" s="3" t="s">
        <v>161</v>
      </c>
      <c r="H400" s="3" t="s">
        <v>223</v>
      </c>
      <c r="I400" s="3" t="s">
        <v>46</v>
      </c>
      <c r="J400" s="3" t="s">
        <v>47</v>
      </c>
      <c r="K400" s="3" t="s">
        <v>2540</v>
      </c>
      <c r="L400" s="3" t="s">
        <v>81</v>
      </c>
      <c r="M400" s="9" t="str">
        <f>HYPERLINK("http://www.mulkia.com.sa", "www.mulkia.com.sa")</f>
        <v>www.mulkia.com.sa</v>
      </c>
      <c r="N400" s="3" t="s">
        <v>246</v>
      </c>
      <c r="O400" s="3" t="s">
        <v>42</v>
      </c>
      <c r="P400" s="3" t="s">
        <v>3714</v>
      </c>
      <c r="Q400" s="3" t="s">
        <v>42</v>
      </c>
      <c r="R400" s="17">
        <v>1</v>
      </c>
      <c r="S400" s="17">
        <v>1</v>
      </c>
      <c r="T400" s="17">
        <v>1</v>
      </c>
      <c r="U400" s="17" t="s">
        <v>42</v>
      </c>
      <c r="V400" s="17" t="s">
        <v>42</v>
      </c>
      <c r="W400" s="5" t="s">
        <v>2542</v>
      </c>
      <c r="X400" s="3" t="s">
        <v>42</v>
      </c>
      <c r="Y400" s="9" t="str">
        <f>HYPERLINK("http://linkedin.com/in/ibrahimalhudaithi/", "http://linkedin.com/in/ibrahimalhudaithi/")</f>
        <v>http://linkedin.com/in/ibrahimalhudaithi/</v>
      </c>
      <c r="Z400" s="3" t="s">
        <v>55</v>
      </c>
      <c r="AA400" s="3" t="s">
        <v>2543</v>
      </c>
      <c r="AB400" s="3" t="s">
        <v>2544</v>
      </c>
      <c r="AC400" s="3" t="s">
        <v>58</v>
      </c>
      <c r="AD400" s="3" t="s">
        <v>42</v>
      </c>
      <c r="AE400" s="5" t="s">
        <v>2545</v>
      </c>
      <c r="AF400" s="3" t="s">
        <v>60</v>
      </c>
      <c r="AG400" s="5" t="s">
        <v>2546</v>
      </c>
      <c r="AH400" s="3" t="s">
        <v>61</v>
      </c>
      <c r="AI400" s="3" t="s">
        <v>61</v>
      </c>
      <c r="AJ400" s="3" t="s">
        <v>42</v>
      </c>
      <c r="AK400" s="3" t="s">
        <v>42</v>
      </c>
      <c r="AL400" s="29">
        <v>45978</v>
      </c>
      <c r="AM400" s="5">
        <v>1997</v>
      </c>
      <c r="AN400" s="9" t="str">
        <f>HYPERLINK("https://my.pitchbook.com?p=382084-03P", "View People Online")</f>
        <v>View People Online</v>
      </c>
    </row>
    <row r="401" spans="1:40" x14ac:dyDescent="0.2">
      <c r="A401" s="2" t="s">
        <v>3715</v>
      </c>
      <c r="B401" s="2" t="s">
        <v>3716</v>
      </c>
      <c r="C401" s="2" t="s">
        <v>42</v>
      </c>
      <c r="D401" s="2" t="s">
        <v>42</v>
      </c>
      <c r="E401" s="2" t="s">
        <v>3715</v>
      </c>
      <c r="F401" s="2" t="s">
        <v>3717</v>
      </c>
      <c r="G401" s="2" t="s">
        <v>161</v>
      </c>
      <c r="H401" s="2" t="s">
        <v>479</v>
      </c>
      <c r="I401" s="2" t="s">
        <v>46</v>
      </c>
      <c r="J401" s="2" t="s">
        <v>47</v>
      </c>
      <c r="K401" s="2" t="s">
        <v>3718</v>
      </c>
      <c r="L401" s="2" t="s">
        <v>111</v>
      </c>
      <c r="M401" s="8" t="str">
        <f>HYPERLINK("http://www.modernmills.com.sa", "www.modernmills.com.sa")</f>
        <v>www.modernmills.com.sa</v>
      </c>
      <c r="N401" s="2" t="s">
        <v>69</v>
      </c>
      <c r="O401" s="2" t="s">
        <v>42</v>
      </c>
      <c r="P401" s="2" t="s">
        <v>42</v>
      </c>
      <c r="Q401" s="2" t="s">
        <v>42</v>
      </c>
      <c r="R401" s="16">
        <v>1</v>
      </c>
      <c r="S401" s="16">
        <v>1</v>
      </c>
      <c r="T401" s="16" t="s">
        <v>42</v>
      </c>
      <c r="U401" s="16" t="s">
        <v>42</v>
      </c>
      <c r="V401" s="16" t="s">
        <v>42</v>
      </c>
      <c r="W401" s="4" t="s">
        <v>3719</v>
      </c>
      <c r="X401" s="2" t="s">
        <v>42</v>
      </c>
      <c r="Y401" s="2" t="s">
        <v>42</v>
      </c>
      <c r="Z401" s="2" t="s">
        <v>3720</v>
      </c>
      <c r="AA401" s="2" t="s">
        <v>3721</v>
      </c>
      <c r="AB401" s="2" t="s">
        <v>3722</v>
      </c>
      <c r="AC401" s="2" t="s">
        <v>3723</v>
      </c>
      <c r="AD401" s="2" t="s">
        <v>42</v>
      </c>
      <c r="AE401" s="4" t="s">
        <v>3724</v>
      </c>
      <c r="AF401" s="2" t="s">
        <v>60</v>
      </c>
      <c r="AG401" s="4" t="s">
        <v>42</v>
      </c>
      <c r="AH401" s="2" t="s">
        <v>61</v>
      </c>
      <c r="AI401" s="2" t="s">
        <v>61</v>
      </c>
      <c r="AJ401" s="2" t="s">
        <v>42</v>
      </c>
      <c r="AK401" s="2" t="s">
        <v>42</v>
      </c>
      <c r="AL401" s="28">
        <v>45973</v>
      </c>
      <c r="AM401" s="4" t="s">
        <v>42</v>
      </c>
      <c r="AN401" s="8" t="str">
        <f>HYPERLINK("https://my.pitchbook.com?p=370201-33P", "View People Online")</f>
        <v>View People Online</v>
      </c>
    </row>
    <row r="402" spans="1:40" x14ac:dyDescent="0.2">
      <c r="A402" s="3" t="s">
        <v>3725</v>
      </c>
      <c r="B402" s="3" t="s">
        <v>3726</v>
      </c>
      <c r="C402" s="3" t="s">
        <v>42</v>
      </c>
      <c r="D402" s="3" t="s">
        <v>42</v>
      </c>
      <c r="E402" s="3" t="s">
        <v>3725</v>
      </c>
      <c r="F402" s="3" t="s">
        <v>3727</v>
      </c>
      <c r="G402" s="3" t="s">
        <v>3728</v>
      </c>
      <c r="H402" s="3" t="s">
        <v>66</v>
      </c>
      <c r="I402" s="3" t="s">
        <v>46</v>
      </c>
      <c r="J402" s="3" t="s">
        <v>47</v>
      </c>
      <c r="K402" s="3" t="s">
        <v>3729</v>
      </c>
      <c r="L402" s="3" t="s">
        <v>111</v>
      </c>
      <c r="M402" s="9" t="str">
        <f>HYPERLINK("http://www.nofoth.com", "www.nofoth.com")</f>
        <v>www.nofoth.com</v>
      </c>
      <c r="N402" s="3" t="s">
        <v>447</v>
      </c>
      <c r="O402" s="3" t="s">
        <v>42</v>
      </c>
      <c r="P402" s="3" t="s">
        <v>3730</v>
      </c>
      <c r="Q402" s="3" t="s">
        <v>42</v>
      </c>
      <c r="R402" s="17" t="s">
        <v>42</v>
      </c>
      <c r="S402" s="17">
        <v>1</v>
      </c>
      <c r="T402" s="17">
        <v>1</v>
      </c>
      <c r="U402" s="17" t="s">
        <v>42</v>
      </c>
      <c r="V402" s="17" t="s">
        <v>42</v>
      </c>
      <c r="W402" s="5" t="s">
        <v>3731</v>
      </c>
      <c r="X402" s="3" t="s">
        <v>42</v>
      </c>
      <c r="Y402" s="3" t="s">
        <v>42</v>
      </c>
      <c r="Z402" s="3" t="s">
        <v>55</v>
      </c>
      <c r="AA402" s="3" t="s">
        <v>3732</v>
      </c>
      <c r="AB402" s="3" t="s">
        <v>3733</v>
      </c>
      <c r="AC402" s="3" t="s">
        <v>58</v>
      </c>
      <c r="AD402" s="3" t="s">
        <v>42</v>
      </c>
      <c r="AE402" s="5" t="s">
        <v>3734</v>
      </c>
      <c r="AF402" s="3" t="s">
        <v>60</v>
      </c>
      <c r="AG402" s="5" t="s">
        <v>42</v>
      </c>
      <c r="AH402" s="3" t="s">
        <v>61</v>
      </c>
      <c r="AI402" s="3" t="s">
        <v>61</v>
      </c>
      <c r="AJ402" s="3" t="s">
        <v>42</v>
      </c>
      <c r="AK402" s="3" t="s">
        <v>42</v>
      </c>
      <c r="AL402" s="29">
        <v>45678</v>
      </c>
      <c r="AM402" s="5" t="s">
        <v>42</v>
      </c>
      <c r="AN402" s="9" t="str">
        <f>HYPERLINK("https://my.pitchbook.com?p=331861-24P", "View People Online")</f>
        <v>View People Online</v>
      </c>
    </row>
    <row r="403" spans="1:40" x14ac:dyDescent="0.2">
      <c r="A403" s="2" t="s">
        <v>3735</v>
      </c>
      <c r="B403" s="2" t="s">
        <v>3736</v>
      </c>
      <c r="C403" s="2" t="s">
        <v>42</v>
      </c>
      <c r="D403" s="2" t="s">
        <v>42</v>
      </c>
      <c r="E403" s="2" t="s">
        <v>3735</v>
      </c>
      <c r="F403" s="2" t="s">
        <v>3737</v>
      </c>
      <c r="G403" s="2" t="s">
        <v>161</v>
      </c>
      <c r="H403" s="2" t="s">
        <v>3738</v>
      </c>
      <c r="I403" s="2" t="s">
        <v>46</v>
      </c>
      <c r="J403" s="2" t="s">
        <v>47</v>
      </c>
      <c r="K403" s="2" t="s">
        <v>1765</v>
      </c>
      <c r="L403" s="2" t="s">
        <v>111</v>
      </c>
      <c r="M403" s="8" t="str">
        <f>HYPERLINK("http://www.armahsports.com", "www.armahsports.com")</f>
        <v>www.armahsports.com</v>
      </c>
      <c r="N403" s="2" t="s">
        <v>3739</v>
      </c>
      <c r="O403" s="2" t="s">
        <v>42</v>
      </c>
      <c r="P403" s="2" t="s">
        <v>3740</v>
      </c>
      <c r="Q403" s="2" t="s">
        <v>42</v>
      </c>
      <c r="R403" s="16" t="s">
        <v>42</v>
      </c>
      <c r="S403" s="16">
        <v>1</v>
      </c>
      <c r="T403" s="16">
        <v>1</v>
      </c>
      <c r="U403" s="16" t="s">
        <v>42</v>
      </c>
      <c r="V403" s="16" t="s">
        <v>42</v>
      </c>
      <c r="W403" s="4" t="s">
        <v>3741</v>
      </c>
      <c r="X403" s="2" t="s">
        <v>3742</v>
      </c>
      <c r="Y403" s="2" t="s">
        <v>42</v>
      </c>
      <c r="Z403" s="2" t="s">
        <v>55</v>
      </c>
      <c r="AA403" s="2" t="s">
        <v>1770</v>
      </c>
      <c r="AB403" s="2" t="s">
        <v>1771</v>
      </c>
      <c r="AC403" s="2" t="s">
        <v>58</v>
      </c>
      <c r="AD403" s="2" t="s">
        <v>42</v>
      </c>
      <c r="AE403" s="4" t="s">
        <v>1772</v>
      </c>
      <c r="AF403" s="2" t="s">
        <v>60</v>
      </c>
      <c r="AG403" s="4" t="s">
        <v>3743</v>
      </c>
      <c r="AH403" s="2" t="s">
        <v>61</v>
      </c>
      <c r="AI403" s="2" t="s">
        <v>61</v>
      </c>
      <c r="AJ403" s="2" t="s">
        <v>42</v>
      </c>
      <c r="AK403" s="2" t="s">
        <v>42</v>
      </c>
      <c r="AL403" s="28">
        <v>45923</v>
      </c>
      <c r="AM403" s="4" t="s">
        <v>42</v>
      </c>
      <c r="AN403" s="8" t="str">
        <f>HYPERLINK("https://my.pitchbook.com?p=371499-49P", "View People Online")</f>
        <v>View People Online</v>
      </c>
    </row>
    <row r="404" spans="1:40" x14ac:dyDescent="0.2">
      <c r="A404" s="3" t="s">
        <v>3744</v>
      </c>
      <c r="B404" s="3" t="s">
        <v>3745</v>
      </c>
      <c r="C404" s="3" t="s">
        <v>42</v>
      </c>
      <c r="D404" s="3" t="s">
        <v>42</v>
      </c>
      <c r="E404" s="3" t="s">
        <v>3744</v>
      </c>
      <c r="F404" s="3" t="s">
        <v>3746</v>
      </c>
      <c r="G404" s="3" t="s">
        <v>161</v>
      </c>
      <c r="H404" s="3" t="s">
        <v>3747</v>
      </c>
      <c r="I404" s="3" t="s">
        <v>46</v>
      </c>
      <c r="J404" s="3" t="s">
        <v>47</v>
      </c>
      <c r="K404" s="3" t="s">
        <v>3748</v>
      </c>
      <c r="L404" s="3" t="s">
        <v>111</v>
      </c>
      <c r="M404" s="9" t="str">
        <f>HYPERLINK("http://www.albahacompany.com/en", "www.albahacompany.com/en")</f>
        <v>www.albahacompany.com/en</v>
      </c>
      <c r="N404" s="3" t="s">
        <v>3749</v>
      </c>
      <c r="O404" s="3" t="s">
        <v>42</v>
      </c>
      <c r="P404" s="3" t="s">
        <v>3750</v>
      </c>
      <c r="Q404" s="3" t="s">
        <v>42</v>
      </c>
      <c r="R404" s="17" t="s">
        <v>42</v>
      </c>
      <c r="S404" s="17">
        <v>1</v>
      </c>
      <c r="T404" s="17">
        <v>1</v>
      </c>
      <c r="U404" s="17" t="s">
        <v>42</v>
      </c>
      <c r="V404" s="17" t="s">
        <v>42</v>
      </c>
      <c r="W404" s="5" t="s">
        <v>3751</v>
      </c>
      <c r="X404" s="3" t="s">
        <v>42</v>
      </c>
      <c r="Y404" s="3" t="s">
        <v>42</v>
      </c>
      <c r="Z404" s="3" t="s">
        <v>55</v>
      </c>
      <c r="AA404" s="3" t="s">
        <v>3752</v>
      </c>
      <c r="AB404" s="3" t="s">
        <v>42</v>
      </c>
      <c r="AC404" s="3" t="s">
        <v>58</v>
      </c>
      <c r="AD404" s="3" t="s">
        <v>42</v>
      </c>
      <c r="AE404" s="5" t="s">
        <v>3753</v>
      </c>
      <c r="AF404" s="3" t="s">
        <v>60</v>
      </c>
      <c r="AG404" s="5" t="s">
        <v>3754</v>
      </c>
      <c r="AH404" s="3" t="s">
        <v>61</v>
      </c>
      <c r="AI404" s="3" t="s">
        <v>61</v>
      </c>
      <c r="AJ404" s="3" t="s">
        <v>42</v>
      </c>
      <c r="AK404" s="3" t="s">
        <v>42</v>
      </c>
      <c r="AL404" s="29">
        <v>45854</v>
      </c>
      <c r="AM404" s="5" t="s">
        <v>42</v>
      </c>
      <c r="AN404" s="9" t="str">
        <f>HYPERLINK("https://my.pitchbook.com?p=291133-81P", "View People Online")</f>
        <v>View People Online</v>
      </c>
    </row>
    <row r="405" spans="1:40" x14ac:dyDescent="0.2">
      <c r="A405" s="2" t="s">
        <v>3755</v>
      </c>
      <c r="B405" s="2" t="s">
        <v>3756</v>
      </c>
      <c r="C405" s="2" t="s">
        <v>42</v>
      </c>
      <c r="D405" s="2" t="s">
        <v>42</v>
      </c>
      <c r="E405" s="2" t="s">
        <v>3755</v>
      </c>
      <c r="F405" s="2" t="s">
        <v>3757</v>
      </c>
      <c r="G405" s="2" t="s">
        <v>161</v>
      </c>
      <c r="H405" s="2" t="s">
        <v>3758</v>
      </c>
      <c r="I405" s="2" t="s">
        <v>46</v>
      </c>
      <c r="J405" s="2" t="s">
        <v>47</v>
      </c>
      <c r="K405" s="2" t="s">
        <v>3759</v>
      </c>
      <c r="L405" s="2" t="s">
        <v>111</v>
      </c>
      <c r="M405" s="8" t="str">
        <f>HYPERLINK("http://www.al-mohafaza.com.sa", "www.al-mohafaza.com.sa")</f>
        <v>www.al-mohafaza.com.sa</v>
      </c>
      <c r="N405" s="2" t="s">
        <v>112</v>
      </c>
      <c r="O405" s="2" t="s">
        <v>42</v>
      </c>
      <c r="P405" s="2" t="s">
        <v>3760</v>
      </c>
      <c r="Q405" s="2" t="s">
        <v>42</v>
      </c>
      <c r="R405" s="16">
        <v>1</v>
      </c>
      <c r="S405" s="16">
        <v>1</v>
      </c>
      <c r="T405" s="16">
        <v>1</v>
      </c>
      <c r="U405" s="16" t="s">
        <v>42</v>
      </c>
      <c r="V405" s="16" t="s">
        <v>42</v>
      </c>
      <c r="W405" s="4" t="s">
        <v>3761</v>
      </c>
      <c r="X405" s="2" t="s">
        <v>3762</v>
      </c>
      <c r="Y405" s="2" t="s">
        <v>42</v>
      </c>
      <c r="Z405" s="2" t="s">
        <v>3763</v>
      </c>
      <c r="AA405" s="2" t="s">
        <v>3764</v>
      </c>
      <c r="AB405" s="2" t="s">
        <v>3765</v>
      </c>
      <c r="AC405" s="2" t="s">
        <v>3766</v>
      </c>
      <c r="AD405" s="2" t="s">
        <v>42</v>
      </c>
      <c r="AE405" s="4" t="s">
        <v>3767</v>
      </c>
      <c r="AF405" s="2" t="s">
        <v>60</v>
      </c>
      <c r="AG405" s="4" t="s">
        <v>42</v>
      </c>
      <c r="AH405" s="2" t="s">
        <v>61</v>
      </c>
      <c r="AI405" s="2" t="s">
        <v>61</v>
      </c>
      <c r="AJ405" s="2" t="s">
        <v>42</v>
      </c>
      <c r="AK405" s="2" t="s">
        <v>42</v>
      </c>
      <c r="AL405" s="28">
        <v>45980</v>
      </c>
      <c r="AM405" s="4" t="s">
        <v>42</v>
      </c>
      <c r="AN405" s="8" t="str">
        <f>HYPERLINK("https://my.pitchbook.com?p=385112-80P", "View People Online")</f>
        <v>View People Online</v>
      </c>
    </row>
    <row r="406" spans="1:40" x14ac:dyDescent="0.2">
      <c r="A406" s="3" t="s">
        <v>3768</v>
      </c>
      <c r="B406" s="3" t="s">
        <v>3769</v>
      </c>
      <c r="C406" s="3" t="s">
        <v>42</v>
      </c>
      <c r="D406" s="3" t="s">
        <v>42</v>
      </c>
      <c r="E406" s="3" t="s">
        <v>3768</v>
      </c>
      <c r="F406" s="3" t="s">
        <v>3770</v>
      </c>
      <c r="G406" s="3" t="s">
        <v>3771</v>
      </c>
      <c r="H406" s="3" t="s">
        <v>42</v>
      </c>
      <c r="I406" s="3" t="s">
        <v>46</v>
      </c>
      <c r="J406" s="3" t="s">
        <v>47</v>
      </c>
      <c r="K406" s="3" t="s">
        <v>3772</v>
      </c>
      <c r="L406" s="3" t="s">
        <v>111</v>
      </c>
      <c r="M406" s="9" t="str">
        <f>HYPERLINK("http://www.mc4.com.sa", "www.mc4.com.sa")</f>
        <v>www.mc4.com.sa</v>
      </c>
      <c r="N406" s="3" t="s">
        <v>3773</v>
      </c>
      <c r="O406" s="3" t="s">
        <v>42</v>
      </c>
      <c r="P406" s="3" t="s">
        <v>3774</v>
      </c>
      <c r="Q406" s="3" t="s">
        <v>42</v>
      </c>
      <c r="R406" s="17" t="s">
        <v>42</v>
      </c>
      <c r="S406" s="17">
        <v>1</v>
      </c>
      <c r="T406" s="17">
        <v>1</v>
      </c>
      <c r="U406" s="17" t="s">
        <v>42</v>
      </c>
      <c r="V406" s="17" t="s">
        <v>42</v>
      </c>
      <c r="W406" s="5" t="s">
        <v>3775</v>
      </c>
      <c r="X406" s="3" t="s">
        <v>42</v>
      </c>
      <c r="Y406" s="9" t="str">
        <f>HYPERLINK("http://ng.linkedin.com/in/imad-talil-18302512", "http://ng.linkedin.com/in/imad-talil-18302512")</f>
        <v>http://ng.linkedin.com/in/imad-talil-18302512</v>
      </c>
      <c r="Z406" s="3" t="s">
        <v>383</v>
      </c>
      <c r="AA406" s="3" t="s">
        <v>3776</v>
      </c>
      <c r="AB406" s="3" t="s">
        <v>42</v>
      </c>
      <c r="AC406" s="3" t="s">
        <v>385</v>
      </c>
      <c r="AD406" s="3" t="s">
        <v>42</v>
      </c>
      <c r="AE406" s="5" t="s">
        <v>3777</v>
      </c>
      <c r="AF406" s="3" t="s">
        <v>60</v>
      </c>
      <c r="AG406" s="5" t="s">
        <v>3778</v>
      </c>
      <c r="AH406" s="3" t="s">
        <v>61</v>
      </c>
      <c r="AI406" s="3" t="s">
        <v>61</v>
      </c>
      <c r="AJ406" s="3" t="s">
        <v>42</v>
      </c>
      <c r="AK406" s="3" t="s">
        <v>42</v>
      </c>
      <c r="AL406" s="29">
        <v>45933</v>
      </c>
      <c r="AM406" s="5">
        <v>1983</v>
      </c>
      <c r="AN406" s="9" t="str">
        <f>HYPERLINK("https://my.pitchbook.com?p=380750-32P", "View People Online")</f>
        <v>View People Online</v>
      </c>
    </row>
    <row r="407" spans="1:40" x14ac:dyDescent="0.2">
      <c r="A407" s="2" t="s">
        <v>3779</v>
      </c>
      <c r="B407" s="2" t="s">
        <v>3780</v>
      </c>
      <c r="C407" s="2" t="s">
        <v>42</v>
      </c>
      <c r="D407" s="2" t="s">
        <v>42</v>
      </c>
      <c r="E407" s="2" t="s">
        <v>3779</v>
      </c>
      <c r="F407" s="2" t="s">
        <v>356</v>
      </c>
      <c r="G407" s="2" t="s">
        <v>3781</v>
      </c>
      <c r="H407" s="2" t="s">
        <v>42</v>
      </c>
      <c r="I407" s="2" t="s">
        <v>46</v>
      </c>
      <c r="J407" s="2" t="s">
        <v>47</v>
      </c>
      <c r="K407" s="2" t="s">
        <v>2119</v>
      </c>
      <c r="L407" s="2" t="s">
        <v>111</v>
      </c>
      <c r="M407" s="8" t="str">
        <f>HYPERLINK("http://www.saudire.net", "www.saudire.net")</f>
        <v>www.saudire.net</v>
      </c>
      <c r="N407" s="2" t="s">
        <v>370</v>
      </c>
      <c r="O407" s="2" t="s">
        <v>42</v>
      </c>
      <c r="P407" s="2" t="s">
        <v>3782</v>
      </c>
      <c r="Q407" s="2" t="s">
        <v>42</v>
      </c>
      <c r="R407" s="16" t="s">
        <v>42</v>
      </c>
      <c r="S407" s="16">
        <v>1</v>
      </c>
      <c r="T407" s="16">
        <v>1</v>
      </c>
      <c r="U407" s="16" t="s">
        <v>42</v>
      </c>
      <c r="V407" s="16" t="s">
        <v>42</v>
      </c>
      <c r="W407" s="4" t="s">
        <v>2121</v>
      </c>
      <c r="X407" s="2" t="s">
        <v>3783</v>
      </c>
      <c r="Y407" s="8" t="str">
        <f>HYPERLINK("http://linkedin.com/in/isaali/", "http://linkedin.com/in/isaali/")</f>
        <v>http://linkedin.com/in/isaali/</v>
      </c>
      <c r="Z407" s="2" t="s">
        <v>55</v>
      </c>
      <c r="AA407" s="2" t="s">
        <v>2122</v>
      </c>
      <c r="AB407" s="2" t="s">
        <v>2123</v>
      </c>
      <c r="AC407" s="2" t="s">
        <v>58</v>
      </c>
      <c r="AD407" s="2" t="s">
        <v>42</v>
      </c>
      <c r="AE407" s="4" t="s">
        <v>2124</v>
      </c>
      <c r="AF407" s="2" t="s">
        <v>60</v>
      </c>
      <c r="AG407" s="4" t="s">
        <v>2125</v>
      </c>
      <c r="AH407" s="2" t="s">
        <v>61</v>
      </c>
      <c r="AI407" s="2" t="s">
        <v>61</v>
      </c>
      <c r="AJ407" s="2" t="s">
        <v>42</v>
      </c>
      <c r="AK407" s="2" t="s">
        <v>42</v>
      </c>
      <c r="AL407" s="28">
        <v>45985</v>
      </c>
      <c r="AM407" s="4" t="s">
        <v>42</v>
      </c>
      <c r="AN407" s="8" t="str">
        <f>HYPERLINK("https://my.pitchbook.com?p=385713-28P", "View People Online")</f>
        <v>View People Online</v>
      </c>
    </row>
    <row r="408" spans="1:40" x14ac:dyDescent="0.2">
      <c r="A408" s="3" t="s">
        <v>3784</v>
      </c>
      <c r="B408" s="3" t="s">
        <v>3785</v>
      </c>
      <c r="C408" s="3" t="s">
        <v>42</v>
      </c>
      <c r="D408" s="3" t="s">
        <v>42</v>
      </c>
      <c r="E408" s="3" t="s">
        <v>3784</v>
      </c>
      <c r="F408" s="3" t="s">
        <v>3786</v>
      </c>
      <c r="G408" s="3" t="s">
        <v>3787</v>
      </c>
      <c r="H408" s="3" t="s">
        <v>3788</v>
      </c>
      <c r="I408" s="3" t="s">
        <v>196</v>
      </c>
      <c r="J408" s="3" t="s">
        <v>47</v>
      </c>
      <c r="K408" s="3" t="s">
        <v>169</v>
      </c>
      <c r="L408" s="3" t="s">
        <v>81</v>
      </c>
      <c r="M408" s="9" t="str">
        <f>HYPERLINK("http://www.alkhabeer.com", "www.alkhabeer.com")</f>
        <v>www.alkhabeer.com</v>
      </c>
      <c r="N408" s="3" t="s">
        <v>3789</v>
      </c>
      <c r="O408" s="3" t="s">
        <v>42</v>
      </c>
      <c r="P408" s="3" t="s">
        <v>3790</v>
      </c>
      <c r="Q408" s="3" t="s">
        <v>3791</v>
      </c>
      <c r="R408" s="17">
        <v>1</v>
      </c>
      <c r="S408" s="17">
        <v>1</v>
      </c>
      <c r="T408" s="17" t="s">
        <v>42</v>
      </c>
      <c r="U408" s="17" t="s">
        <v>42</v>
      </c>
      <c r="V408" s="17" t="s">
        <v>42</v>
      </c>
      <c r="W408" s="5" t="s">
        <v>172</v>
      </c>
      <c r="X408" s="3" t="s">
        <v>42</v>
      </c>
      <c r="Y408" s="3" t="s">
        <v>42</v>
      </c>
      <c r="Z408" s="3" t="s">
        <v>174</v>
      </c>
      <c r="AA408" s="3" t="s">
        <v>175</v>
      </c>
      <c r="AB408" s="3" t="s">
        <v>42</v>
      </c>
      <c r="AC408" s="3" t="s">
        <v>176</v>
      </c>
      <c r="AD408" s="3" t="s">
        <v>42</v>
      </c>
      <c r="AE408" s="5" t="s">
        <v>177</v>
      </c>
      <c r="AF408" s="3" t="s">
        <v>60</v>
      </c>
      <c r="AG408" s="5" t="s">
        <v>178</v>
      </c>
      <c r="AH408" s="3" t="s">
        <v>61</v>
      </c>
      <c r="AI408" s="3" t="s">
        <v>61</v>
      </c>
      <c r="AJ408" s="3" t="s">
        <v>42</v>
      </c>
      <c r="AK408" s="3" t="s">
        <v>42</v>
      </c>
      <c r="AL408" s="29">
        <v>45992</v>
      </c>
      <c r="AM408" s="5" t="s">
        <v>42</v>
      </c>
      <c r="AN408" s="9" t="str">
        <f>HYPERLINK("https://my.pitchbook.com?p=92382-94P", "View People Online")</f>
        <v>View People Online</v>
      </c>
    </row>
    <row r="409" spans="1:40" x14ac:dyDescent="0.2">
      <c r="A409" s="2" t="s">
        <v>3792</v>
      </c>
      <c r="B409" s="2" t="s">
        <v>3793</v>
      </c>
      <c r="C409" s="2" t="s">
        <v>42</v>
      </c>
      <c r="D409" s="2" t="s">
        <v>42</v>
      </c>
      <c r="E409" s="2" t="s">
        <v>3792</v>
      </c>
      <c r="F409" s="2" t="s">
        <v>3794</v>
      </c>
      <c r="G409" s="2" t="s">
        <v>3795</v>
      </c>
      <c r="H409" s="2" t="s">
        <v>42</v>
      </c>
      <c r="I409" s="2" t="s">
        <v>46</v>
      </c>
      <c r="J409" s="2" t="s">
        <v>47</v>
      </c>
      <c r="K409" s="2" t="s">
        <v>2483</v>
      </c>
      <c r="L409" s="2" t="s">
        <v>111</v>
      </c>
      <c r="M409" s="8" t="str">
        <f>HYPERLINK("http://centers.cenomi.com", "centers.cenomi.com")</f>
        <v>centers.cenomi.com</v>
      </c>
      <c r="N409" s="2" t="s">
        <v>534</v>
      </c>
      <c r="O409" s="2" t="s">
        <v>42</v>
      </c>
      <c r="P409" s="2" t="s">
        <v>3796</v>
      </c>
      <c r="Q409" s="2" t="s">
        <v>42</v>
      </c>
      <c r="R409" s="16" t="s">
        <v>42</v>
      </c>
      <c r="S409" s="16">
        <v>1</v>
      </c>
      <c r="T409" s="16">
        <v>1</v>
      </c>
      <c r="U409" s="16" t="s">
        <v>42</v>
      </c>
      <c r="V409" s="16" t="s">
        <v>42</v>
      </c>
      <c r="W409" s="4" t="s">
        <v>2486</v>
      </c>
      <c r="X409" s="2" t="s">
        <v>3797</v>
      </c>
      <c r="Y409" s="2" t="s">
        <v>42</v>
      </c>
      <c r="Z409" s="2" t="s">
        <v>55</v>
      </c>
      <c r="AA409" s="2" t="s">
        <v>2487</v>
      </c>
      <c r="AB409" s="2" t="s">
        <v>42</v>
      </c>
      <c r="AC409" s="2" t="s">
        <v>58</v>
      </c>
      <c r="AD409" s="2" t="s">
        <v>42</v>
      </c>
      <c r="AE409" s="4" t="s">
        <v>646</v>
      </c>
      <c r="AF409" s="2" t="s">
        <v>60</v>
      </c>
      <c r="AG409" s="4" t="s">
        <v>42</v>
      </c>
      <c r="AH409" s="2" t="s">
        <v>61</v>
      </c>
      <c r="AI409" s="2" t="s">
        <v>61</v>
      </c>
      <c r="AJ409" s="2" t="s">
        <v>42</v>
      </c>
      <c r="AK409" s="2" t="s">
        <v>42</v>
      </c>
      <c r="AL409" s="28">
        <v>45726</v>
      </c>
      <c r="AM409" s="4" t="s">
        <v>42</v>
      </c>
      <c r="AN409" s="8" t="str">
        <f>HYPERLINK("https://my.pitchbook.com?p=437326-21P", "View People Online")</f>
        <v>View People Online</v>
      </c>
    </row>
    <row r="410" spans="1:40" x14ac:dyDescent="0.2">
      <c r="A410" s="3" t="s">
        <v>3798</v>
      </c>
      <c r="B410" s="3" t="s">
        <v>3799</v>
      </c>
      <c r="C410" s="3" t="s">
        <v>42</v>
      </c>
      <c r="D410" s="3" t="s">
        <v>42</v>
      </c>
      <c r="E410" s="3" t="s">
        <v>3798</v>
      </c>
      <c r="F410" s="3" t="s">
        <v>650</v>
      </c>
      <c r="G410" s="3" t="s">
        <v>3800</v>
      </c>
      <c r="H410" s="3" t="s">
        <v>167</v>
      </c>
      <c r="I410" s="3" t="s">
        <v>46</v>
      </c>
      <c r="J410" s="3" t="s">
        <v>47</v>
      </c>
      <c r="K410" s="3" t="s">
        <v>469</v>
      </c>
      <c r="L410" s="3" t="s">
        <v>111</v>
      </c>
      <c r="M410" s="9" t="str">
        <f>HYPERLINK("http://care.med.sa", "care.med.sa")</f>
        <v>care.med.sa</v>
      </c>
      <c r="N410" s="3" t="s">
        <v>534</v>
      </c>
      <c r="O410" s="3" t="s">
        <v>42</v>
      </c>
      <c r="P410" s="3" t="s">
        <v>3801</v>
      </c>
      <c r="Q410" s="3" t="s">
        <v>42</v>
      </c>
      <c r="R410" s="17" t="s">
        <v>42</v>
      </c>
      <c r="S410" s="17">
        <v>1</v>
      </c>
      <c r="T410" s="17">
        <v>1</v>
      </c>
      <c r="U410" s="17" t="s">
        <v>42</v>
      </c>
      <c r="V410" s="17" t="s">
        <v>42</v>
      </c>
      <c r="W410" s="5" t="s">
        <v>471</v>
      </c>
      <c r="X410" s="3" t="s">
        <v>3802</v>
      </c>
      <c r="Y410" s="9" t="str">
        <f>HYPERLINK("http://linkedin.com/in/jahanzeb-khan-5a980014/?originalsubdomain=sa", "http://linkedin.com/in/jahanzeb-khan-5a980014/?originalsubdomain=sa")</f>
        <v>http://linkedin.com/in/jahanzeb-khan-5a980014/?originalsubdomain=sa</v>
      </c>
      <c r="Z410" s="3" t="s">
        <v>55</v>
      </c>
      <c r="AA410" s="3" t="s">
        <v>472</v>
      </c>
      <c r="AB410" s="3" t="s">
        <v>473</v>
      </c>
      <c r="AC410" s="3" t="s">
        <v>58</v>
      </c>
      <c r="AD410" s="3" t="s">
        <v>474</v>
      </c>
      <c r="AE410" s="5" t="s">
        <v>475</v>
      </c>
      <c r="AF410" s="3" t="s">
        <v>60</v>
      </c>
      <c r="AG410" s="5" t="s">
        <v>42</v>
      </c>
      <c r="AH410" s="3" t="s">
        <v>61</v>
      </c>
      <c r="AI410" s="3" t="s">
        <v>61</v>
      </c>
      <c r="AJ410" s="3" t="s">
        <v>42</v>
      </c>
      <c r="AK410" s="3" t="s">
        <v>42</v>
      </c>
      <c r="AL410" s="29">
        <v>45741</v>
      </c>
      <c r="AM410" s="5" t="s">
        <v>42</v>
      </c>
      <c r="AN410" s="9" t="str">
        <f>HYPERLINK("https://my.pitchbook.com?p=234928-54P", "View People Online")</f>
        <v>View People Online</v>
      </c>
    </row>
    <row r="411" spans="1:40" x14ac:dyDescent="0.2">
      <c r="A411" s="2" t="s">
        <v>3803</v>
      </c>
      <c r="B411" s="2" t="s">
        <v>3804</v>
      </c>
      <c r="C411" s="2" t="s">
        <v>42</v>
      </c>
      <c r="D411" s="2" t="s">
        <v>42</v>
      </c>
      <c r="E411" s="2" t="s">
        <v>3803</v>
      </c>
      <c r="F411" s="2" t="s">
        <v>3805</v>
      </c>
      <c r="G411" s="2" t="s">
        <v>3806</v>
      </c>
      <c r="H411" s="2" t="s">
        <v>2077</v>
      </c>
      <c r="I411" s="2" t="s">
        <v>46</v>
      </c>
      <c r="J411" s="2" t="s">
        <v>47</v>
      </c>
      <c r="K411" s="2" t="s">
        <v>3807</v>
      </c>
      <c r="L411" s="2" t="s">
        <v>111</v>
      </c>
      <c r="M411" s="8" t="str">
        <f>HYPERLINK("http://www.mhg-int.com", "www.mhg-int.com")</f>
        <v>www.mhg-int.com</v>
      </c>
      <c r="N411" s="2" t="s">
        <v>534</v>
      </c>
      <c r="O411" s="2" t="s">
        <v>42</v>
      </c>
      <c r="P411" s="2" t="s">
        <v>3808</v>
      </c>
      <c r="Q411" s="2" t="s">
        <v>42</v>
      </c>
      <c r="R411" s="16" t="s">
        <v>42</v>
      </c>
      <c r="S411" s="16">
        <v>1</v>
      </c>
      <c r="T411" s="16">
        <v>1</v>
      </c>
      <c r="U411" s="16" t="s">
        <v>42</v>
      </c>
      <c r="V411" s="16" t="s">
        <v>42</v>
      </c>
      <c r="W411" s="4" t="s">
        <v>3809</v>
      </c>
      <c r="X411" s="2" t="s">
        <v>42</v>
      </c>
      <c r="Y411" s="2" t="s">
        <v>42</v>
      </c>
      <c r="Z411" s="2" t="s">
        <v>55</v>
      </c>
      <c r="AA411" s="2" t="s">
        <v>3810</v>
      </c>
      <c r="AB411" s="2" t="s">
        <v>42</v>
      </c>
      <c r="AC411" s="2" t="s">
        <v>58</v>
      </c>
      <c r="AD411" s="2" t="s">
        <v>42</v>
      </c>
      <c r="AE411" s="4" t="s">
        <v>3811</v>
      </c>
      <c r="AF411" s="2" t="s">
        <v>60</v>
      </c>
      <c r="AG411" s="4" t="s">
        <v>3812</v>
      </c>
      <c r="AH411" s="2" t="s">
        <v>61</v>
      </c>
      <c r="AI411" s="2" t="s">
        <v>61</v>
      </c>
      <c r="AJ411" s="2" t="s">
        <v>42</v>
      </c>
      <c r="AK411" s="2" t="s">
        <v>42</v>
      </c>
      <c r="AL411" s="28">
        <v>45874</v>
      </c>
      <c r="AM411" s="4" t="s">
        <v>42</v>
      </c>
      <c r="AN411" s="8" t="str">
        <f>HYPERLINK("https://my.pitchbook.com?p=458743-51P", "View People Online")</f>
        <v>View People Online</v>
      </c>
    </row>
    <row r="412" spans="1:40" x14ac:dyDescent="0.2">
      <c r="A412" s="3" t="s">
        <v>3813</v>
      </c>
      <c r="B412" s="3" t="s">
        <v>3814</v>
      </c>
      <c r="C412" s="3" t="s">
        <v>42</v>
      </c>
      <c r="D412" s="3" t="s">
        <v>42</v>
      </c>
      <c r="E412" s="3" t="s">
        <v>3813</v>
      </c>
      <c r="F412" s="3" t="s">
        <v>3815</v>
      </c>
      <c r="G412" s="3" t="s">
        <v>3558</v>
      </c>
      <c r="H412" s="3" t="s">
        <v>42</v>
      </c>
      <c r="I412" s="3" t="s">
        <v>46</v>
      </c>
      <c r="J412" s="3" t="s">
        <v>47</v>
      </c>
      <c r="K412" s="3" t="s">
        <v>1330</v>
      </c>
      <c r="L412" s="3" t="s">
        <v>1057</v>
      </c>
      <c r="M412" s="9" t="str">
        <f>HYPERLINK("http://www.yaqeen.sa", "www.yaqeen.sa")</f>
        <v>www.yaqeen.sa</v>
      </c>
      <c r="N412" s="3" t="s">
        <v>370</v>
      </c>
      <c r="O412" s="3" t="s">
        <v>42</v>
      </c>
      <c r="P412" s="3" t="s">
        <v>3816</v>
      </c>
      <c r="Q412" s="3" t="s">
        <v>42</v>
      </c>
      <c r="R412" s="17" t="s">
        <v>42</v>
      </c>
      <c r="S412" s="17">
        <v>1</v>
      </c>
      <c r="T412" s="17">
        <v>1</v>
      </c>
      <c r="U412" s="17" t="s">
        <v>42</v>
      </c>
      <c r="V412" s="17" t="s">
        <v>42</v>
      </c>
      <c r="W412" s="5" t="s">
        <v>42</v>
      </c>
      <c r="X412" s="3" t="s">
        <v>3817</v>
      </c>
      <c r="Y412" s="3" t="s">
        <v>42</v>
      </c>
      <c r="Z412" s="3" t="s">
        <v>55</v>
      </c>
      <c r="AA412" s="3" t="s">
        <v>1333</v>
      </c>
      <c r="AB412" s="3" t="s">
        <v>1334</v>
      </c>
      <c r="AC412" s="3" t="s">
        <v>58</v>
      </c>
      <c r="AD412" s="3" t="s">
        <v>42</v>
      </c>
      <c r="AE412" s="5" t="s">
        <v>1021</v>
      </c>
      <c r="AF412" s="3" t="s">
        <v>60</v>
      </c>
      <c r="AG412" s="5" t="s">
        <v>1335</v>
      </c>
      <c r="AH412" s="3" t="s">
        <v>61</v>
      </c>
      <c r="AI412" s="3" t="s">
        <v>61</v>
      </c>
      <c r="AJ412" s="3" t="s">
        <v>42</v>
      </c>
      <c r="AK412" s="3" t="s">
        <v>42</v>
      </c>
      <c r="AL412" s="29">
        <v>45706</v>
      </c>
      <c r="AM412" s="5" t="s">
        <v>42</v>
      </c>
      <c r="AN412" s="9" t="str">
        <f>HYPERLINK("https://my.pitchbook.com?p=422620-12P", "View People Online")</f>
        <v>View People Online</v>
      </c>
    </row>
    <row r="413" spans="1:40" x14ac:dyDescent="0.2">
      <c r="A413" s="2" t="s">
        <v>3818</v>
      </c>
      <c r="B413" s="2" t="s">
        <v>3819</v>
      </c>
      <c r="C413" s="2" t="s">
        <v>42</v>
      </c>
      <c r="D413" s="2" t="s">
        <v>42</v>
      </c>
      <c r="E413" s="2" t="s">
        <v>3818</v>
      </c>
      <c r="F413" s="2" t="s">
        <v>284</v>
      </c>
      <c r="G413" s="2" t="s">
        <v>3558</v>
      </c>
      <c r="H413" s="2" t="s">
        <v>3820</v>
      </c>
      <c r="I413" s="2" t="s">
        <v>46</v>
      </c>
      <c r="J413" s="2" t="s">
        <v>47</v>
      </c>
      <c r="K413" s="2" t="s">
        <v>3415</v>
      </c>
      <c r="L413" s="2" t="s">
        <v>111</v>
      </c>
      <c r="M413" s="8" t="str">
        <f>HYPERLINK("http://www.raoomco.com", "www.raoomco.com")</f>
        <v>www.raoomco.com</v>
      </c>
      <c r="N413" s="2" t="s">
        <v>2356</v>
      </c>
      <c r="O413" s="2" t="s">
        <v>42</v>
      </c>
      <c r="P413" s="2" t="s">
        <v>3821</v>
      </c>
      <c r="Q413" s="2" t="s">
        <v>42</v>
      </c>
      <c r="R413" s="16" t="s">
        <v>42</v>
      </c>
      <c r="S413" s="16">
        <v>1</v>
      </c>
      <c r="T413" s="16">
        <v>1</v>
      </c>
      <c r="U413" s="16" t="s">
        <v>42</v>
      </c>
      <c r="V413" s="16" t="s">
        <v>42</v>
      </c>
      <c r="W413" s="4" t="s">
        <v>3418</v>
      </c>
      <c r="X413" s="2" t="s">
        <v>42</v>
      </c>
      <c r="Y413" s="2" t="s">
        <v>42</v>
      </c>
      <c r="Z413" s="2" t="s">
        <v>3419</v>
      </c>
      <c r="AA413" s="2" t="s">
        <v>3420</v>
      </c>
      <c r="AB413" s="2" t="s">
        <v>3421</v>
      </c>
      <c r="AC413" s="2" t="s">
        <v>3422</v>
      </c>
      <c r="AD413" s="2" t="s">
        <v>42</v>
      </c>
      <c r="AE413" s="4" t="s">
        <v>42</v>
      </c>
      <c r="AF413" s="2" t="s">
        <v>60</v>
      </c>
      <c r="AG413" s="4" t="s">
        <v>3423</v>
      </c>
      <c r="AH413" s="2" t="s">
        <v>61</v>
      </c>
      <c r="AI413" s="2" t="s">
        <v>61</v>
      </c>
      <c r="AJ413" s="2" t="s">
        <v>42</v>
      </c>
      <c r="AK413" s="2" t="s">
        <v>42</v>
      </c>
      <c r="AL413" s="28">
        <v>45922</v>
      </c>
      <c r="AM413" s="4" t="s">
        <v>42</v>
      </c>
      <c r="AN413" s="8" t="str">
        <f>HYPERLINK("https://my.pitchbook.com?p=341015-23P", "View People Online")</f>
        <v>View People Online</v>
      </c>
    </row>
    <row r="414" spans="1:40" x14ac:dyDescent="0.2">
      <c r="A414" s="3" t="s">
        <v>3822</v>
      </c>
      <c r="B414" s="3" t="s">
        <v>3823</v>
      </c>
      <c r="C414" s="3" t="s">
        <v>42</v>
      </c>
      <c r="D414" s="3" t="s">
        <v>42</v>
      </c>
      <c r="E414" s="3" t="s">
        <v>3822</v>
      </c>
      <c r="F414" s="3" t="s">
        <v>3824</v>
      </c>
      <c r="G414" s="3" t="s">
        <v>3825</v>
      </c>
      <c r="H414" s="3" t="s">
        <v>66</v>
      </c>
      <c r="I414" s="3" t="s">
        <v>46</v>
      </c>
      <c r="J414" s="3" t="s">
        <v>47</v>
      </c>
      <c r="K414" s="3" t="s">
        <v>3826</v>
      </c>
      <c r="L414" s="3" t="s">
        <v>111</v>
      </c>
      <c r="M414" s="9" t="str">
        <f>HYPERLINK("http://sinadholding.com", "sinadholding.com")</f>
        <v>sinadholding.com</v>
      </c>
      <c r="N414" s="3" t="s">
        <v>447</v>
      </c>
      <c r="O414" s="3" t="s">
        <v>42</v>
      </c>
      <c r="P414" s="3" t="s">
        <v>3827</v>
      </c>
      <c r="Q414" s="3" t="s">
        <v>42</v>
      </c>
      <c r="R414" s="17" t="s">
        <v>42</v>
      </c>
      <c r="S414" s="17">
        <v>1</v>
      </c>
      <c r="T414" s="17">
        <v>1</v>
      </c>
      <c r="U414" s="17" t="s">
        <v>42</v>
      </c>
      <c r="V414" s="17" t="s">
        <v>42</v>
      </c>
      <c r="W414" s="5" t="s">
        <v>3828</v>
      </c>
      <c r="X414" s="3" t="s">
        <v>3829</v>
      </c>
      <c r="Y414" s="9" t="str">
        <f>HYPERLINK("http://linkedin.com/in/jameel-abdullah-al-molhem/", "http://linkedin.com/in/jameel-abdullah-al-molhem/")</f>
        <v>http://linkedin.com/in/jameel-abdullah-al-molhem/</v>
      </c>
      <c r="Z414" s="3" t="s">
        <v>55</v>
      </c>
      <c r="AA414" s="3" t="s">
        <v>3830</v>
      </c>
      <c r="AB414" s="3" t="s">
        <v>3831</v>
      </c>
      <c r="AC414" s="3" t="s">
        <v>58</v>
      </c>
      <c r="AD414" s="3" t="s">
        <v>42</v>
      </c>
      <c r="AE414" s="5" t="s">
        <v>3832</v>
      </c>
      <c r="AF414" s="3" t="s">
        <v>60</v>
      </c>
      <c r="AG414" s="5" t="s">
        <v>3833</v>
      </c>
      <c r="AH414" s="3" t="s">
        <v>61</v>
      </c>
      <c r="AI414" s="3" t="s">
        <v>61</v>
      </c>
      <c r="AJ414" s="3" t="s">
        <v>42</v>
      </c>
      <c r="AK414" s="3" t="s">
        <v>42</v>
      </c>
      <c r="AL414" s="29">
        <v>45950</v>
      </c>
      <c r="AM414" s="5" t="s">
        <v>42</v>
      </c>
      <c r="AN414" s="9" t="str">
        <f>HYPERLINK("https://my.pitchbook.com?p=343390-96P", "View People Online")</f>
        <v>View People Online</v>
      </c>
    </row>
    <row r="415" spans="1:40" x14ac:dyDescent="0.2">
      <c r="A415" s="2" t="s">
        <v>3834</v>
      </c>
      <c r="B415" s="2" t="s">
        <v>3835</v>
      </c>
      <c r="C415" s="2" t="s">
        <v>42</v>
      </c>
      <c r="D415" s="2" t="s">
        <v>42</v>
      </c>
      <c r="E415" s="2" t="s">
        <v>3834</v>
      </c>
      <c r="F415" s="2" t="s">
        <v>3836</v>
      </c>
      <c r="G415" s="2" t="s">
        <v>3837</v>
      </c>
      <c r="H415" s="2" t="s">
        <v>42</v>
      </c>
      <c r="I415" s="2" t="s">
        <v>46</v>
      </c>
      <c r="J415" s="2" t="s">
        <v>47</v>
      </c>
      <c r="K415" s="2" t="s">
        <v>3688</v>
      </c>
      <c r="L415" s="2" t="s">
        <v>111</v>
      </c>
      <c r="M415" s="8" t="str">
        <f>HYPERLINK("http://www.obeikanglass.sa", "www.obeikanglass.sa")</f>
        <v>www.obeikanglass.sa</v>
      </c>
      <c r="N415" s="2" t="s">
        <v>534</v>
      </c>
      <c r="O415" s="2" t="s">
        <v>42</v>
      </c>
      <c r="P415" s="2" t="s">
        <v>3838</v>
      </c>
      <c r="Q415" s="2" t="s">
        <v>42</v>
      </c>
      <c r="R415" s="16" t="s">
        <v>42</v>
      </c>
      <c r="S415" s="16">
        <v>1</v>
      </c>
      <c r="T415" s="16">
        <v>1</v>
      </c>
      <c r="U415" s="16" t="s">
        <v>42</v>
      </c>
      <c r="V415" s="16" t="s">
        <v>42</v>
      </c>
      <c r="W415" s="4" t="s">
        <v>3690</v>
      </c>
      <c r="X415" s="2" t="s">
        <v>3839</v>
      </c>
      <c r="Y415" s="8" t="str">
        <f>HYPERLINK("http://linkedin.com/in/james-clarke-fca-finance-leader/?originalsubdomain=uk", "http://linkedin.com/in/james-clarke-fca-finance-leader/?originalsubdomain=uk")</f>
        <v>http://linkedin.com/in/james-clarke-fca-finance-leader/?originalsubdomain=uk</v>
      </c>
      <c r="Z415" s="2" t="s">
        <v>3691</v>
      </c>
      <c r="AA415" s="2" t="s">
        <v>3692</v>
      </c>
      <c r="AB415" s="2" t="s">
        <v>3693</v>
      </c>
      <c r="AC415" s="2" t="s">
        <v>3694</v>
      </c>
      <c r="AD415" s="2" t="s">
        <v>42</v>
      </c>
      <c r="AE415" s="4" t="s">
        <v>727</v>
      </c>
      <c r="AF415" s="2" t="s">
        <v>60</v>
      </c>
      <c r="AG415" s="4" t="s">
        <v>42</v>
      </c>
      <c r="AH415" s="2" t="s">
        <v>61</v>
      </c>
      <c r="AI415" s="2" t="s">
        <v>61</v>
      </c>
      <c r="AJ415" s="2" t="s">
        <v>42</v>
      </c>
      <c r="AK415" s="2" t="s">
        <v>42</v>
      </c>
      <c r="AL415" s="28">
        <v>45908</v>
      </c>
      <c r="AM415" s="4" t="s">
        <v>42</v>
      </c>
      <c r="AN415" s="8" t="str">
        <f>HYPERLINK("https://my.pitchbook.com?p=463727-26P", "View People Online")</f>
        <v>View People Online</v>
      </c>
    </row>
    <row r="416" spans="1:40" x14ac:dyDescent="0.2">
      <c r="A416" s="3" t="s">
        <v>3840</v>
      </c>
      <c r="B416" s="3" t="s">
        <v>3841</v>
      </c>
      <c r="C416" s="3" t="s">
        <v>42</v>
      </c>
      <c r="D416" s="3" t="s">
        <v>42</v>
      </c>
      <c r="E416" s="3" t="s">
        <v>3840</v>
      </c>
      <c r="F416" s="3" t="s">
        <v>3842</v>
      </c>
      <c r="G416" s="3" t="s">
        <v>3843</v>
      </c>
      <c r="H416" s="3" t="s">
        <v>543</v>
      </c>
      <c r="I416" s="3" t="s">
        <v>46</v>
      </c>
      <c r="J416" s="3" t="s">
        <v>47</v>
      </c>
      <c r="K416" s="3" t="s">
        <v>2680</v>
      </c>
      <c r="L416" s="3" t="s">
        <v>111</v>
      </c>
      <c r="M416" s="9" t="str">
        <f>HYPERLINK("http://www.sumou.com.sa", "www.sumou.com.sa")</f>
        <v>www.sumou.com.sa</v>
      </c>
      <c r="N416" s="3" t="s">
        <v>210</v>
      </c>
      <c r="O416" s="3" t="s">
        <v>42</v>
      </c>
      <c r="P416" s="3" t="s">
        <v>3844</v>
      </c>
      <c r="Q416" s="3" t="s">
        <v>42</v>
      </c>
      <c r="R416" s="17" t="s">
        <v>42</v>
      </c>
      <c r="S416" s="17">
        <v>1</v>
      </c>
      <c r="T416" s="17">
        <v>1</v>
      </c>
      <c r="U416" s="17" t="s">
        <v>42</v>
      </c>
      <c r="V416" s="17" t="s">
        <v>42</v>
      </c>
      <c r="W416" s="5" t="s">
        <v>2682</v>
      </c>
      <c r="X416" s="3" t="s">
        <v>3845</v>
      </c>
      <c r="Y416" s="9" t="str">
        <f>HYPERLINK("http://linkedin.com/in/eng-jarallah-al-amrah-2b4926141/", "http://linkedin.com/in/eng-jarallah-al-amrah-2b4926141/")</f>
        <v>http://linkedin.com/in/eng-jarallah-al-amrah-2b4926141/</v>
      </c>
      <c r="Z416" s="3" t="s">
        <v>2684</v>
      </c>
      <c r="AA416" s="3" t="s">
        <v>2685</v>
      </c>
      <c r="AB416" s="3" t="s">
        <v>2686</v>
      </c>
      <c r="AC416" s="3" t="s">
        <v>2687</v>
      </c>
      <c r="AD416" s="3" t="s">
        <v>42</v>
      </c>
      <c r="AE416" s="5" t="s">
        <v>599</v>
      </c>
      <c r="AF416" s="3" t="s">
        <v>60</v>
      </c>
      <c r="AG416" s="5" t="s">
        <v>2688</v>
      </c>
      <c r="AH416" s="3" t="s">
        <v>61</v>
      </c>
      <c r="AI416" s="3" t="s">
        <v>61</v>
      </c>
      <c r="AJ416" s="3" t="s">
        <v>42</v>
      </c>
      <c r="AK416" s="3" t="s">
        <v>42</v>
      </c>
      <c r="AL416" s="29">
        <v>45433</v>
      </c>
      <c r="AM416" s="5" t="s">
        <v>42</v>
      </c>
      <c r="AN416" s="9" t="str">
        <f>HYPERLINK("https://my.pitchbook.com?p=327455-20P", "View People Online")</f>
        <v>View People Online</v>
      </c>
    </row>
    <row r="417" spans="1:40" x14ac:dyDescent="0.2">
      <c r="A417" s="2" t="s">
        <v>3846</v>
      </c>
      <c r="B417" s="2" t="s">
        <v>3847</v>
      </c>
      <c r="C417" s="2" t="s">
        <v>42</v>
      </c>
      <c r="D417" s="2" t="s">
        <v>42</v>
      </c>
      <c r="E417" s="2" t="s">
        <v>3846</v>
      </c>
      <c r="F417" s="2" t="s">
        <v>3848</v>
      </c>
      <c r="G417" s="2" t="s">
        <v>3849</v>
      </c>
      <c r="H417" s="2" t="s">
        <v>42</v>
      </c>
      <c r="I417" s="2" t="s">
        <v>42</v>
      </c>
      <c r="J417" s="2" t="s">
        <v>47</v>
      </c>
      <c r="K417" s="2" t="s">
        <v>3850</v>
      </c>
      <c r="L417" s="2" t="s">
        <v>111</v>
      </c>
      <c r="M417" s="8" t="str">
        <f>HYPERLINK("http://mobily.com.sa", "mobily.com.sa")</f>
        <v>mobily.com.sa</v>
      </c>
      <c r="N417" s="2" t="s">
        <v>246</v>
      </c>
      <c r="O417" s="2" t="s">
        <v>42</v>
      </c>
      <c r="P417" s="2" t="s">
        <v>3851</v>
      </c>
      <c r="Q417" s="2" t="s">
        <v>42</v>
      </c>
      <c r="R417" s="16">
        <v>1</v>
      </c>
      <c r="S417" s="16">
        <v>1</v>
      </c>
      <c r="T417" s="16" t="s">
        <v>42</v>
      </c>
      <c r="U417" s="16" t="s">
        <v>42</v>
      </c>
      <c r="V417" s="16" t="s">
        <v>42</v>
      </c>
      <c r="W417" s="4" t="s">
        <v>42</v>
      </c>
      <c r="X417" s="2" t="s">
        <v>42</v>
      </c>
      <c r="Y417" s="2" t="s">
        <v>42</v>
      </c>
      <c r="Z417" s="2" t="s">
        <v>55</v>
      </c>
      <c r="AA417" s="2" t="s">
        <v>3852</v>
      </c>
      <c r="AB417" s="2" t="s">
        <v>3853</v>
      </c>
      <c r="AC417" s="2" t="s">
        <v>58</v>
      </c>
      <c r="AD417" s="2" t="s">
        <v>42</v>
      </c>
      <c r="AE417" s="4" t="s">
        <v>3854</v>
      </c>
      <c r="AF417" s="2" t="s">
        <v>60</v>
      </c>
      <c r="AG417" s="4" t="s">
        <v>42</v>
      </c>
      <c r="AH417" s="2" t="s">
        <v>61</v>
      </c>
      <c r="AI417" s="2" t="s">
        <v>61</v>
      </c>
      <c r="AJ417" s="2" t="s">
        <v>42</v>
      </c>
      <c r="AK417" s="2" t="s">
        <v>42</v>
      </c>
      <c r="AL417" s="28">
        <v>45926</v>
      </c>
      <c r="AM417" s="4" t="s">
        <v>42</v>
      </c>
      <c r="AN417" s="8" t="str">
        <f>HYPERLINK("https://my.pitchbook.com?p=282336-13P", "View People Online")</f>
        <v>View People Online</v>
      </c>
    </row>
    <row r="418" spans="1:40" x14ac:dyDescent="0.2">
      <c r="A418" s="3" t="s">
        <v>3855</v>
      </c>
      <c r="B418" s="3" t="s">
        <v>3856</v>
      </c>
      <c r="C418" s="3" t="s">
        <v>42</v>
      </c>
      <c r="D418" s="3" t="s">
        <v>42</v>
      </c>
      <c r="E418" s="3" t="s">
        <v>3855</v>
      </c>
      <c r="F418" s="3" t="s">
        <v>3857</v>
      </c>
      <c r="G418" s="3" t="s">
        <v>3858</v>
      </c>
      <c r="H418" s="3" t="s">
        <v>42</v>
      </c>
      <c r="I418" s="3" t="s">
        <v>46</v>
      </c>
      <c r="J418" s="3" t="s">
        <v>47</v>
      </c>
      <c r="K418" s="3" t="s">
        <v>3859</v>
      </c>
      <c r="L418" s="3" t="s">
        <v>111</v>
      </c>
      <c r="M418" s="9" t="str">
        <f>HYPERLINK("http://www.al-babtain.com.sa", "www.al-babtain.com.sa")</f>
        <v>www.al-babtain.com.sa</v>
      </c>
      <c r="N418" s="3" t="s">
        <v>210</v>
      </c>
      <c r="O418" s="3" t="s">
        <v>42</v>
      </c>
      <c r="P418" s="3" t="s">
        <v>3860</v>
      </c>
      <c r="Q418" s="3" t="s">
        <v>42</v>
      </c>
      <c r="R418" s="17" t="s">
        <v>42</v>
      </c>
      <c r="S418" s="17">
        <v>1</v>
      </c>
      <c r="T418" s="17">
        <v>1</v>
      </c>
      <c r="U418" s="17" t="s">
        <v>42</v>
      </c>
      <c r="V418" s="17" t="s">
        <v>42</v>
      </c>
      <c r="W418" s="5" t="s">
        <v>3861</v>
      </c>
      <c r="X418" s="3" t="s">
        <v>3862</v>
      </c>
      <c r="Y418" s="3" t="s">
        <v>42</v>
      </c>
      <c r="Z418" s="3" t="s">
        <v>55</v>
      </c>
      <c r="AA418" s="3" t="s">
        <v>3863</v>
      </c>
      <c r="AB418" s="3" t="s">
        <v>42</v>
      </c>
      <c r="AC418" s="3" t="s">
        <v>58</v>
      </c>
      <c r="AD418" s="3" t="s">
        <v>42</v>
      </c>
      <c r="AE418" s="5" t="s">
        <v>3864</v>
      </c>
      <c r="AF418" s="3" t="s">
        <v>60</v>
      </c>
      <c r="AG418" s="5" t="s">
        <v>3865</v>
      </c>
      <c r="AH418" s="3" t="s">
        <v>61</v>
      </c>
      <c r="AI418" s="3" t="s">
        <v>61</v>
      </c>
      <c r="AJ418" s="3" t="s">
        <v>42</v>
      </c>
      <c r="AK418" s="3" t="s">
        <v>42</v>
      </c>
      <c r="AL418" s="29">
        <v>45674</v>
      </c>
      <c r="AM418" s="5" t="s">
        <v>42</v>
      </c>
      <c r="AN418" s="9" t="str">
        <f>HYPERLINK("https://my.pitchbook.com?p=327945-16P", "View People Online")</f>
        <v>View People Online</v>
      </c>
    </row>
    <row r="419" spans="1:40" x14ac:dyDescent="0.2">
      <c r="A419" s="2" t="s">
        <v>3866</v>
      </c>
      <c r="B419" s="2" t="s">
        <v>3867</v>
      </c>
      <c r="C419" s="2" t="s">
        <v>42</v>
      </c>
      <c r="D419" s="2" t="s">
        <v>42</v>
      </c>
      <c r="E419" s="2" t="s">
        <v>3866</v>
      </c>
      <c r="F419" s="2" t="s">
        <v>3868</v>
      </c>
      <c r="G419" s="2" t="s">
        <v>3869</v>
      </c>
      <c r="H419" s="2" t="s">
        <v>3870</v>
      </c>
      <c r="I419" s="2" t="s">
        <v>46</v>
      </c>
      <c r="J419" s="2" t="s">
        <v>47</v>
      </c>
      <c r="K419" s="2" t="s">
        <v>3871</v>
      </c>
      <c r="L419" s="2" t="s">
        <v>111</v>
      </c>
      <c r="M419" s="8" t="str">
        <f>HYPERLINK("http://riyadh.dev", "riyadh.dev")</f>
        <v>riyadh.dev</v>
      </c>
      <c r="N419" s="2" t="s">
        <v>210</v>
      </c>
      <c r="O419" s="2" t="s">
        <v>42</v>
      </c>
      <c r="P419" s="2" t="s">
        <v>3872</v>
      </c>
      <c r="Q419" s="2" t="s">
        <v>3873</v>
      </c>
      <c r="R419" s="16" t="s">
        <v>42</v>
      </c>
      <c r="S419" s="16">
        <v>1</v>
      </c>
      <c r="T419" s="16">
        <v>1</v>
      </c>
      <c r="U419" s="16" t="s">
        <v>42</v>
      </c>
      <c r="V419" s="16" t="s">
        <v>42</v>
      </c>
      <c r="W419" s="4" t="s">
        <v>3874</v>
      </c>
      <c r="X419" s="2" t="s">
        <v>3875</v>
      </c>
      <c r="Y419" s="8" t="str">
        <f>HYPERLINK("http://sa.linkedin.com/in/jehad-alkadi-3625704?original_referer=", "http://sa.linkedin.com/in/jehad-alkadi-3625704?original_referer=")</f>
        <v>http://sa.linkedin.com/in/jehad-alkadi-3625704?original_referer=</v>
      </c>
      <c r="Z419" s="2" t="s">
        <v>55</v>
      </c>
      <c r="AA419" s="2" t="s">
        <v>3876</v>
      </c>
      <c r="AB419" s="2" t="s">
        <v>3877</v>
      </c>
      <c r="AC419" s="2" t="s">
        <v>58</v>
      </c>
      <c r="AD419" s="2" t="s">
        <v>42</v>
      </c>
      <c r="AE419" s="4" t="s">
        <v>3878</v>
      </c>
      <c r="AF419" s="2" t="s">
        <v>60</v>
      </c>
      <c r="AG419" s="4" t="s">
        <v>3879</v>
      </c>
      <c r="AH419" s="2" t="s">
        <v>61</v>
      </c>
      <c r="AI419" s="2" t="s">
        <v>61</v>
      </c>
      <c r="AJ419" s="2" t="s">
        <v>42</v>
      </c>
      <c r="AK419" s="2" t="s">
        <v>42</v>
      </c>
      <c r="AL419" s="28">
        <v>45838</v>
      </c>
      <c r="AM419" s="4">
        <v>1980</v>
      </c>
      <c r="AN419" s="8" t="str">
        <f>HYPERLINK("https://my.pitchbook.com?p=296590-87P", "View People Online")</f>
        <v>View People Online</v>
      </c>
    </row>
    <row r="420" spans="1:40" x14ac:dyDescent="0.2">
      <c r="A420" s="3" t="s">
        <v>3880</v>
      </c>
      <c r="B420" s="3" t="s">
        <v>3881</v>
      </c>
      <c r="C420" s="3" t="s">
        <v>42</v>
      </c>
      <c r="D420" s="3" t="s">
        <v>42</v>
      </c>
      <c r="E420" s="3" t="s">
        <v>3880</v>
      </c>
      <c r="F420" s="3" t="s">
        <v>3882</v>
      </c>
      <c r="G420" s="3" t="s">
        <v>3869</v>
      </c>
      <c r="H420" s="3" t="s">
        <v>3883</v>
      </c>
      <c r="I420" s="3" t="s">
        <v>46</v>
      </c>
      <c r="J420" s="3" t="s">
        <v>47</v>
      </c>
      <c r="K420" s="3" t="s">
        <v>3884</v>
      </c>
      <c r="L420" s="3" t="s">
        <v>111</v>
      </c>
      <c r="M420" s="9" t="str">
        <f>HYPERLINK("http://www.yamamacement.com", "www.yamamacement.com")</f>
        <v>www.yamamacement.com</v>
      </c>
      <c r="N420" s="3" t="s">
        <v>112</v>
      </c>
      <c r="O420" s="3" t="s">
        <v>42</v>
      </c>
      <c r="P420" s="3" t="s">
        <v>3885</v>
      </c>
      <c r="Q420" s="3" t="s">
        <v>42</v>
      </c>
      <c r="R420" s="17">
        <v>1</v>
      </c>
      <c r="S420" s="17">
        <v>1</v>
      </c>
      <c r="T420" s="17">
        <v>1</v>
      </c>
      <c r="U420" s="17" t="s">
        <v>42</v>
      </c>
      <c r="V420" s="17" t="s">
        <v>42</v>
      </c>
      <c r="W420" s="5" t="s">
        <v>3886</v>
      </c>
      <c r="X420" s="3" t="s">
        <v>3887</v>
      </c>
      <c r="Y420" s="9" t="str">
        <f>HYPERLINK("http://linkedin.com/in/jehad-alrasheed-98398147/", "http://linkedin.com/in/jehad-alrasheed-98398147/")</f>
        <v>http://linkedin.com/in/jehad-alrasheed-98398147/</v>
      </c>
      <c r="Z420" s="3" t="s">
        <v>55</v>
      </c>
      <c r="AA420" s="3" t="s">
        <v>3888</v>
      </c>
      <c r="AB420" s="3" t="s">
        <v>42</v>
      </c>
      <c r="AC420" s="3" t="s">
        <v>58</v>
      </c>
      <c r="AD420" s="3" t="s">
        <v>42</v>
      </c>
      <c r="AE420" s="5" t="s">
        <v>1365</v>
      </c>
      <c r="AF420" s="3" t="s">
        <v>60</v>
      </c>
      <c r="AG420" s="5" t="s">
        <v>3889</v>
      </c>
      <c r="AH420" s="3" t="s">
        <v>61</v>
      </c>
      <c r="AI420" s="3" t="s">
        <v>61</v>
      </c>
      <c r="AJ420" s="3" t="s">
        <v>42</v>
      </c>
      <c r="AK420" s="3" t="s">
        <v>42</v>
      </c>
      <c r="AL420" s="29">
        <v>45804</v>
      </c>
      <c r="AM420" s="5" t="s">
        <v>42</v>
      </c>
      <c r="AN420" s="9" t="str">
        <f>HYPERLINK("https://my.pitchbook.com?p=342151-57P", "View People Online")</f>
        <v>View People Online</v>
      </c>
    </row>
    <row r="421" spans="1:40" x14ac:dyDescent="0.2">
      <c r="A421" s="2" t="s">
        <v>3890</v>
      </c>
      <c r="B421" s="2" t="s">
        <v>3891</v>
      </c>
      <c r="C421" s="2" t="s">
        <v>42</v>
      </c>
      <c r="D421" s="2" t="s">
        <v>42</v>
      </c>
      <c r="E421" s="2" t="s">
        <v>3890</v>
      </c>
      <c r="F421" s="2" t="s">
        <v>3892</v>
      </c>
      <c r="G421" s="2" t="s">
        <v>3893</v>
      </c>
      <c r="H421" s="2" t="s">
        <v>42</v>
      </c>
      <c r="I421" s="2" t="s">
        <v>46</v>
      </c>
      <c r="J421" s="2" t="s">
        <v>47</v>
      </c>
      <c r="K421" s="2" t="s">
        <v>1079</v>
      </c>
      <c r="L421" s="2" t="s">
        <v>111</v>
      </c>
      <c r="M421" s="8" t="str">
        <f>HYPERLINK("http://www.mbc.net", "www.mbc.net")</f>
        <v>www.mbc.net</v>
      </c>
      <c r="N421" s="2" t="s">
        <v>370</v>
      </c>
      <c r="O421" s="2" t="s">
        <v>42</v>
      </c>
      <c r="P421" s="2" t="s">
        <v>3894</v>
      </c>
      <c r="Q421" s="2" t="s">
        <v>42</v>
      </c>
      <c r="R421" s="16" t="s">
        <v>42</v>
      </c>
      <c r="S421" s="16">
        <v>1</v>
      </c>
      <c r="T421" s="16">
        <v>1</v>
      </c>
      <c r="U421" s="16" t="s">
        <v>42</v>
      </c>
      <c r="V421" s="16" t="s">
        <v>42</v>
      </c>
      <c r="W421" s="4" t="s">
        <v>1082</v>
      </c>
      <c r="X421" s="2" t="s">
        <v>3895</v>
      </c>
      <c r="Y421" s="8" t="str">
        <f>HYPERLINK("http://ae.linkedin.com/in/joigoe", "http://ae.linkedin.com/in/joigoe")</f>
        <v>http://ae.linkedin.com/in/joigoe</v>
      </c>
      <c r="Z421" s="2" t="s">
        <v>55</v>
      </c>
      <c r="AA421" s="2" t="s">
        <v>1084</v>
      </c>
      <c r="AB421" s="2" t="s">
        <v>1085</v>
      </c>
      <c r="AC421" s="2" t="s">
        <v>58</v>
      </c>
      <c r="AD421" s="2" t="s">
        <v>42</v>
      </c>
      <c r="AE421" s="4" t="s">
        <v>1086</v>
      </c>
      <c r="AF421" s="2" t="s">
        <v>60</v>
      </c>
      <c r="AG421" s="4" t="s">
        <v>1087</v>
      </c>
      <c r="AH421" s="2" t="s">
        <v>61</v>
      </c>
      <c r="AI421" s="2" t="s">
        <v>61</v>
      </c>
      <c r="AJ421" s="2" t="s">
        <v>42</v>
      </c>
      <c r="AK421" s="2" t="s">
        <v>42</v>
      </c>
      <c r="AL421" s="28">
        <v>45600</v>
      </c>
      <c r="AM421" s="4" t="s">
        <v>42</v>
      </c>
      <c r="AN421" s="8" t="str">
        <f>HYPERLINK("https://my.pitchbook.com?p=324573-31P", "View People Online")</f>
        <v>View People Online</v>
      </c>
    </row>
    <row r="422" spans="1:40" x14ac:dyDescent="0.2">
      <c r="A422" s="3" t="s">
        <v>3896</v>
      </c>
      <c r="B422" s="3" t="s">
        <v>3897</v>
      </c>
      <c r="C422" s="3" t="s">
        <v>42</v>
      </c>
      <c r="D422" s="3" t="s">
        <v>42</v>
      </c>
      <c r="E422" s="3" t="s">
        <v>3896</v>
      </c>
      <c r="F422" s="3" t="s">
        <v>3898</v>
      </c>
      <c r="G422" s="3" t="s">
        <v>3899</v>
      </c>
      <c r="H422" s="3" t="s">
        <v>42</v>
      </c>
      <c r="I422" s="3" t="s">
        <v>46</v>
      </c>
      <c r="J422" s="3" t="s">
        <v>47</v>
      </c>
      <c r="K422" s="3" t="s">
        <v>3900</v>
      </c>
      <c r="L422" s="3" t="s">
        <v>111</v>
      </c>
      <c r="M422" s="9" t="str">
        <f>HYPERLINK("http://www.walaa.com", "www.walaa.com")</f>
        <v>www.walaa.com</v>
      </c>
      <c r="N422" s="3" t="s">
        <v>210</v>
      </c>
      <c r="O422" s="3" t="s">
        <v>42</v>
      </c>
      <c r="P422" s="3" t="s">
        <v>3901</v>
      </c>
      <c r="Q422" s="3" t="s">
        <v>42</v>
      </c>
      <c r="R422" s="17" t="s">
        <v>42</v>
      </c>
      <c r="S422" s="17">
        <v>1</v>
      </c>
      <c r="T422" s="17">
        <v>1</v>
      </c>
      <c r="U422" s="17" t="s">
        <v>42</v>
      </c>
      <c r="V422" s="17" t="s">
        <v>42</v>
      </c>
      <c r="W422" s="5" t="s">
        <v>3902</v>
      </c>
      <c r="X422" s="3" t="s">
        <v>3903</v>
      </c>
      <c r="Y422" s="9" t="str">
        <f>HYPERLINK("http://linkedin.com/in/johnson-varughese-6307229", "http://linkedin.com/in/johnson-varughese-6307229")</f>
        <v>http://linkedin.com/in/johnson-varughese-6307229</v>
      </c>
      <c r="Z422" s="3" t="s">
        <v>782</v>
      </c>
      <c r="AA422" s="3" t="s">
        <v>3904</v>
      </c>
      <c r="AB422" s="3" t="s">
        <v>3905</v>
      </c>
      <c r="AC422" s="3" t="s">
        <v>785</v>
      </c>
      <c r="AD422" s="3" t="s">
        <v>42</v>
      </c>
      <c r="AE422" s="5" t="s">
        <v>599</v>
      </c>
      <c r="AF422" s="3" t="s">
        <v>60</v>
      </c>
      <c r="AG422" s="5" t="s">
        <v>3906</v>
      </c>
      <c r="AH422" s="3" t="s">
        <v>61</v>
      </c>
      <c r="AI422" s="3" t="s">
        <v>61</v>
      </c>
      <c r="AJ422" s="3" t="s">
        <v>42</v>
      </c>
      <c r="AK422" s="3" t="s">
        <v>42</v>
      </c>
      <c r="AL422" s="29">
        <v>46056</v>
      </c>
      <c r="AM422" s="5">
        <v>1968</v>
      </c>
      <c r="AN422" s="9" t="str">
        <f>HYPERLINK("https://my.pitchbook.com?p=119371-87P", "View People Online")</f>
        <v>View People Online</v>
      </c>
    </row>
    <row r="423" spans="1:40" x14ac:dyDescent="0.2">
      <c r="A423" s="2" t="s">
        <v>3907</v>
      </c>
      <c r="B423" s="2" t="s">
        <v>3908</v>
      </c>
      <c r="C423" s="2" t="s">
        <v>42</v>
      </c>
      <c r="D423" s="2" t="s">
        <v>42</v>
      </c>
      <c r="E423" s="2" t="s">
        <v>3907</v>
      </c>
      <c r="F423" s="2" t="s">
        <v>3909</v>
      </c>
      <c r="G423" s="2" t="s">
        <v>3910</v>
      </c>
      <c r="H423" s="2" t="s">
        <v>42</v>
      </c>
      <c r="I423" s="2" t="s">
        <v>46</v>
      </c>
      <c r="J423" s="2" t="s">
        <v>47</v>
      </c>
      <c r="K423" s="2" t="s">
        <v>3911</v>
      </c>
      <c r="L423" s="2" t="s">
        <v>111</v>
      </c>
      <c r="M423" s="8" t="str">
        <f>HYPERLINK("http://www.rasan.co", "www.rasan.co")</f>
        <v>www.rasan.co</v>
      </c>
      <c r="N423" s="2" t="s">
        <v>370</v>
      </c>
      <c r="O423" s="2" t="s">
        <v>42</v>
      </c>
      <c r="P423" s="2" t="s">
        <v>3912</v>
      </c>
      <c r="Q423" s="2" t="s">
        <v>42</v>
      </c>
      <c r="R423" s="16" t="s">
        <v>42</v>
      </c>
      <c r="S423" s="16">
        <v>1</v>
      </c>
      <c r="T423" s="16">
        <v>1</v>
      </c>
      <c r="U423" s="16" t="s">
        <v>42</v>
      </c>
      <c r="V423" s="16" t="s">
        <v>42</v>
      </c>
      <c r="W423" s="4" t="s">
        <v>3913</v>
      </c>
      <c r="X423" s="2" t="s">
        <v>3914</v>
      </c>
      <c r="Y423" s="8" t="str">
        <f>HYPERLINK("http://linkedin.com/in/joyneogi/?originalsubdomain=ae#", "http://linkedin.com/in/joyneogi/?originalsubdomain=ae#")</f>
        <v>http://linkedin.com/in/joyneogi/?originalsubdomain=ae#</v>
      </c>
      <c r="Z423" s="2" t="s">
        <v>55</v>
      </c>
      <c r="AA423" s="2" t="s">
        <v>3915</v>
      </c>
      <c r="AB423" s="2" t="s">
        <v>3916</v>
      </c>
      <c r="AC423" s="2" t="s">
        <v>58</v>
      </c>
      <c r="AD423" s="2" t="s">
        <v>42</v>
      </c>
      <c r="AE423" s="4" t="s">
        <v>3917</v>
      </c>
      <c r="AF423" s="2" t="s">
        <v>60</v>
      </c>
      <c r="AG423" s="4" t="s">
        <v>42</v>
      </c>
      <c r="AH423" s="2" t="s">
        <v>61</v>
      </c>
      <c r="AI423" s="2" t="s">
        <v>61</v>
      </c>
      <c r="AJ423" s="2" t="s">
        <v>42</v>
      </c>
      <c r="AK423" s="2" t="s">
        <v>42</v>
      </c>
      <c r="AL423" s="28">
        <v>45950</v>
      </c>
      <c r="AM423" s="4" t="s">
        <v>42</v>
      </c>
      <c r="AN423" s="8" t="str">
        <f>HYPERLINK("https://my.pitchbook.com?p=281847-97P", "View People Online")</f>
        <v>View People Online</v>
      </c>
    </row>
    <row r="424" spans="1:40" x14ac:dyDescent="0.2">
      <c r="A424" s="3" t="s">
        <v>3918</v>
      </c>
      <c r="B424" s="3" t="s">
        <v>3919</v>
      </c>
      <c r="C424" s="3" t="s">
        <v>42</v>
      </c>
      <c r="D424" s="3" t="s">
        <v>42</v>
      </c>
      <c r="E424" s="3" t="s">
        <v>3918</v>
      </c>
      <c r="F424" s="3" t="s">
        <v>3920</v>
      </c>
      <c r="G424" s="3" t="s">
        <v>3921</v>
      </c>
      <c r="H424" s="3" t="s">
        <v>3922</v>
      </c>
      <c r="I424" s="3" t="s">
        <v>46</v>
      </c>
      <c r="J424" s="3" t="s">
        <v>47</v>
      </c>
      <c r="K424" s="3" t="s">
        <v>3923</v>
      </c>
      <c r="L424" s="3" t="s">
        <v>111</v>
      </c>
      <c r="M424" s="9" t="str">
        <f>HYPERLINK("http://www.jamjoomfashion.com", "www.jamjoomfashion.com")</f>
        <v>www.jamjoomfashion.com</v>
      </c>
      <c r="N424" s="3" t="s">
        <v>98</v>
      </c>
      <c r="O424" s="3" t="s">
        <v>42</v>
      </c>
      <c r="P424" s="3" t="s">
        <v>3924</v>
      </c>
      <c r="Q424" s="3" t="s">
        <v>42</v>
      </c>
      <c r="R424" s="17">
        <v>1</v>
      </c>
      <c r="S424" s="17">
        <v>1</v>
      </c>
      <c r="T424" s="17">
        <v>1</v>
      </c>
      <c r="U424" s="17" t="s">
        <v>42</v>
      </c>
      <c r="V424" s="17" t="s">
        <v>42</v>
      </c>
      <c r="W424" s="5" t="s">
        <v>3925</v>
      </c>
      <c r="X424" s="3" t="s">
        <v>3926</v>
      </c>
      <c r="Y424" s="3" t="s">
        <v>42</v>
      </c>
      <c r="Z424" s="3" t="s">
        <v>174</v>
      </c>
      <c r="AA424" s="3" t="s">
        <v>3927</v>
      </c>
      <c r="AB424" s="3" t="s">
        <v>3928</v>
      </c>
      <c r="AC424" s="3" t="s">
        <v>176</v>
      </c>
      <c r="AD424" s="3" t="s">
        <v>42</v>
      </c>
      <c r="AE424" s="5" t="s">
        <v>42</v>
      </c>
      <c r="AF424" s="3" t="s">
        <v>60</v>
      </c>
      <c r="AG424" s="5" t="s">
        <v>42</v>
      </c>
      <c r="AH424" s="3" t="s">
        <v>61</v>
      </c>
      <c r="AI424" s="3" t="s">
        <v>61</v>
      </c>
      <c r="AJ424" s="3" t="s">
        <v>42</v>
      </c>
      <c r="AK424" s="3" t="s">
        <v>42</v>
      </c>
      <c r="AL424" s="29">
        <v>45884</v>
      </c>
      <c r="AM424" s="5" t="s">
        <v>42</v>
      </c>
      <c r="AN424" s="9" t="str">
        <f>HYPERLINK("https://my.pitchbook.com?p=460432-00P", "View People Online")</f>
        <v>View People Online</v>
      </c>
    </row>
    <row r="425" spans="1:40" x14ac:dyDescent="0.2">
      <c r="A425" s="2" t="s">
        <v>3929</v>
      </c>
      <c r="B425" s="2" t="s">
        <v>3930</v>
      </c>
      <c r="C425" s="2" t="s">
        <v>42</v>
      </c>
      <c r="D425" s="2" t="s">
        <v>42</v>
      </c>
      <c r="E425" s="2" t="s">
        <v>3929</v>
      </c>
      <c r="F425" s="2" t="s">
        <v>3931</v>
      </c>
      <c r="G425" s="2" t="s">
        <v>3932</v>
      </c>
      <c r="H425" s="2" t="s">
        <v>3933</v>
      </c>
      <c r="I425" s="2" t="s">
        <v>46</v>
      </c>
      <c r="J425" s="2" t="s">
        <v>47</v>
      </c>
      <c r="K425" s="2" t="s">
        <v>3934</v>
      </c>
      <c r="L425" s="2" t="s">
        <v>111</v>
      </c>
      <c r="M425" s="8" t="str">
        <f>HYPERLINK("http://abomoati.com", "abomoati.com")</f>
        <v>abomoati.com</v>
      </c>
      <c r="N425" s="2" t="s">
        <v>534</v>
      </c>
      <c r="O425" s="2" t="s">
        <v>42</v>
      </c>
      <c r="P425" s="2" t="s">
        <v>3935</v>
      </c>
      <c r="Q425" s="2" t="s">
        <v>42</v>
      </c>
      <c r="R425" s="16" t="s">
        <v>42</v>
      </c>
      <c r="S425" s="16">
        <v>1</v>
      </c>
      <c r="T425" s="16">
        <v>1</v>
      </c>
      <c r="U425" s="16" t="s">
        <v>42</v>
      </c>
      <c r="V425" s="16" t="s">
        <v>42</v>
      </c>
      <c r="W425" s="4" t="s">
        <v>3936</v>
      </c>
      <c r="X425" s="2" t="s">
        <v>42</v>
      </c>
      <c r="Y425" s="2" t="s">
        <v>42</v>
      </c>
      <c r="Z425" s="2" t="s">
        <v>55</v>
      </c>
      <c r="AA425" s="2" t="s">
        <v>3937</v>
      </c>
      <c r="AB425" s="2" t="s">
        <v>42</v>
      </c>
      <c r="AC425" s="2" t="s">
        <v>58</v>
      </c>
      <c r="AD425" s="2" t="s">
        <v>42</v>
      </c>
      <c r="AE425" s="4" t="s">
        <v>3854</v>
      </c>
      <c r="AF425" s="2" t="s">
        <v>60</v>
      </c>
      <c r="AG425" s="4" t="s">
        <v>3938</v>
      </c>
      <c r="AH425" s="2" t="s">
        <v>61</v>
      </c>
      <c r="AI425" s="2" t="s">
        <v>61</v>
      </c>
      <c r="AJ425" s="2" t="s">
        <v>42</v>
      </c>
      <c r="AK425" s="2" t="s">
        <v>42</v>
      </c>
      <c r="AL425" s="28">
        <v>45677</v>
      </c>
      <c r="AM425" s="4" t="s">
        <v>42</v>
      </c>
      <c r="AN425" s="8" t="str">
        <f>HYPERLINK("https://my.pitchbook.com?p=328183-48P", "View People Online")</f>
        <v>View People Online</v>
      </c>
    </row>
    <row r="426" spans="1:40" x14ac:dyDescent="0.2">
      <c r="A426" s="3" t="s">
        <v>3939</v>
      </c>
      <c r="B426" s="3" t="s">
        <v>3940</v>
      </c>
      <c r="C426" s="3" t="s">
        <v>42</v>
      </c>
      <c r="D426" s="3" t="s">
        <v>42</v>
      </c>
      <c r="E426" s="3" t="s">
        <v>3939</v>
      </c>
      <c r="F426" s="3" t="s">
        <v>3941</v>
      </c>
      <c r="G426" s="3" t="s">
        <v>3942</v>
      </c>
      <c r="H426" s="3" t="s">
        <v>3943</v>
      </c>
      <c r="I426" s="3" t="s">
        <v>46</v>
      </c>
      <c r="J426" s="3" t="s">
        <v>47</v>
      </c>
      <c r="K426" s="3" t="s">
        <v>3486</v>
      </c>
      <c r="L426" s="3" t="s">
        <v>1316</v>
      </c>
      <c r="M426" s="9" t="str">
        <f>HYPERLINK("http://www.chubb.com.sa", "www.chubb.com.sa")</f>
        <v>www.chubb.com.sa</v>
      </c>
      <c r="N426" s="3" t="s">
        <v>210</v>
      </c>
      <c r="O426" s="3" t="s">
        <v>42</v>
      </c>
      <c r="P426" s="3" t="s">
        <v>3944</v>
      </c>
      <c r="Q426" s="3" t="s">
        <v>42</v>
      </c>
      <c r="R426" s="17" t="s">
        <v>42</v>
      </c>
      <c r="S426" s="17">
        <v>1</v>
      </c>
      <c r="T426" s="17">
        <v>1</v>
      </c>
      <c r="U426" s="17" t="s">
        <v>42</v>
      </c>
      <c r="V426" s="17" t="s">
        <v>42</v>
      </c>
      <c r="W426" s="5" t="s">
        <v>3488</v>
      </c>
      <c r="X426" s="3" t="s">
        <v>3945</v>
      </c>
      <c r="Y426" s="9" t="str">
        <f>HYPERLINK("http://linkedin.com/in/kamran-mazhar-jaffery-52a6a8b/", "http://linkedin.com/in/kamran-mazhar-jaffery-52a6a8b/")</f>
        <v>http://linkedin.com/in/kamran-mazhar-jaffery-52a6a8b/</v>
      </c>
      <c r="Z426" s="3" t="s">
        <v>595</v>
      </c>
      <c r="AA426" s="3" t="s">
        <v>3490</v>
      </c>
      <c r="AB426" s="3" t="s">
        <v>3491</v>
      </c>
      <c r="AC426" s="3" t="s">
        <v>598</v>
      </c>
      <c r="AD426" s="3" t="s">
        <v>42</v>
      </c>
      <c r="AE426" s="5" t="s">
        <v>599</v>
      </c>
      <c r="AF426" s="3" t="s">
        <v>60</v>
      </c>
      <c r="AG426" s="5" t="s">
        <v>3492</v>
      </c>
      <c r="AH426" s="3" t="s">
        <v>61</v>
      </c>
      <c r="AI426" s="3" t="s">
        <v>61</v>
      </c>
      <c r="AJ426" s="3" t="s">
        <v>42</v>
      </c>
      <c r="AK426" s="3" t="s">
        <v>42</v>
      </c>
      <c r="AL426" s="29">
        <v>45756</v>
      </c>
      <c r="AM426" s="5" t="s">
        <v>42</v>
      </c>
      <c r="AN426" s="9" t="str">
        <f>HYPERLINK("https://my.pitchbook.com?p=339331-87P", "View People Online")</f>
        <v>View People Online</v>
      </c>
    </row>
    <row r="427" spans="1:40" x14ac:dyDescent="0.2">
      <c r="A427" s="2" t="s">
        <v>3946</v>
      </c>
      <c r="B427" s="2" t="s">
        <v>3947</v>
      </c>
      <c r="C427" s="2" t="s">
        <v>42</v>
      </c>
      <c r="D427" s="2" t="s">
        <v>42</v>
      </c>
      <c r="E427" s="2" t="s">
        <v>3946</v>
      </c>
      <c r="F427" s="2" t="s">
        <v>3948</v>
      </c>
      <c r="G427" s="2" t="s">
        <v>3949</v>
      </c>
      <c r="H427" s="2" t="s">
        <v>622</v>
      </c>
      <c r="I427" s="2" t="s">
        <v>46</v>
      </c>
      <c r="J427" s="2" t="s">
        <v>47</v>
      </c>
      <c r="K427" s="2" t="s">
        <v>3850</v>
      </c>
      <c r="L427" s="2" t="s">
        <v>111</v>
      </c>
      <c r="M427" s="8" t="str">
        <f>HYPERLINK("http://mobily.com.sa", "mobily.com.sa")</f>
        <v>mobily.com.sa</v>
      </c>
      <c r="N427" s="2" t="s">
        <v>534</v>
      </c>
      <c r="O427" s="2" t="s">
        <v>42</v>
      </c>
      <c r="P427" s="2" t="s">
        <v>3950</v>
      </c>
      <c r="Q427" s="2" t="s">
        <v>42</v>
      </c>
      <c r="R427" s="16" t="s">
        <v>42</v>
      </c>
      <c r="S427" s="16">
        <v>1</v>
      </c>
      <c r="T427" s="16">
        <v>1</v>
      </c>
      <c r="U427" s="16" t="s">
        <v>42</v>
      </c>
      <c r="V427" s="16" t="s">
        <v>42</v>
      </c>
      <c r="W427" s="4" t="s">
        <v>42</v>
      </c>
      <c r="X427" s="2" t="s">
        <v>3951</v>
      </c>
      <c r="Y427" s="8" t="str">
        <f>HYPERLINK("http://sa.linkedin.com/in/khaled-abanami-bb435bb5", "http://sa.linkedin.com/in/khaled-abanami-bb435bb5")</f>
        <v>http://sa.linkedin.com/in/khaled-abanami-bb435bb5</v>
      </c>
      <c r="Z427" s="2" t="s">
        <v>55</v>
      </c>
      <c r="AA427" s="2" t="s">
        <v>3852</v>
      </c>
      <c r="AB427" s="2" t="s">
        <v>3853</v>
      </c>
      <c r="AC427" s="2" t="s">
        <v>58</v>
      </c>
      <c r="AD427" s="2" t="s">
        <v>42</v>
      </c>
      <c r="AE427" s="4" t="s">
        <v>3854</v>
      </c>
      <c r="AF427" s="2" t="s">
        <v>60</v>
      </c>
      <c r="AG427" s="4" t="s">
        <v>42</v>
      </c>
      <c r="AH427" s="2" t="s">
        <v>61</v>
      </c>
      <c r="AI427" s="2" t="s">
        <v>61</v>
      </c>
      <c r="AJ427" s="2" t="s">
        <v>42</v>
      </c>
      <c r="AK427" s="2" t="s">
        <v>42</v>
      </c>
      <c r="AL427" s="28">
        <v>45758</v>
      </c>
      <c r="AM427" s="4" t="s">
        <v>42</v>
      </c>
      <c r="AN427" s="8" t="str">
        <f>HYPERLINK("https://my.pitchbook.com?p=297465-40P", "View People Online")</f>
        <v>View People Online</v>
      </c>
    </row>
    <row r="428" spans="1:40" x14ac:dyDescent="0.2">
      <c r="A428" s="3" t="s">
        <v>3952</v>
      </c>
      <c r="B428" s="3" t="s">
        <v>3953</v>
      </c>
      <c r="C428" s="3" t="s">
        <v>42</v>
      </c>
      <c r="D428" s="3" t="s">
        <v>42</v>
      </c>
      <c r="E428" s="3" t="s">
        <v>3952</v>
      </c>
      <c r="F428" s="3" t="s">
        <v>3954</v>
      </c>
      <c r="G428" s="3" t="s">
        <v>3955</v>
      </c>
      <c r="H428" s="3" t="s">
        <v>42</v>
      </c>
      <c r="I428" s="3" t="s">
        <v>46</v>
      </c>
      <c r="J428" s="3" t="s">
        <v>47</v>
      </c>
      <c r="K428" s="3" t="s">
        <v>3956</v>
      </c>
      <c r="L428" s="3" t="s">
        <v>111</v>
      </c>
      <c r="M428" s="9" t="str">
        <f>HYPERLINK("http://www.pangulfmarketing.com", "www.pangulfmarketing.com")</f>
        <v>www.pangulfmarketing.com</v>
      </c>
      <c r="N428" s="3" t="s">
        <v>2079</v>
      </c>
      <c r="O428" s="3" t="s">
        <v>42</v>
      </c>
      <c r="P428" s="3" t="s">
        <v>3957</v>
      </c>
      <c r="Q428" s="3" t="s">
        <v>42</v>
      </c>
      <c r="R428" s="17" t="s">
        <v>42</v>
      </c>
      <c r="S428" s="17">
        <v>1</v>
      </c>
      <c r="T428" s="17">
        <v>1</v>
      </c>
      <c r="U428" s="17" t="s">
        <v>42</v>
      </c>
      <c r="V428" s="17" t="s">
        <v>42</v>
      </c>
      <c r="W428" s="5" t="s">
        <v>3958</v>
      </c>
      <c r="X428" s="3" t="s">
        <v>3959</v>
      </c>
      <c r="Y428" s="3" t="s">
        <v>42</v>
      </c>
      <c r="Z428" s="3" t="s">
        <v>55</v>
      </c>
      <c r="AA428" s="3" t="s">
        <v>3960</v>
      </c>
      <c r="AB428" s="3" t="s">
        <v>42</v>
      </c>
      <c r="AC428" s="3" t="s">
        <v>58</v>
      </c>
      <c r="AD428" s="3" t="s">
        <v>42</v>
      </c>
      <c r="AE428" s="5" t="s">
        <v>42</v>
      </c>
      <c r="AF428" s="3" t="s">
        <v>60</v>
      </c>
      <c r="AG428" s="5" t="s">
        <v>3961</v>
      </c>
      <c r="AH428" s="3" t="s">
        <v>61</v>
      </c>
      <c r="AI428" s="3" t="s">
        <v>61</v>
      </c>
      <c r="AJ428" s="3" t="s">
        <v>42</v>
      </c>
      <c r="AK428" s="3" t="s">
        <v>42</v>
      </c>
      <c r="AL428" s="29">
        <v>45947</v>
      </c>
      <c r="AM428" s="5" t="s">
        <v>42</v>
      </c>
      <c r="AN428" s="9" t="str">
        <f>HYPERLINK("https://my.pitchbook.com?p=377463-79P", "View People Online")</f>
        <v>View People Online</v>
      </c>
    </row>
    <row r="429" spans="1:40" x14ac:dyDescent="0.2">
      <c r="A429" s="2" t="s">
        <v>3962</v>
      </c>
      <c r="B429" s="2" t="s">
        <v>3963</v>
      </c>
      <c r="C429" s="2" t="s">
        <v>42</v>
      </c>
      <c r="D429" s="2" t="s">
        <v>42</v>
      </c>
      <c r="E429" s="2" t="s">
        <v>3962</v>
      </c>
      <c r="F429" s="2" t="s">
        <v>478</v>
      </c>
      <c r="G429" s="2" t="s">
        <v>3949</v>
      </c>
      <c r="H429" s="2" t="s">
        <v>391</v>
      </c>
      <c r="I429" s="2" t="s">
        <v>46</v>
      </c>
      <c r="J429" s="2" t="s">
        <v>47</v>
      </c>
      <c r="K429" s="2" t="s">
        <v>3964</v>
      </c>
      <c r="L429" s="2" t="s">
        <v>111</v>
      </c>
      <c r="M429" s="8" t="str">
        <f>HYPERLINK("http://saudicement.com.sa", "saudicement.com.sa")</f>
        <v>saudicement.com.sa</v>
      </c>
      <c r="N429" s="2" t="s">
        <v>246</v>
      </c>
      <c r="O429" s="2" t="s">
        <v>42</v>
      </c>
      <c r="P429" s="2" t="s">
        <v>3965</v>
      </c>
      <c r="Q429" s="2" t="s">
        <v>42</v>
      </c>
      <c r="R429" s="16">
        <v>1</v>
      </c>
      <c r="S429" s="16">
        <v>1</v>
      </c>
      <c r="T429" s="16" t="s">
        <v>42</v>
      </c>
      <c r="U429" s="16" t="s">
        <v>42</v>
      </c>
      <c r="V429" s="16" t="s">
        <v>42</v>
      </c>
      <c r="W429" s="4" t="s">
        <v>3966</v>
      </c>
      <c r="X429" s="2" t="s">
        <v>42</v>
      </c>
      <c r="Y429" s="2" t="s">
        <v>42</v>
      </c>
      <c r="Z429" s="2" t="s">
        <v>383</v>
      </c>
      <c r="AA429" s="2" t="s">
        <v>3967</v>
      </c>
      <c r="AB429" s="2" t="s">
        <v>3968</v>
      </c>
      <c r="AC429" s="2" t="s">
        <v>385</v>
      </c>
      <c r="AD429" s="2" t="s">
        <v>42</v>
      </c>
      <c r="AE429" s="4" t="s">
        <v>3969</v>
      </c>
      <c r="AF429" s="2" t="s">
        <v>60</v>
      </c>
      <c r="AG429" s="4" t="s">
        <v>3970</v>
      </c>
      <c r="AH429" s="2" t="s">
        <v>61</v>
      </c>
      <c r="AI429" s="2" t="s">
        <v>61</v>
      </c>
      <c r="AJ429" s="2" t="s">
        <v>42</v>
      </c>
      <c r="AK429" s="2" t="s">
        <v>42</v>
      </c>
      <c r="AL429" s="28">
        <v>45729</v>
      </c>
      <c r="AM429" s="4" t="s">
        <v>42</v>
      </c>
      <c r="AN429" s="8" t="str">
        <f>HYPERLINK("https://my.pitchbook.com?p=341630-92P", "View People Online")</f>
        <v>View People Online</v>
      </c>
    </row>
    <row r="430" spans="1:40" x14ac:dyDescent="0.2">
      <c r="A430" s="3" t="s">
        <v>3971</v>
      </c>
      <c r="B430" s="3" t="s">
        <v>3972</v>
      </c>
      <c r="C430" s="3" t="s">
        <v>42</v>
      </c>
      <c r="D430" s="3" t="s">
        <v>42</v>
      </c>
      <c r="E430" s="3" t="s">
        <v>3971</v>
      </c>
      <c r="F430" s="3" t="s">
        <v>3973</v>
      </c>
      <c r="G430" s="3" t="s">
        <v>3949</v>
      </c>
      <c r="H430" s="3" t="s">
        <v>3974</v>
      </c>
      <c r="I430" s="3" t="s">
        <v>46</v>
      </c>
      <c r="J430" s="3" t="s">
        <v>47</v>
      </c>
      <c r="K430" s="3" t="s">
        <v>3975</v>
      </c>
      <c r="L430" s="3" t="s">
        <v>111</v>
      </c>
      <c r="M430" s="9" t="str">
        <f>HYPERLINK("http://www.saptco.com.sa", "www.saptco.com.sa")</f>
        <v>www.saptco.com.sa</v>
      </c>
      <c r="N430" s="3" t="s">
        <v>210</v>
      </c>
      <c r="O430" s="3" t="s">
        <v>42</v>
      </c>
      <c r="P430" s="3" t="s">
        <v>3976</v>
      </c>
      <c r="Q430" s="3" t="s">
        <v>42</v>
      </c>
      <c r="R430" s="17" t="s">
        <v>42</v>
      </c>
      <c r="S430" s="17">
        <v>1</v>
      </c>
      <c r="T430" s="17">
        <v>1</v>
      </c>
      <c r="U430" s="17" t="s">
        <v>42</v>
      </c>
      <c r="V430" s="17" t="s">
        <v>42</v>
      </c>
      <c r="W430" s="5" t="s">
        <v>3977</v>
      </c>
      <c r="X430" s="3" t="s">
        <v>42</v>
      </c>
      <c r="Y430" s="3" t="s">
        <v>42</v>
      </c>
      <c r="Z430" s="3" t="s">
        <v>55</v>
      </c>
      <c r="AA430" s="3" t="s">
        <v>3978</v>
      </c>
      <c r="AB430" s="3" t="s">
        <v>3979</v>
      </c>
      <c r="AC430" s="3" t="s">
        <v>58</v>
      </c>
      <c r="AD430" s="3" t="s">
        <v>42</v>
      </c>
      <c r="AE430" s="5" t="s">
        <v>3980</v>
      </c>
      <c r="AF430" s="3" t="s">
        <v>60</v>
      </c>
      <c r="AG430" s="5" t="s">
        <v>3981</v>
      </c>
      <c r="AH430" s="3" t="s">
        <v>61</v>
      </c>
      <c r="AI430" s="3" t="s">
        <v>61</v>
      </c>
      <c r="AJ430" s="3" t="s">
        <v>42</v>
      </c>
      <c r="AK430" s="3" t="s">
        <v>42</v>
      </c>
      <c r="AL430" s="29">
        <v>45910</v>
      </c>
      <c r="AM430" s="5" t="s">
        <v>42</v>
      </c>
      <c r="AN430" s="9" t="str">
        <f>HYPERLINK("https://my.pitchbook.com?p=224127-73P", "View People Online")</f>
        <v>View People Online</v>
      </c>
    </row>
    <row r="431" spans="1:40" x14ac:dyDescent="0.2">
      <c r="A431" s="2" t="s">
        <v>3982</v>
      </c>
      <c r="B431" s="2" t="s">
        <v>3983</v>
      </c>
      <c r="C431" s="2" t="s">
        <v>42</v>
      </c>
      <c r="D431" s="2" t="s">
        <v>42</v>
      </c>
      <c r="E431" s="2" t="s">
        <v>3982</v>
      </c>
      <c r="F431" s="2" t="s">
        <v>3984</v>
      </c>
      <c r="G431" s="2" t="s">
        <v>3949</v>
      </c>
      <c r="H431" s="2" t="s">
        <v>284</v>
      </c>
      <c r="I431" s="2" t="s">
        <v>46</v>
      </c>
      <c r="J431" s="2" t="s">
        <v>47</v>
      </c>
      <c r="K431" s="2" t="s">
        <v>3985</v>
      </c>
      <c r="L431" s="2" t="s">
        <v>111</v>
      </c>
      <c r="M431" s="8" t="str">
        <f>HYPERLINK("http://www.edu.com.sa", "www.edu.com.sa")</f>
        <v>www.edu.com.sa</v>
      </c>
      <c r="N431" s="2" t="s">
        <v>69</v>
      </c>
      <c r="O431" s="2" t="s">
        <v>42</v>
      </c>
      <c r="P431" s="2" t="s">
        <v>3986</v>
      </c>
      <c r="Q431" s="2" t="s">
        <v>42</v>
      </c>
      <c r="R431" s="16">
        <v>1</v>
      </c>
      <c r="S431" s="16">
        <v>1</v>
      </c>
      <c r="T431" s="16" t="s">
        <v>42</v>
      </c>
      <c r="U431" s="16" t="s">
        <v>42</v>
      </c>
      <c r="V431" s="16" t="s">
        <v>42</v>
      </c>
      <c r="W431" s="4" t="s">
        <v>3987</v>
      </c>
      <c r="X431" s="2" t="s">
        <v>42</v>
      </c>
      <c r="Y431" s="2" t="s">
        <v>42</v>
      </c>
      <c r="Z431" s="2" t="s">
        <v>55</v>
      </c>
      <c r="AA431" s="2" t="s">
        <v>3988</v>
      </c>
      <c r="AB431" s="2" t="s">
        <v>3989</v>
      </c>
      <c r="AC431" s="2" t="s">
        <v>58</v>
      </c>
      <c r="AD431" s="2" t="s">
        <v>42</v>
      </c>
      <c r="AE431" s="4" t="s">
        <v>42</v>
      </c>
      <c r="AF431" s="2" t="s">
        <v>60</v>
      </c>
      <c r="AG431" s="4" t="s">
        <v>42</v>
      </c>
      <c r="AH431" s="2" t="s">
        <v>61</v>
      </c>
      <c r="AI431" s="2" t="s">
        <v>61</v>
      </c>
      <c r="AJ431" s="2" t="s">
        <v>42</v>
      </c>
      <c r="AK431" s="2" t="s">
        <v>42</v>
      </c>
      <c r="AL431" s="28">
        <v>45992</v>
      </c>
      <c r="AM431" s="4" t="s">
        <v>42</v>
      </c>
      <c r="AN431" s="8" t="str">
        <f>HYPERLINK("https://my.pitchbook.com?p=334640-17P", "View People Online")</f>
        <v>View People Online</v>
      </c>
    </row>
    <row r="432" spans="1:40" x14ac:dyDescent="0.2">
      <c r="A432" s="3" t="s">
        <v>3990</v>
      </c>
      <c r="B432" s="3" t="s">
        <v>3991</v>
      </c>
      <c r="C432" s="3" t="s">
        <v>42</v>
      </c>
      <c r="D432" s="3" t="s">
        <v>42</v>
      </c>
      <c r="E432" s="3" t="s">
        <v>3990</v>
      </c>
      <c r="F432" s="3" t="s">
        <v>3697</v>
      </c>
      <c r="G432" s="3" t="s">
        <v>3949</v>
      </c>
      <c r="H432" s="3" t="s">
        <v>3992</v>
      </c>
      <c r="I432" s="3" t="s">
        <v>46</v>
      </c>
      <c r="J432" s="3" t="s">
        <v>47</v>
      </c>
      <c r="K432" s="3" t="s">
        <v>3993</v>
      </c>
      <c r="L432" s="3" t="s">
        <v>111</v>
      </c>
      <c r="M432" s="9" t="str">
        <f>HYPERLINK("http://www.alaseel.com", "www.alaseel.com")</f>
        <v>www.alaseel.com</v>
      </c>
      <c r="N432" s="3" t="s">
        <v>210</v>
      </c>
      <c r="O432" s="3" t="s">
        <v>42</v>
      </c>
      <c r="P432" s="3" t="s">
        <v>3994</v>
      </c>
      <c r="Q432" s="3" t="s">
        <v>42</v>
      </c>
      <c r="R432" s="17" t="s">
        <v>42</v>
      </c>
      <c r="S432" s="17">
        <v>1</v>
      </c>
      <c r="T432" s="17">
        <v>1</v>
      </c>
      <c r="U432" s="17" t="s">
        <v>42</v>
      </c>
      <c r="V432" s="17" t="s">
        <v>42</v>
      </c>
      <c r="W432" s="5" t="s">
        <v>3995</v>
      </c>
      <c r="X432" s="3" t="s">
        <v>3996</v>
      </c>
      <c r="Y432" s="3" t="s">
        <v>42</v>
      </c>
      <c r="Z432" s="3" t="s">
        <v>55</v>
      </c>
      <c r="AA432" s="3" t="s">
        <v>3997</v>
      </c>
      <c r="AB432" s="3" t="s">
        <v>42</v>
      </c>
      <c r="AC432" s="3" t="s">
        <v>58</v>
      </c>
      <c r="AD432" s="3" t="s">
        <v>42</v>
      </c>
      <c r="AE432" s="5" t="s">
        <v>1365</v>
      </c>
      <c r="AF432" s="3" t="s">
        <v>60</v>
      </c>
      <c r="AG432" s="5" t="s">
        <v>3998</v>
      </c>
      <c r="AH432" s="3" t="s">
        <v>61</v>
      </c>
      <c r="AI432" s="3" t="s">
        <v>61</v>
      </c>
      <c r="AJ432" s="3" t="s">
        <v>42</v>
      </c>
      <c r="AK432" s="3" t="s">
        <v>42</v>
      </c>
      <c r="AL432" s="29">
        <v>45924</v>
      </c>
      <c r="AM432" s="5" t="s">
        <v>42</v>
      </c>
      <c r="AN432" s="9" t="str">
        <f>HYPERLINK("https://my.pitchbook.com?p=466321-69P", "View People Online")</f>
        <v>View People Online</v>
      </c>
    </row>
    <row r="433" spans="1:40" x14ac:dyDescent="0.2">
      <c r="A433" s="2" t="s">
        <v>3999</v>
      </c>
      <c r="B433" s="2" t="s">
        <v>4000</v>
      </c>
      <c r="C433" s="2" t="s">
        <v>42</v>
      </c>
      <c r="D433" s="2" t="s">
        <v>42</v>
      </c>
      <c r="E433" s="2" t="s">
        <v>3999</v>
      </c>
      <c r="F433" s="2" t="s">
        <v>356</v>
      </c>
      <c r="G433" s="2" t="s">
        <v>3949</v>
      </c>
      <c r="H433" s="2" t="s">
        <v>4001</v>
      </c>
      <c r="I433" s="2" t="s">
        <v>46</v>
      </c>
      <c r="J433" s="2" t="s">
        <v>47</v>
      </c>
      <c r="K433" s="2" t="s">
        <v>4002</v>
      </c>
      <c r="L433" s="2" t="s">
        <v>111</v>
      </c>
      <c r="M433" s="8" t="str">
        <f>HYPERLINK("http://ipo.janamd.com.sa", "ipo.janamd.com.sa")</f>
        <v>ipo.janamd.com.sa</v>
      </c>
      <c r="N433" s="2" t="s">
        <v>534</v>
      </c>
      <c r="O433" s="2" t="s">
        <v>42</v>
      </c>
      <c r="P433" s="2" t="s">
        <v>4003</v>
      </c>
      <c r="Q433" s="2" t="s">
        <v>42</v>
      </c>
      <c r="R433" s="16" t="s">
        <v>42</v>
      </c>
      <c r="S433" s="16">
        <v>1</v>
      </c>
      <c r="T433" s="16">
        <v>1</v>
      </c>
      <c r="U433" s="16" t="s">
        <v>42</v>
      </c>
      <c r="V433" s="16" t="s">
        <v>42</v>
      </c>
      <c r="W433" s="4" t="s">
        <v>4004</v>
      </c>
      <c r="X433" s="2" t="s">
        <v>42</v>
      </c>
      <c r="Y433" s="2" t="s">
        <v>42</v>
      </c>
      <c r="Z433" s="2" t="s">
        <v>55</v>
      </c>
      <c r="AA433" s="2" t="s">
        <v>4005</v>
      </c>
      <c r="AB433" s="2" t="s">
        <v>42</v>
      </c>
      <c r="AC433" s="2" t="s">
        <v>58</v>
      </c>
      <c r="AD433" s="2" t="s">
        <v>4006</v>
      </c>
      <c r="AE433" s="4" t="s">
        <v>4007</v>
      </c>
      <c r="AF433" s="2" t="s">
        <v>60</v>
      </c>
      <c r="AG433" s="4" t="s">
        <v>4004</v>
      </c>
      <c r="AH433" s="2" t="s">
        <v>61</v>
      </c>
      <c r="AI433" s="2" t="s">
        <v>61</v>
      </c>
      <c r="AJ433" s="2" t="s">
        <v>42</v>
      </c>
      <c r="AK433" s="2" t="s">
        <v>42</v>
      </c>
      <c r="AL433" s="28">
        <v>45863</v>
      </c>
      <c r="AM433" s="4" t="s">
        <v>42</v>
      </c>
      <c r="AN433" s="8" t="str">
        <f>HYPERLINK("https://my.pitchbook.com?p=418119-31P", "View People Online")</f>
        <v>View People Online</v>
      </c>
    </row>
    <row r="434" spans="1:40" x14ac:dyDescent="0.2">
      <c r="A434" s="3" t="s">
        <v>4008</v>
      </c>
      <c r="B434" s="3" t="s">
        <v>4009</v>
      </c>
      <c r="C434" s="3" t="s">
        <v>42</v>
      </c>
      <c r="D434" s="3" t="s">
        <v>42</v>
      </c>
      <c r="E434" s="3" t="s">
        <v>4008</v>
      </c>
      <c r="F434" s="3" t="s">
        <v>4010</v>
      </c>
      <c r="G434" s="3" t="s">
        <v>3949</v>
      </c>
      <c r="H434" s="3" t="s">
        <v>42</v>
      </c>
      <c r="I434" s="3" t="s">
        <v>46</v>
      </c>
      <c r="J434" s="3" t="s">
        <v>47</v>
      </c>
      <c r="K434" s="3" t="s">
        <v>4011</v>
      </c>
      <c r="L434" s="3" t="s">
        <v>111</v>
      </c>
      <c r="M434" s="9" t="str">
        <f>HYPERLINK("http://www.niceonesa.com", "www.niceonesa.com")</f>
        <v>www.niceonesa.com</v>
      </c>
      <c r="N434" s="3" t="s">
        <v>370</v>
      </c>
      <c r="O434" s="3" t="s">
        <v>42</v>
      </c>
      <c r="P434" s="3" t="s">
        <v>4012</v>
      </c>
      <c r="Q434" s="3" t="s">
        <v>42</v>
      </c>
      <c r="R434" s="17" t="s">
        <v>42</v>
      </c>
      <c r="S434" s="17">
        <v>1</v>
      </c>
      <c r="T434" s="17">
        <v>1</v>
      </c>
      <c r="U434" s="17" t="s">
        <v>42</v>
      </c>
      <c r="V434" s="17" t="s">
        <v>42</v>
      </c>
      <c r="W434" s="5" t="s">
        <v>42</v>
      </c>
      <c r="X434" s="3" t="s">
        <v>4013</v>
      </c>
      <c r="Y434" s="3" t="s">
        <v>42</v>
      </c>
      <c r="Z434" s="3" t="s">
        <v>55</v>
      </c>
      <c r="AA434" s="3" t="s">
        <v>4014</v>
      </c>
      <c r="AB434" s="3" t="s">
        <v>4015</v>
      </c>
      <c r="AC434" s="3" t="s">
        <v>58</v>
      </c>
      <c r="AD434" s="3" t="s">
        <v>4016</v>
      </c>
      <c r="AE434" s="5" t="s">
        <v>4017</v>
      </c>
      <c r="AF434" s="3" t="s">
        <v>60</v>
      </c>
      <c r="AG434" s="5" t="s">
        <v>42</v>
      </c>
      <c r="AH434" s="3" t="s">
        <v>61</v>
      </c>
      <c r="AI434" s="3" t="s">
        <v>61</v>
      </c>
      <c r="AJ434" s="3" t="s">
        <v>42</v>
      </c>
      <c r="AK434" s="3" t="s">
        <v>42</v>
      </c>
      <c r="AL434" s="29">
        <v>45621</v>
      </c>
      <c r="AM434" s="5" t="s">
        <v>42</v>
      </c>
      <c r="AN434" s="9" t="str">
        <f>HYPERLINK("https://my.pitchbook.com?p=422348-77P", "View People Online")</f>
        <v>View People Online</v>
      </c>
    </row>
    <row r="435" spans="1:40" x14ac:dyDescent="0.2">
      <c r="A435" s="2" t="s">
        <v>4018</v>
      </c>
      <c r="B435" s="2" t="s">
        <v>4019</v>
      </c>
      <c r="C435" s="2" t="s">
        <v>42</v>
      </c>
      <c r="D435" s="2" t="s">
        <v>42</v>
      </c>
      <c r="E435" s="2" t="s">
        <v>4018</v>
      </c>
      <c r="F435" s="2" t="s">
        <v>4020</v>
      </c>
      <c r="G435" s="2" t="s">
        <v>3949</v>
      </c>
      <c r="H435" s="2" t="s">
        <v>4021</v>
      </c>
      <c r="I435" s="2" t="s">
        <v>46</v>
      </c>
      <c r="J435" s="2" t="s">
        <v>47</v>
      </c>
      <c r="K435" s="2" t="s">
        <v>4022</v>
      </c>
      <c r="L435" s="2" t="s">
        <v>111</v>
      </c>
      <c r="M435" s="8" t="str">
        <f>HYPERLINK("http://www.altwijri.com", "www.altwijri.com")</f>
        <v>www.altwijri.com</v>
      </c>
      <c r="N435" s="2" t="s">
        <v>447</v>
      </c>
      <c r="O435" s="2" t="s">
        <v>42</v>
      </c>
      <c r="P435" s="2" t="s">
        <v>4023</v>
      </c>
      <c r="Q435" s="2" t="s">
        <v>42</v>
      </c>
      <c r="R435" s="16" t="s">
        <v>42</v>
      </c>
      <c r="S435" s="16">
        <v>1</v>
      </c>
      <c r="T435" s="16">
        <v>1</v>
      </c>
      <c r="U435" s="16" t="s">
        <v>42</v>
      </c>
      <c r="V435" s="16" t="s">
        <v>42</v>
      </c>
      <c r="W435" s="4" t="s">
        <v>4024</v>
      </c>
      <c r="X435" s="2" t="s">
        <v>4025</v>
      </c>
      <c r="Y435" s="2" t="s">
        <v>42</v>
      </c>
      <c r="Z435" s="2" t="s">
        <v>55</v>
      </c>
      <c r="AA435" s="2" t="s">
        <v>4026</v>
      </c>
      <c r="AB435" s="2" t="s">
        <v>4027</v>
      </c>
      <c r="AC435" s="2" t="s">
        <v>58</v>
      </c>
      <c r="AD435" s="2" t="s">
        <v>42</v>
      </c>
      <c r="AE435" s="4" t="s">
        <v>42</v>
      </c>
      <c r="AF435" s="2" t="s">
        <v>60</v>
      </c>
      <c r="AG435" s="4" t="s">
        <v>4028</v>
      </c>
      <c r="AH435" s="2" t="s">
        <v>61</v>
      </c>
      <c r="AI435" s="2" t="s">
        <v>61</v>
      </c>
      <c r="AJ435" s="2" t="s">
        <v>42</v>
      </c>
      <c r="AK435" s="2" t="s">
        <v>42</v>
      </c>
      <c r="AL435" s="28">
        <v>45960</v>
      </c>
      <c r="AM435" s="4" t="s">
        <v>42</v>
      </c>
      <c r="AN435" s="8" t="str">
        <f>HYPERLINK("https://my.pitchbook.com?p=350080-93P", "View People Online")</f>
        <v>View People Online</v>
      </c>
    </row>
    <row r="436" spans="1:40" x14ac:dyDescent="0.2">
      <c r="A436" s="3" t="s">
        <v>4029</v>
      </c>
      <c r="B436" s="3" t="s">
        <v>4030</v>
      </c>
      <c r="C436" s="3" t="s">
        <v>42</v>
      </c>
      <c r="D436" s="3" t="s">
        <v>42</v>
      </c>
      <c r="E436" s="3" t="s">
        <v>4029</v>
      </c>
      <c r="F436" s="3" t="s">
        <v>4031</v>
      </c>
      <c r="G436" s="3" t="s">
        <v>811</v>
      </c>
      <c r="H436" s="3" t="s">
        <v>42</v>
      </c>
      <c r="I436" s="3" t="s">
        <v>46</v>
      </c>
      <c r="J436" s="3" t="s">
        <v>47</v>
      </c>
      <c r="K436" s="3" t="s">
        <v>4032</v>
      </c>
      <c r="L436" s="3" t="s">
        <v>111</v>
      </c>
      <c r="M436" s="9" t="str">
        <f>HYPERLINK("http://www.sabic.com", "www.sabic.com")</f>
        <v>www.sabic.com</v>
      </c>
      <c r="N436" s="3" t="s">
        <v>246</v>
      </c>
      <c r="O436" s="3" t="s">
        <v>42</v>
      </c>
      <c r="P436" s="3" t="s">
        <v>4033</v>
      </c>
      <c r="Q436" s="3" t="s">
        <v>4034</v>
      </c>
      <c r="R436" s="17">
        <v>1</v>
      </c>
      <c r="S436" s="17">
        <v>1</v>
      </c>
      <c r="T436" s="17">
        <v>1</v>
      </c>
      <c r="U436" s="17" t="s">
        <v>42</v>
      </c>
      <c r="V436" s="17" t="s">
        <v>42</v>
      </c>
      <c r="W436" s="5" t="s">
        <v>188</v>
      </c>
      <c r="X436" s="3" t="s">
        <v>4035</v>
      </c>
      <c r="Y436" s="9" t="str">
        <f>HYPERLINK("http://linkedin.com/in/khalid-aldabbagh-b0b463234/", "http://linkedin.com/in/khalid-aldabbagh-b0b463234/")</f>
        <v>http://linkedin.com/in/khalid-aldabbagh-b0b463234/</v>
      </c>
      <c r="Z436" s="3" t="s">
        <v>55</v>
      </c>
      <c r="AA436" s="3" t="s">
        <v>189</v>
      </c>
      <c r="AB436" s="3" t="s">
        <v>42</v>
      </c>
      <c r="AC436" s="3" t="s">
        <v>58</v>
      </c>
      <c r="AD436" s="3" t="s">
        <v>42</v>
      </c>
      <c r="AE436" s="5" t="s">
        <v>190</v>
      </c>
      <c r="AF436" s="3" t="s">
        <v>60</v>
      </c>
      <c r="AG436" s="5" t="s">
        <v>191</v>
      </c>
      <c r="AH436" s="3" t="s">
        <v>61</v>
      </c>
      <c r="AI436" s="3" t="s">
        <v>61</v>
      </c>
      <c r="AJ436" s="3" t="s">
        <v>42</v>
      </c>
      <c r="AK436" s="3" t="s">
        <v>42</v>
      </c>
      <c r="AL436" s="29">
        <v>45770</v>
      </c>
      <c r="AM436" s="5" t="s">
        <v>42</v>
      </c>
      <c r="AN436" s="9" t="str">
        <f>HYPERLINK("https://my.pitchbook.com?p=233240-68P", "View People Online")</f>
        <v>View People Online</v>
      </c>
    </row>
    <row r="437" spans="1:40" x14ac:dyDescent="0.2">
      <c r="A437" s="2" t="s">
        <v>4036</v>
      </c>
      <c r="B437" s="2" t="s">
        <v>4037</v>
      </c>
      <c r="C437" s="2" t="s">
        <v>42</v>
      </c>
      <c r="D437" s="2" t="s">
        <v>42</v>
      </c>
      <c r="E437" s="2" t="s">
        <v>4036</v>
      </c>
      <c r="F437" s="2" t="s">
        <v>4038</v>
      </c>
      <c r="G437" s="2" t="s">
        <v>811</v>
      </c>
      <c r="H437" s="2" t="s">
        <v>42</v>
      </c>
      <c r="I437" s="2" t="s">
        <v>46</v>
      </c>
      <c r="J437" s="2" t="s">
        <v>47</v>
      </c>
      <c r="K437" s="2" t="s">
        <v>4039</v>
      </c>
      <c r="L437" s="2" t="s">
        <v>111</v>
      </c>
      <c r="M437" s="8" t="str">
        <f>HYPERLINK("http://www.alujain.sa", "www.alujain.sa")</f>
        <v>www.alujain.sa</v>
      </c>
      <c r="N437" s="2" t="s">
        <v>210</v>
      </c>
      <c r="O437" s="2" t="s">
        <v>42</v>
      </c>
      <c r="P437" s="2" t="s">
        <v>4040</v>
      </c>
      <c r="Q437" s="2" t="s">
        <v>42</v>
      </c>
      <c r="R437" s="16" t="s">
        <v>42</v>
      </c>
      <c r="S437" s="16">
        <v>1</v>
      </c>
      <c r="T437" s="16">
        <v>1</v>
      </c>
      <c r="U437" s="16" t="s">
        <v>42</v>
      </c>
      <c r="V437" s="16" t="s">
        <v>42</v>
      </c>
      <c r="W437" s="4" t="s">
        <v>4041</v>
      </c>
      <c r="X437" s="2" t="s">
        <v>4042</v>
      </c>
      <c r="Y437" s="8" t="str">
        <f>HYPERLINK("http://linkedin.com/in/khalid-al-dawood-58561943", "http://linkedin.com/in/khalid-al-dawood-58561943")</f>
        <v>http://linkedin.com/in/khalid-al-dawood-58561943</v>
      </c>
      <c r="Z437" s="2" t="s">
        <v>55</v>
      </c>
      <c r="AA437" s="2" t="s">
        <v>4043</v>
      </c>
      <c r="AB437" s="2" t="s">
        <v>3752</v>
      </c>
      <c r="AC437" s="2" t="s">
        <v>58</v>
      </c>
      <c r="AD437" s="2" t="s">
        <v>42</v>
      </c>
      <c r="AE437" s="4" t="s">
        <v>4044</v>
      </c>
      <c r="AF437" s="2" t="s">
        <v>60</v>
      </c>
      <c r="AG437" s="4" t="s">
        <v>4045</v>
      </c>
      <c r="AH437" s="2" t="s">
        <v>61</v>
      </c>
      <c r="AI437" s="2" t="s">
        <v>61</v>
      </c>
      <c r="AJ437" s="2" t="s">
        <v>42</v>
      </c>
      <c r="AK437" s="2" t="s">
        <v>42</v>
      </c>
      <c r="AL437" s="28">
        <v>46052</v>
      </c>
      <c r="AM437" s="4" t="s">
        <v>42</v>
      </c>
      <c r="AN437" s="8" t="str">
        <f>HYPERLINK("https://my.pitchbook.com?p=287417-08P", "View People Online")</f>
        <v>View People Online</v>
      </c>
    </row>
    <row r="438" spans="1:40" x14ac:dyDescent="0.2">
      <c r="A438" s="3" t="s">
        <v>4046</v>
      </c>
      <c r="B438" s="3" t="s">
        <v>4047</v>
      </c>
      <c r="C438" s="3" t="s">
        <v>42</v>
      </c>
      <c r="D438" s="3" t="s">
        <v>42</v>
      </c>
      <c r="E438" s="3" t="s">
        <v>4046</v>
      </c>
      <c r="F438" s="3" t="s">
        <v>4048</v>
      </c>
      <c r="G438" s="3" t="s">
        <v>811</v>
      </c>
      <c r="H438" s="3" t="s">
        <v>42</v>
      </c>
      <c r="I438" s="3" t="s">
        <v>196</v>
      </c>
      <c r="J438" s="3" t="s">
        <v>42</v>
      </c>
      <c r="K438" s="3" t="s">
        <v>4049</v>
      </c>
      <c r="L438" s="3" t="s">
        <v>111</v>
      </c>
      <c r="M438" s="9" t="str">
        <f>HYPERLINK("http://twareat.com", "twareat.com")</f>
        <v>twareat.com</v>
      </c>
      <c r="N438" s="3" t="s">
        <v>447</v>
      </c>
      <c r="O438" s="3" t="s">
        <v>42</v>
      </c>
      <c r="P438" s="3" t="s">
        <v>4050</v>
      </c>
      <c r="Q438" s="3" t="s">
        <v>42</v>
      </c>
      <c r="R438" s="17" t="s">
        <v>42</v>
      </c>
      <c r="S438" s="17">
        <v>1</v>
      </c>
      <c r="T438" s="17">
        <v>1</v>
      </c>
      <c r="U438" s="17" t="s">
        <v>42</v>
      </c>
      <c r="V438" s="17" t="s">
        <v>42</v>
      </c>
      <c r="W438" s="5" t="s">
        <v>4051</v>
      </c>
      <c r="X438" s="3" t="s">
        <v>4052</v>
      </c>
      <c r="Y438" s="9" t="str">
        <f>HYPERLINK("http://linkedin.com/in/khalid-al-hamdan-md-faaem-555868127", "http://linkedin.com/in/khalid-al-hamdan-md-faaem-555868127")</f>
        <v>http://linkedin.com/in/khalid-al-hamdan-md-faaem-555868127</v>
      </c>
      <c r="Z438" s="3" t="s">
        <v>595</v>
      </c>
      <c r="AA438" s="3" t="s">
        <v>4053</v>
      </c>
      <c r="AB438" s="3" t="s">
        <v>4054</v>
      </c>
      <c r="AC438" s="3" t="s">
        <v>598</v>
      </c>
      <c r="AD438" s="3" t="s">
        <v>42</v>
      </c>
      <c r="AE438" s="5" t="s">
        <v>4055</v>
      </c>
      <c r="AF438" s="3" t="s">
        <v>60</v>
      </c>
      <c r="AG438" s="5" t="s">
        <v>42</v>
      </c>
      <c r="AH438" s="3" t="s">
        <v>61</v>
      </c>
      <c r="AI438" s="3" t="s">
        <v>61</v>
      </c>
      <c r="AJ438" s="3" t="s">
        <v>42</v>
      </c>
      <c r="AK438" s="3" t="s">
        <v>42</v>
      </c>
      <c r="AL438" s="29">
        <v>45926</v>
      </c>
      <c r="AM438" s="5" t="s">
        <v>42</v>
      </c>
      <c r="AN438" s="9" t="str">
        <f>HYPERLINK("https://my.pitchbook.com?p=426699-37P", "View People Online")</f>
        <v>View People Online</v>
      </c>
    </row>
    <row r="439" spans="1:40" x14ac:dyDescent="0.2">
      <c r="A439" s="2" t="s">
        <v>4056</v>
      </c>
      <c r="B439" s="2" t="s">
        <v>4057</v>
      </c>
      <c r="C439" s="2" t="s">
        <v>42</v>
      </c>
      <c r="D439" s="2" t="s">
        <v>42</v>
      </c>
      <c r="E439" s="2" t="s">
        <v>4056</v>
      </c>
      <c r="F439" s="2" t="s">
        <v>244</v>
      </c>
      <c r="G439" s="2" t="s">
        <v>811</v>
      </c>
      <c r="H439" s="2" t="s">
        <v>4058</v>
      </c>
      <c r="I439" s="2" t="s">
        <v>42</v>
      </c>
      <c r="J439" s="2" t="s">
        <v>47</v>
      </c>
      <c r="K439" s="2" t="s">
        <v>935</v>
      </c>
      <c r="L439" s="2" t="s">
        <v>111</v>
      </c>
      <c r="M439" s="8" t="str">
        <f>HYPERLINK("http://www.saudiags.com", "www.saudiags.com")</f>
        <v>www.saudiags.com</v>
      </c>
      <c r="N439" s="2" t="s">
        <v>69</v>
      </c>
      <c r="O439" s="2" t="s">
        <v>42</v>
      </c>
      <c r="P439" s="2" t="s">
        <v>4059</v>
      </c>
      <c r="Q439" s="2" t="s">
        <v>42</v>
      </c>
      <c r="R439" s="16">
        <v>1</v>
      </c>
      <c r="S439" s="16">
        <v>1</v>
      </c>
      <c r="T439" s="16" t="s">
        <v>42</v>
      </c>
      <c r="U439" s="16" t="s">
        <v>42</v>
      </c>
      <c r="V439" s="16" t="s">
        <v>42</v>
      </c>
      <c r="W439" s="4" t="s">
        <v>937</v>
      </c>
      <c r="X439" s="2" t="s">
        <v>4060</v>
      </c>
      <c r="Y439" s="2" t="s">
        <v>42</v>
      </c>
      <c r="Z439" s="2" t="s">
        <v>174</v>
      </c>
      <c r="AA439" s="2" t="s">
        <v>939</v>
      </c>
      <c r="AB439" s="2" t="s">
        <v>940</v>
      </c>
      <c r="AC439" s="2" t="s">
        <v>176</v>
      </c>
      <c r="AD439" s="2" t="s">
        <v>42</v>
      </c>
      <c r="AE439" s="4" t="s">
        <v>433</v>
      </c>
      <c r="AF439" s="2" t="s">
        <v>60</v>
      </c>
      <c r="AG439" s="4" t="s">
        <v>941</v>
      </c>
      <c r="AH439" s="2" t="s">
        <v>61</v>
      </c>
      <c r="AI439" s="2" t="s">
        <v>61</v>
      </c>
      <c r="AJ439" s="2" t="s">
        <v>42</v>
      </c>
      <c r="AK439" s="2" t="s">
        <v>42</v>
      </c>
      <c r="AL439" s="28">
        <v>45804</v>
      </c>
      <c r="AM439" s="4" t="s">
        <v>42</v>
      </c>
      <c r="AN439" s="8" t="str">
        <f>HYPERLINK("https://my.pitchbook.com?p=300627-19P", "View People Online")</f>
        <v>View People Online</v>
      </c>
    </row>
    <row r="440" spans="1:40" x14ac:dyDescent="0.2">
      <c r="A440" s="3" t="s">
        <v>4061</v>
      </c>
      <c r="B440" s="3" t="s">
        <v>4062</v>
      </c>
      <c r="C440" s="3" t="s">
        <v>42</v>
      </c>
      <c r="D440" s="3" t="s">
        <v>42</v>
      </c>
      <c r="E440" s="3" t="s">
        <v>4061</v>
      </c>
      <c r="F440" s="3" t="s">
        <v>967</v>
      </c>
      <c r="G440" s="3" t="s">
        <v>811</v>
      </c>
      <c r="H440" s="3" t="s">
        <v>4063</v>
      </c>
      <c r="I440" s="3" t="s">
        <v>46</v>
      </c>
      <c r="J440" s="3" t="s">
        <v>47</v>
      </c>
      <c r="K440" s="3" t="s">
        <v>1340</v>
      </c>
      <c r="L440" s="3" t="s">
        <v>111</v>
      </c>
      <c r="M440" s="9" t="str">
        <f>HYPERLINK("http://www.se.com.sa", "www.se.com.sa")</f>
        <v>www.se.com.sa</v>
      </c>
      <c r="N440" s="3" t="s">
        <v>210</v>
      </c>
      <c r="O440" s="3" t="s">
        <v>42</v>
      </c>
      <c r="P440" s="3" t="s">
        <v>4064</v>
      </c>
      <c r="Q440" s="3" t="s">
        <v>4065</v>
      </c>
      <c r="R440" s="17" t="s">
        <v>42</v>
      </c>
      <c r="S440" s="17">
        <v>1</v>
      </c>
      <c r="T440" s="17">
        <v>1</v>
      </c>
      <c r="U440" s="17" t="s">
        <v>42</v>
      </c>
      <c r="V440" s="17" t="s">
        <v>42</v>
      </c>
      <c r="W440" s="5" t="s">
        <v>1344</v>
      </c>
      <c r="X440" s="3" t="s">
        <v>4066</v>
      </c>
      <c r="Y440" s="9" t="str">
        <f>HYPERLINK("http://linkedin.com/in/khalid-s-al-ghamdi-mis-16247a21/?originalsubdomain=sa", "http://linkedin.com/in/khalid-s-al-ghamdi-mis-16247a21/?originalsubdomain=sa")</f>
        <v>http://linkedin.com/in/khalid-s-al-ghamdi-mis-16247a21/?originalsubdomain=sa</v>
      </c>
      <c r="Z440" s="3" t="s">
        <v>55</v>
      </c>
      <c r="AA440" s="3" t="s">
        <v>1346</v>
      </c>
      <c r="AB440" s="3" t="s">
        <v>1347</v>
      </c>
      <c r="AC440" s="3" t="s">
        <v>58</v>
      </c>
      <c r="AD440" s="3" t="s">
        <v>42</v>
      </c>
      <c r="AE440" s="5" t="s">
        <v>279</v>
      </c>
      <c r="AF440" s="3" t="s">
        <v>60</v>
      </c>
      <c r="AG440" s="5" t="s">
        <v>1348</v>
      </c>
      <c r="AH440" s="3" t="s">
        <v>61</v>
      </c>
      <c r="AI440" s="3" t="s">
        <v>61</v>
      </c>
      <c r="AJ440" s="3" t="s">
        <v>42</v>
      </c>
      <c r="AK440" s="3" t="s">
        <v>42</v>
      </c>
      <c r="AL440" s="29">
        <v>45939</v>
      </c>
      <c r="AM440" s="5">
        <v>1978</v>
      </c>
      <c r="AN440" s="9" t="str">
        <f>HYPERLINK("https://my.pitchbook.com?p=414726-94P", "View People Online")</f>
        <v>View People Online</v>
      </c>
    </row>
    <row r="441" spans="1:40" x14ac:dyDescent="0.2">
      <c r="A441" s="2" t="s">
        <v>4067</v>
      </c>
      <c r="B441" s="2" t="s">
        <v>4068</v>
      </c>
      <c r="C441" s="2" t="s">
        <v>42</v>
      </c>
      <c r="D441" s="2" t="s">
        <v>42</v>
      </c>
      <c r="E441" s="2" t="s">
        <v>4067</v>
      </c>
      <c r="F441" s="2" t="s">
        <v>4069</v>
      </c>
      <c r="G441" s="2" t="s">
        <v>811</v>
      </c>
      <c r="H441" s="2" t="s">
        <v>4070</v>
      </c>
      <c r="I441" s="2" t="s">
        <v>46</v>
      </c>
      <c r="J441" s="2" t="s">
        <v>47</v>
      </c>
      <c r="K441" s="2" t="s">
        <v>3772</v>
      </c>
      <c r="L441" s="2" t="s">
        <v>111</v>
      </c>
      <c r="M441" s="8" t="str">
        <f>HYPERLINK("http://www.mc4.com.sa", "www.mc4.com.sa")</f>
        <v>www.mc4.com.sa</v>
      </c>
      <c r="N441" s="2" t="s">
        <v>210</v>
      </c>
      <c r="O441" s="2" t="s">
        <v>42</v>
      </c>
      <c r="P441" s="2" t="s">
        <v>4071</v>
      </c>
      <c r="Q441" s="2" t="s">
        <v>42</v>
      </c>
      <c r="R441" s="16" t="s">
        <v>42</v>
      </c>
      <c r="S441" s="16">
        <v>1</v>
      </c>
      <c r="T441" s="16">
        <v>1</v>
      </c>
      <c r="U441" s="16" t="s">
        <v>42</v>
      </c>
      <c r="V441" s="16" t="s">
        <v>42</v>
      </c>
      <c r="W441" s="4" t="s">
        <v>3775</v>
      </c>
      <c r="X441" s="2" t="s">
        <v>4072</v>
      </c>
      <c r="Y441" s="8" t="str">
        <f>HYPERLINK("http://linkedin.com/in/khalid-almaktary/", "http://linkedin.com/in/khalid-almaktary/")</f>
        <v>http://linkedin.com/in/khalid-almaktary/</v>
      </c>
      <c r="Z441" s="2" t="s">
        <v>383</v>
      </c>
      <c r="AA441" s="2" t="s">
        <v>3776</v>
      </c>
      <c r="AB441" s="2" t="s">
        <v>42</v>
      </c>
      <c r="AC441" s="2" t="s">
        <v>385</v>
      </c>
      <c r="AD441" s="2" t="s">
        <v>42</v>
      </c>
      <c r="AE441" s="4" t="s">
        <v>3777</v>
      </c>
      <c r="AF441" s="2" t="s">
        <v>60</v>
      </c>
      <c r="AG441" s="4" t="s">
        <v>3778</v>
      </c>
      <c r="AH441" s="2" t="s">
        <v>61</v>
      </c>
      <c r="AI441" s="2" t="s">
        <v>61</v>
      </c>
      <c r="AJ441" s="2" t="s">
        <v>42</v>
      </c>
      <c r="AK441" s="2" t="s">
        <v>42</v>
      </c>
      <c r="AL441" s="28">
        <v>45933</v>
      </c>
      <c r="AM441" s="4" t="s">
        <v>42</v>
      </c>
      <c r="AN441" s="8" t="str">
        <f>HYPERLINK("https://my.pitchbook.com?p=467685-28P", "View People Online")</f>
        <v>View People Online</v>
      </c>
    </row>
    <row r="442" spans="1:40" x14ac:dyDescent="0.2">
      <c r="A442" s="3" t="s">
        <v>4073</v>
      </c>
      <c r="B442" s="3" t="s">
        <v>4074</v>
      </c>
      <c r="C442" s="3" t="s">
        <v>42</v>
      </c>
      <c r="D442" s="3" t="s">
        <v>42</v>
      </c>
      <c r="E442" s="3" t="s">
        <v>4073</v>
      </c>
      <c r="F442" s="3" t="s">
        <v>4075</v>
      </c>
      <c r="G442" s="3" t="s">
        <v>811</v>
      </c>
      <c r="H442" s="3" t="s">
        <v>4076</v>
      </c>
      <c r="I442" s="3" t="s">
        <v>46</v>
      </c>
      <c r="J442" s="3" t="s">
        <v>47</v>
      </c>
      <c r="K442" s="3" t="s">
        <v>4077</v>
      </c>
      <c r="L442" s="3" t="s">
        <v>111</v>
      </c>
      <c r="M442" s="9" t="str">
        <f>HYPERLINK("http://www.albattalchem.com", "www.albattalchem.com")</f>
        <v>www.albattalchem.com</v>
      </c>
      <c r="N442" s="3" t="s">
        <v>447</v>
      </c>
      <c r="O442" s="3" t="s">
        <v>42</v>
      </c>
      <c r="P442" s="3" t="s">
        <v>4078</v>
      </c>
      <c r="Q442" s="3" t="s">
        <v>42</v>
      </c>
      <c r="R442" s="17" t="s">
        <v>42</v>
      </c>
      <c r="S442" s="17">
        <v>1</v>
      </c>
      <c r="T442" s="17">
        <v>1</v>
      </c>
      <c r="U442" s="17" t="s">
        <v>42</v>
      </c>
      <c r="V442" s="17" t="s">
        <v>42</v>
      </c>
      <c r="W442" s="5" t="s">
        <v>4079</v>
      </c>
      <c r="X442" s="3" t="s">
        <v>42</v>
      </c>
      <c r="Y442" s="3" t="s">
        <v>42</v>
      </c>
      <c r="Z442" s="3" t="s">
        <v>383</v>
      </c>
      <c r="AA442" s="3" t="s">
        <v>4080</v>
      </c>
      <c r="AB442" s="3" t="s">
        <v>42</v>
      </c>
      <c r="AC442" s="3" t="s">
        <v>385</v>
      </c>
      <c r="AD442" s="3" t="s">
        <v>42</v>
      </c>
      <c r="AE442" s="5" t="s">
        <v>42</v>
      </c>
      <c r="AF442" s="3" t="s">
        <v>60</v>
      </c>
      <c r="AG442" s="5" t="s">
        <v>42</v>
      </c>
      <c r="AH442" s="3" t="s">
        <v>61</v>
      </c>
      <c r="AI442" s="3" t="s">
        <v>61</v>
      </c>
      <c r="AJ442" s="3" t="s">
        <v>42</v>
      </c>
      <c r="AK442" s="3" t="s">
        <v>42</v>
      </c>
      <c r="AL442" s="29">
        <v>45637</v>
      </c>
      <c r="AM442" s="5" t="s">
        <v>42</v>
      </c>
      <c r="AN442" s="9" t="str">
        <f>HYPERLINK("https://my.pitchbook.com?p=424361-98P", "View People Online")</f>
        <v>View People Online</v>
      </c>
    </row>
    <row r="443" spans="1:40" x14ac:dyDescent="0.2">
      <c r="A443" s="2" t="s">
        <v>4081</v>
      </c>
      <c r="B443" s="2" t="s">
        <v>4082</v>
      </c>
      <c r="C443" s="2" t="s">
        <v>42</v>
      </c>
      <c r="D443" s="2" t="s">
        <v>42</v>
      </c>
      <c r="E443" s="2" t="s">
        <v>4081</v>
      </c>
      <c r="F443" s="2" t="s">
        <v>4083</v>
      </c>
      <c r="G443" s="2" t="s">
        <v>811</v>
      </c>
      <c r="H443" s="2" t="s">
        <v>42</v>
      </c>
      <c r="I443" s="2" t="s">
        <v>46</v>
      </c>
      <c r="J443" s="2" t="s">
        <v>47</v>
      </c>
      <c r="K443" s="2" t="s">
        <v>4084</v>
      </c>
      <c r="L443" s="2" t="s">
        <v>111</v>
      </c>
      <c r="M443" s="8" t="str">
        <f>HYPERLINK("http://www.kuzama.co", "www.kuzama.co")</f>
        <v>www.kuzama.co</v>
      </c>
      <c r="N443" s="2" t="s">
        <v>246</v>
      </c>
      <c r="O443" s="2" t="s">
        <v>42</v>
      </c>
      <c r="P443" s="2" t="s">
        <v>4085</v>
      </c>
      <c r="Q443" s="2" t="s">
        <v>128</v>
      </c>
      <c r="R443" s="16">
        <v>1</v>
      </c>
      <c r="S443" s="16">
        <v>1</v>
      </c>
      <c r="T443" s="16">
        <v>1</v>
      </c>
      <c r="U443" s="16" t="s">
        <v>42</v>
      </c>
      <c r="V443" s="16" t="s">
        <v>42</v>
      </c>
      <c r="W443" s="4" t="s">
        <v>4086</v>
      </c>
      <c r="X443" s="2" t="s">
        <v>42</v>
      </c>
      <c r="Y443" s="8" t="str">
        <f>HYPERLINK("http://sa.linkedin.com/in/khalid-alhaqbani-5a15662a", "http://sa.linkedin.com/in/khalid-alhaqbani-5a15662a")</f>
        <v>http://sa.linkedin.com/in/khalid-alhaqbani-5a15662a</v>
      </c>
      <c r="Z443" s="2" t="s">
        <v>55</v>
      </c>
      <c r="AA443" s="2" t="s">
        <v>4087</v>
      </c>
      <c r="AB443" s="2" t="s">
        <v>4088</v>
      </c>
      <c r="AC443" s="2" t="s">
        <v>58</v>
      </c>
      <c r="AD443" s="2" t="s">
        <v>42</v>
      </c>
      <c r="AE443" s="4" t="s">
        <v>2124</v>
      </c>
      <c r="AF443" s="2" t="s">
        <v>60</v>
      </c>
      <c r="AG443" s="4" t="s">
        <v>42</v>
      </c>
      <c r="AH443" s="2" t="s">
        <v>61</v>
      </c>
      <c r="AI443" s="2" t="s">
        <v>61</v>
      </c>
      <c r="AJ443" s="2" t="s">
        <v>42</v>
      </c>
      <c r="AK443" s="2" t="s">
        <v>42</v>
      </c>
      <c r="AL443" s="28">
        <v>45978</v>
      </c>
      <c r="AM443" s="4" t="s">
        <v>42</v>
      </c>
      <c r="AN443" s="8" t="str">
        <f>HYPERLINK("https://my.pitchbook.com?p=473939-74P", "View People Online")</f>
        <v>View People Online</v>
      </c>
    </row>
    <row r="444" spans="1:40" x14ac:dyDescent="0.2">
      <c r="A444" s="3" t="s">
        <v>4089</v>
      </c>
      <c r="B444" s="3" t="s">
        <v>4090</v>
      </c>
      <c r="C444" s="3" t="s">
        <v>42</v>
      </c>
      <c r="D444" s="3" t="s">
        <v>42</v>
      </c>
      <c r="E444" s="3" t="s">
        <v>4089</v>
      </c>
      <c r="F444" s="3" t="s">
        <v>4091</v>
      </c>
      <c r="G444" s="3" t="s">
        <v>811</v>
      </c>
      <c r="H444" s="3" t="s">
        <v>65</v>
      </c>
      <c r="I444" s="3" t="s">
        <v>46</v>
      </c>
      <c r="J444" s="3" t="s">
        <v>47</v>
      </c>
      <c r="K444" s="3" t="s">
        <v>652</v>
      </c>
      <c r="L444" s="3" t="s">
        <v>111</v>
      </c>
      <c r="M444" s="9" t="str">
        <f>HYPERLINK("http://www.gig.sa", "www.gig.sa")</f>
        <v>www.gig.sa</v>
      </c>
      <c r="N444" s="3" t="s">
        <v>210</v>
      </c>
      <c r="O444" s="3" t="s">
        <v>42</v>
      </c>
      <c r="P444" s="3" t="s">
        <v>4092</v>
      </c>
      <c r="Q444" s="3" t="s">
        <v>42</v>
      </c>
      <c r="R444" s="17" t="s">
        <v>42</v>
      </c>
      <c r="S444" s="17">
        <v>1</v>
      </c>
      <c r="T444" s="17">
        <v>1</v>
      </c>
      <c r="U444" s="17" t="s">
        <v>42</v>
      </c>
      <c r="V444" s="17" t="s">
        <v>42</v>
      </c>
      <c r="W444" s="5" t="s">
        <v>42</v>
      </c>
      <c r="X444" s="3" t="s">
        <v>4093</v>
      </c>
      <c r="Y444" s="3" t="s">
        <v>42</v>
      </c>
      <c r="Z444" s="3" t="s">
        <v>55</v>
      </c>
      <c r="AA444" s="3" t="s">
        <v>656</v>
      </c>
      <c r="AB444" s="3" t="s">
        <v>657</v>
      </c>
      <c r="AC444" s="3" t="s">
        <v>58</v>
      </c>
      <c r="AD444" s="3" t="s">
        <v>42</v>
      </c>
      <c r="AE444" s="5" t="s">
        <v>658</v>
      </c>
      <c r="AF444" s="3" t="s">
        <v>60</v>
      </c>
      <c r="AG444" s="5" t="s">
        <v>42</v>
      </c>
      <c r="AH444" s="3" t="s">
        <v>61</v>
      </c>
      <c r="AI444" s="3" t="s">
        <v>61</v>
      </c>
      <c r="AJ444" s="3" t="s">
        <v>42</v>
      </c>
      <c r="AK444" s="3" t="s">
        <v>42</v>
      </c>
      <c r="AL444" s="29">
        <v>45495</v>
      </c>
      <c r="AM444" s="5" t="s">
        <v>42</v>
      </c>
      <c r="AN444" s="9" t="str">
        <f>HYPERLINK("https://my.pitchbook.com?p=288505-81P", "View People Online")</f>
        <v>View People Online</v>
      </c>
    </row>
    <row r="445" spans="1:40" x14ac:dyDescent="0.2">
      <c r="A445" s="2" t="s">
        <v>4094</v>
      </c>
      <c r="B445" s="2" t="s">
        <v>4095</v>
      </c>
      <c r="C445" s="2" t="s">
        <v>42</v>
      </c>
      <c r="D445" s="2" t="s">
        <v>42</v>
      </c>
      <c r="E445" s="2" t="s">
        <v>4094</v>
      </c>
      <c r="F445" s="2" t="s">
        <v>4096</v>
      </c>
      <c r="G445" s="2" t="s">
        <v>4097</v>
      </c>
      <c r="H445" s="2" t="s">
        <v>42</v>
      </c>
      <c r="I445" s="2" t="s">
        <v>46</v>
      </c>
      <c r="J445" s="2" t="s">
        <v>47</v>
      </c>
      <c r="K445" s="2" t="s">
        <v>2660</v>
      </c>
      <c r="L445" s="2" t="s">
        <v>111</v>
      </c>
      <c r="M445" s="8" t="str">
        <f>HYPERLINK("http://www.saudicable.com", "www.saudicable.com")</f>
        <v>www.saudicable.com</v>
      </c>
      <c r="N445" s="2" t="s">
        <v>447</v>
      </c>
      <c r="O445" s="2" t="s">
        <v>42</v>
      </c>
      <c r="P445" s="2" t="s">
        <v>4098</v>
      </c>
      <c r="Q445" s="2" t="s">
        <v>42</v>
      </c>
      <c r="R445" s="16" t="s">
        <v>42</v>
      </c>
      <c r="S445" s="16">
        <v>1</v>
      </c>
      <c r="T445" s="16">
        <v>1</v>
      </c>
      <c r="U445" s="16" t="s">
        <v>42</v>
      </c>
      <c r="V445" s="16" t="s">
        <v>42</v>
      </c>
      <c r="W445" s="4" t="s">
        <v>2662</v>
      </c>
      <c r="X445" s="2" t="s">
        <v>42</v>
      </c>
      <c r="Y445" s="2" t="s">
        <v>42</v>
      </c>
      <c r="Z445" s="2" t="s">
        <v>174</v>
      </c>
      <c r="AA445" s="2" t="s">
        <v>2663</v>
      </c>
      <c r="AB445" s="2" t="s">
        <v>2664</v>
      </c>
      <c r="AC445" s="2" t="s">
        <v>176</v>
      </c>
      <c r="AD445" s="2" t="s">
        <v>42</v>
      </c>
      <c r="AE445" s="4" t="s">
        <v>1681</v>
      </c>
      <c r="AF445" s="2" t="s">
        <v>60</v>
      </c>
      <c r="AG445" s="4" t="s">
        <v>2665</v>
      </c>
      <c r="AH445" s="2" t="s">
        <v>61</v>
      </c>
      <c r="AI445" s="2" t="s">
        <v>61</v>
      </c>
      <c r="AJ445" s="2" t="s">
        <v>42</v>
      </c>
      <c r="AK445" s="2" t="s">
        <v>42</v>
      </c>
      <c r="AL445" s="28">
        <v>45864</v>
      </c>
      <c r="AM445" s="4" t="s">
        <v>42</v>
      </c>
      <c r="AN445" s="8" t="str">
        <f>HYPERLINK("https://my.pitchbook.com?p=408527-83P", "View People Online")</f>
        <v>View People Online</v>
      </c>
    </row>
    <row r="446" spans="1:40" x14ac:dyDescent="0.2">
      <c r="A446" s="3" t="s">
        <v>4099</v>
      </c>
      <c r="B446" s="3" t="s">
        <v>4100</v>
      </c>
      <c r="C446" s="3" t="s">
        <v>42</v>
      </c>
      <c r="D446" s="3" t="s">
        <v>42</v>
      </c>
      <c r="E446" s="3" t="s">
        <v>4099</v>
      </c>
      <c r="F446" s="3" t="s">
        <v>4101</v>
      </c>
      <c r="G446" s="3" t="s">
        <v>4102</v>
      </c>
      <c r="H446" s="3" t="s">
        <v>4103</v>
      </c>
      <c r="I446" s="3" t="s">
        <v>46</v>
      </c>
      <c r="J446" s="3" t="s">
        <v>47</v>
      </c>
      <c r="K446" s="3" t="s">
        <v>3034</v>
      </c>
      <c r="L446" s="3" t="s">
        <v>111</v>
      </c>
      <c r="M446" s="9" t="str">
        <f>HYPERLINK("http://www.fadeco.com", "www.fadeco.com")</f>
        <v>www.fadeco.com</v>
      </c>
      <c r="N446" s="3" t="s">
        <v>246</v>
      </c>
      <c r="O446" s="3" t="s">
        <v>42</v>
      </c>
      <c r="P446" s="3" t="s">
        <v>4104</v>
      </c>
      <c r="Q446" s="3" t="s">
        <v>42</v>
      </c>
      <c r="R446" s="17">
        <v>1</v>
      </c>
      <c r="S446" s="17">
        <v>1</v>
      </c>
      <c r="T446" s="17" t="s">
        <v>42</v>
      </c>
      <c r="U446" s="17" t="s">
        <v>42</v>
      </c>
      <c r="V446" s="17" t="s">
        <v>42</v>
      </c>
      <c r="W446" s="5" t="s">
        <v>3036</v>
      </c>
      <c r="X446" s="3" t="s">
        <v>42</v>
      </c>
      <c r="Y446" s="3" t="s">
        <v>42</v>
      </c>
      <c r="Z446" s="3" t="s">
        <v>383</v>
      </c>
      <c r="AA446" s="3" t="s">
        <v>3038</v>
      </c>
      <c r="AB446" s="3" t="s">
        <v>42</v>
      </c>
      <c r="AC446" s="3" t="s">
        <v>385</v>
      </c>
      <c r="AD446" s="3" t="s">
        <v>42</v>
      </c>
      <c r="AE446" s="5" t="s">
        <v>3039</v>
      </c>
      <c r="AF446" s="3" t="s">
        <v>60</v>
      </c>
      <c r="AG446" s="5" t="s">
        <v>3040</v>
      </c>
      <c r="AH446" s="3" t="s">
        <v>61</v>
      </c>
      <c r="AI446" s="3" t="s">
        <v>61</v>
      </c>
      <c r="AJ446" s="3" t="s">
        <v>42</v>
      </c>
      <c r="AK446" s="3" t="s">
        <v>42</v>
      </c>
      <c r="AL446" s="29">
        <v>45638</v>
      </c>
      <c r="AM446" s="5" t="s">
        <v>42</v>
      </c>
      <c r="AN446" s="9" t="str">
        <f>HYPERLINK("https://my.pitchbook.com?p=316720-63P", "View People Online")</f>
        <v>View People Online</v>
      </c>
    </row>
    <row r="447" spans="1:40" x14ac:dyDescent="0.2">
      <c r="A447" s="2" t="s">
        <v>4105</v>
      </c>
      <c r="B447" s="2" t="s">
        <v>4106</v>
      </c>
      <c r="C447" s="2" t="s">
        <v>42</v>
      </c>
      <c r="D447" s="2" t="s">
        <v>42</v>
      </c>
      <c r="E447" s="2" t="s">
        <v>4105</v>
      </c>
      <c r="F447" s="2" t="s">
        <v>4107</v>
      </c>
      <c r="G447" s="2" t="s">
        <v>811</v>
      </c>
      <c r="H447" s="2" t="s">
        <v>42</v>
      </c>
      <c r="I447" s="2" t="s">
        <v>46</v>
      </c>
      <c r="J447" s="2" t="s">
        <v>47</v>
      </c>
      <c r="K447" s="2" t="s">
        <v>1099</v>
      </c>
      <c r="L447" s="2" t="s">
        <v>111</v>
      </c>
      <c r="M447" s="8" t="str">
        <f>HYPERLINK("http://www.sisco.com.sa", "www.sisco.com.sa")</f>
        <v>www.sisco.com.sa</v>
      </c>
      <c r="N447" s="2" t="s">
        <v>210</v>
      </c>
      <c r="O447" s="2" t="s">
        <v>42</v>
      </c>
      <c r="P447" s="2" t="s">
        <v>4108</v>
      </c>
      <c r="Q447" s="2" t="s">
        <v>42</v>
      </c>
      <c r="R447" s="16" t="s">
        <v>42</v>
      </c>
      <c r="S447" s="16">
        <v>1</v>
      </c>
      <c r="T447" s="16">
        <v>1</v>
      </c>
      <c r="U447" s="16" t="s">
        <v>42</v>
      </c>
      <c r="V447" s="16" t="s">
        <v>42</v>
      </c>
      <c r="W447" s="4" t="s">
        <v>1101</v>
      </c>
      <c r="X447" s="2" t="s">
        <v>42</v>
      </c>
      <c r="Y447" s="2" t="s">
        <v>42</v>
      </c>
      <c r="Z447" s="2" t="s">
        <v>174</v>
      </c>
      <c r="AA447" s="2" t="s">
        <v>1103</v>
      </c>
      <c r="AB447" s="2" t="s">
        <v>1104</v>
      </c>
      <c r="AC447" s="2" t="s">
        <v>176</v>
      </c>
      <c r="AD447" s="2" t="s">
        <v>42</v>
      </c>
      <c r="AE447" s="4" t="s">
        <v>1105</v>
      </c>
      <c r="AF447" s="2" t="s">
        <v>60</v>
      </c>
      <c r="AG447" s="4" t="s">
        <v>42</v>
      </c>
      <c r="AH447" s="2" t="s">
        <v>61</v>
      </c>
      <c r="AI447" s="2" t="s">
        <v>61</v>
      </c>
      <c r="AJ447" s="2" t="s">
        <v>42</v>
      </c>
      <c r="AK447" s="2" t="s">
        <v>42</v>
      </c>
      <c r="AL447" s="28">
        <v>45992</v>
      </c>
      <c r="AM447" s="4" t="s">
        <v>42</v>
      </c>
      <c r="AN447" s="8" t="str">
        <f>HYPERLINK("https://my.pitchbook.com?p=322893-64P", "View People Online")</f>
        <v>View People Online</v>
      </c>
    </row>
    <row r="448" spans="1:40" x14ac:dyDescent="0.2">
      <c r="A448" s="3" t="s">
        <v>4109</v>
      </c>
      <c r="B448" s="3" t="s">
        <v>4110</v>
      </c>
      <c r="C448" s="3" t="s">
        <v>42</v>
      </c>
      <c r="D448" s="3" t="s">
        <v>42</v>
      </c>
      <c r="E448" s="3" t="s">
        <v>4109</v>
      </c>
      <c r="F448" s="3" t="s">
        <v>4111</v>
      </c>
      <c r="G448" s="3" t="s">
        <v>4112</v>
      </c>
      <c r="H448" s="3" t="s">
        <v>42</v>
      </c>
      <c r="I448" s="3" t="s">
        <v>46</v>
      </c>
      <c r="J448" s="3" t="s">
        <v>47</v>
      </c>
      <c r="K448" s="3" t="s">
        <v>3108</v>
      </c>
      <c r="L448" s="3" t="s">
        <v>111</v>
      </c>
      <c r="M448" s="9" t="str">
        <f>HYPERLINK("http://advancedpetrochem.com", "advancedpetrochem.com")</f>
        <v>advancedpetrochem.com</v>
      </c>
      <c r="N448" s="3" t="s">
        <v>246</v>
      </c>
      <c r="O448" s="3" t="s">
        <v>42</v>
      </c>
      <c r="P448" s="3" t="s">
        <v>4113</v>
      </c>
      <c r="Q448" s="3" t="s">
        <v>4114</v>
      </c>
      <c r="R448" s="17">
        <v>1</v>
      </c>
      <c r="S448" s="17">
        <v>1</v>
      </c>
      <c r="T448" s="17" t="s">
        <v>42</v>
      </c>
      <c r="U448" s="17" t="s">
        <v>42</v>
      </c>
      <c r="V448" s="17" t="s">
        <v>42</v>
      </c>
      <c r="W448" s="5" t="s">
        <v>3110</v>
      </c>
      <c r="X448" s="3" t="s">
        <v>42</v>
      </c>
      <c r="Y448" s="3" t="s">
        <v>42</v>
      </c>
      <c r="Z448" s="3" t="s">
        <v>396</v>
      </c>
      <c r="AA448" s="3" t="s">
        <v>3112</v>
      </c>
      <c r="AB448" s="3" t="s">
        <v>42</v>
      </c>
      <c r="AC448" s="3" t="s">
        <v>398</v>
      </c>
      <c r="AD448" s="3" t="s">
        <v>42</v>
      </c>
      <c r="AE448" s="5" t="s">
        <v>399</v>
      </c>
      <c r="AF448" s="3" t="s">
        <v>60</v>
      </c>
      <c r="AG448" s="5" t="s">
        <v>3113</v>
      </c>
      <c r="AH448" s="3" t="s">
        <v>61</v>
      </c>
      <c r="AI448" s="3" t="s">
        <v>61</v>
      </c>
      <c r="AJ448" s="3" t="s">
        <v>42</v>
      </c>
      <c r="AK448" s="3" t="s">
        <v>42</v>
      </c>
      <c r="AL448" s="29">
        <v>45807</v>
      </c>
      <c r="AM448" s="5" t="s">
        <v>42</v>
      </c>
      <c r="AN448" s="9" t="str">
        <f>HYPERLINK("https://my.pitchbook.com?p=116332-39P", "View People Online")</f>
        <v>View People Online</v>
      </c>
    </row>
    <row r="449" spans="1:40" x14ac:dyDescent="0.2">
      <c r="A449" s="2" t="s">
        <v>4115</v>
      </c>
      <c r="B449" s="2" t="s">
        <v>4116</v>
      </c>
      <c r="C449" s="2" t="s">
        <v>42</v>
      </c>
      <c r="D449" s="2" t="s">
        <v>42</v>
      </c>
      <c r="E449" s="2" t="s">
        <v>4115</v>
      </c>
      <c r="F449" s="2" t="s">
        <v>4117</v>
      </c>
      <c r="G449" s="2" t="s">
        <v>4118</v>
      </c>
      <c r="H449" s="2" t="s">
        <v>4119</v>
      </c>
      <c r="I449" s="2" t="s">
        <v>46</v>
      </c>
      <c r="J449" s="2" t="s">
        <v>47</v>
      </c>
      <c r="K449" s="2" t="s">
        <v>3275</v>
      </c>
      <c r="L449" s="2" t="s">
        <v>111</v>
      </c>
      <c r="M449" s="8" t="str">
        <f>HYPERLINK("http://www.raydan.com.sa", "www.raydan.com.sa")</f>
        <v>www.raydan.com.sa</v>
      </c>
      <c r="N449" s="2" t="s">
        <v>210</v>
      </c>
      <c r="O449" s="2" t="s">
        <v>42</v>
      </c>
      <c r="P449" s="2" t="s">
        <v>4120</v>
      </c>
      <c r="Q449" s="2" t="s">
        <v>42</v>
      </c>
      <c r="R449" s="16" t="s">
        <v>42</v>
      </c>
      <c r="S449" s="16">
        <v>1</v>
      </c>
      <c r="T449" s="16">
        <v>1</v>
      </c>
      <c r="U449" s="16" t="s">
        <v>42</v>
      </c>
      <c r="V449" s="16" t="s">
        <v>42</v>
      </c>
      <c r="W449" s="4" t="s">
        <v>3277</v>
      </c>
      <c r="X449" s="2" t="s">
        <v>4121</v>
      </c>
      <c r="Y449" s="2" t="s">
        <v>42</v>
      </c>
      <c r="Z449" s="2" t="s">
        <v>174</v>
      </c>
      <c r="AA449" s="2" t="s">
        <v>3279</v>
      </c>
      <c r="AB449" s="2" t="s">
        <v>3280</v>
      </c>
      <c r="AC449" s="2" t="s">
        <v>176</v>
      </c>
      <c r="AD449" s="2" t="s">
        <v>42</v>
      </c>
      <c r="AE449" s="4" t="s">
        <v>3281</v>
      </c>
      <c r="AF449" s="2" t="s">
        <v>60</v>
      </c>
      <c r="AG449" s="4" t="s">
        <v>3282</v>
      </c>
      <c r="AH449" s="2" t="s">
        <v>61</v>
      </c>
      <c r="AI449" s="2" t="s">
        <v>61</v>
      </c>
      <c r="AJ449" s="2" t="s">
        <v>42</v>
      </c>
      <c r="AK449" s="2" t="s">
        <v>42</v>
      </c>
      <c r="AL449" s="28">
        <v>45674</v>
      </c>
      <c r="AM449" s="4" t="s">
        <v>42</v>
      </c>
      <c r="AN449" s="8" t="str">
        <f>HYPERLINK("https://my.pitchbook.com?p=429539-95P", "View People Online")</f>
        <v>View People Online</v>
      </c>
    </row>
    <row r="450" spans="1:40" x14ac:dyDescent="0.2">
      <c r="A450" s="3" t="s">
        <v>4122</v>
      </c>
      <c r="B450" s="3" t="s">
        <v>4123</v>
      </c>
      <c r="C450" s="3" t="s">
        <v>42</v>
      </c>
      <c r="D450" s="3" t="s">
        <v>42</v>
      </c>
      <c r="E450" s="3" t="s">
        <v>4122</v>
      </c>
      <c r="F450" s="3" t="s">
        <v>4124</v>
      </c>
      <c r="G450" s="3" t="s">
        <v>4125</v>
      </c>
      <c r="H450" s="3" t="s">
        <v>42</v>
      </c>
      <c r="I450" s="3" t="s">
        <v>46</v>
      </c>
      <c r="J450" s="3" t="s">
        <v>47</v>
      </c>
      <c r="K450" s="3" t="s">
        <v>899</v>
      </c>
      <c r="L450" s="3" t="s">
        <v>111</v>
      </c>
      <c r="M450" s="9" t="str">
        <f>HYPERLINK("http://www.amwaj-trd.com", "www.amwaj-trd.com")</f>
        <v>www.amwaj-trd.com</v>
      </c>
      <c r="N450" s="3" t="s">
        <v>210</v>
      </c>
      <c r="O450" s="3" t="s">
        <v>42</v>
      </c>
      <c r="P450" s="3" t="s">
        <v>4126</v>
      </c>
      <c r="Q450" s="3" t="s">
        <v>42</v>
      </c>
      <c r="R450" s="17" t="s">
        <v>42</v>
      </c>
      <c r="S450" s="17">
        <v>1</v>
      </c>
      <c r="T450" s="17">
        <v>1</v>
      </c>
      <c r="U450" s="17" t="s">
        <v>42</v>
      </c>
      <c r="V450" s="17" t="s">
        <v>42</v>
      </c>
      <c r="W450" s="5" t="s">
        <v>902</v>
      </c>
      <c r="X450" s="3" t="s">
        <v>4127</v>
      </c>
      <c r="Y450" s="3" t="s">
        <v>42</v>
      </c>
      <c r="Z450" s="3" t="s">
        <v>55</v>
      </c>
      <c r="AA450" s="3" t="s">
        <v>904</v>
      </c>
      <c r="AB450" s="3" t="s">
        <v>905</v>
      </c>
      <c r="AC450" s="3" t="s">
        <v>58</v>
      </c>
      <c r="AD450" s="3" t="s">
        <v>42</v>
      </c>
      <c r="AE450" s="5" t="s">
        <v>618</v>
      </c>
      <c r="AF450" s="3" t="s">
        <v>60</v>
      </c>
      <c r="AG450" s="5" t="s">
        <v>906</v>
      </c>
      <c r="AH450" s="3" t="s">
        <v>61</v>
      </c>
      <c r="AI450" s="3" t="s">
        <v>61</v>
      </c>
      <c r="AJ450" s="3" t="s">
        <v>42</v>
      </c>
      <c r="AK450" s="3" t="s">
        <v>42</v>
      </c>
      <c r="AL450" s="29">
        <v>45973</v>
      </c>
      <c r="AM450" s="5" t="s">
        <v>42</v>
      </c>
      <c r="AN450" s="9" t="str">
        <f>HYPERLINK("https://my.pitchbook.com?p=473377-06P", "View People Online")</f>
        <v>View People Online</v>
      </c>
    </row>
    <row r="451" spans="1:40" x14ac:dyDescent="0.2">
      <c r="A451" s="2" t="s">
        <v>4128</v>
      </c>
      <c r="B451" s="2" t="s">
        <v>4129</v>
      </c>
      <c r="C451" s="2" t="s">
        <v>42</v>
      </c>
      <c r="D451" s="2" t="s">
        <v>42</v>
      </c>
      <c r="E451" s="2" t="s">
        <v>4128</v>
      </c>
      <c r="F451" s="2" t="s">
        <v>4130</v>
      </c>
      <c r="G451" s="2" t="s">
        <v>4131</v>
      </c>
      <c r="H451" s="2" t="s">
        <v>167</v>
      </c>
      <c r="I451" s="2" t="s">
        <v>799</v>
      </c>
      <c r="J451" s="2" t="s">
        <v>800</v>
      </c>
      <c r="K451" s="2" t="s">
        <v>1068</v>
      </c>
      <c r="L451" s="2" t="s">
        <v>111</v>
      </c>
      <c r="M451" s="8" t="str">
        <f>HYPERLINK("http://www.sab.com", "www.sab.com")</f>
        <v>www.sab.com</v>
      </c>
      <c r="N451" s="2" t="s">
        <v>534</v>
      </c>
      <c r="O451" s="2" t="s">
        <v>42</v>
      </c>
      <c r="P451" s="2" t="s">
        <v>4132</v>
      </c>
      <c r="Q451" s="2" t="s">
        <v>3319</v>
      </c>
      <c r="R451" s="16" t="s">
        <v>42</v>
      </c>
      <c r="S451" s="16">
        <v>1</v>
      </c>
      <c r="T451" s="16">
        <v>1</v>
      </c>
      <c r="U451" s="16" t="s">
        <v>42</v>
      </c>
      <c r="V451" s="16" t="s">
        <v>42</v>
      </c>
      <c r="W451" s="4" t="s">
        <v>42</v>
      </c>
      <c r="X451" s="2" t="s">
        <v>4133</v>
      </c>
      <c r="Y451" s="8" t="str">
        <f>HYPERLINK("http://sa.linkedin.com/in/lama-ghazzaoui-cpa-98b17417", "http://sa.linkedin.com/in/lama-ghazzaoui-cpa-98b17417")</f>
        <v>http://sa.linkedin.com/in/lama-ghazzaoui-cpa-98b17417</v>
      </c>
      <c r="Z451" s="2" t="s">
        <v>55</v>
      </c>
      <c r="AA451" s="2" t="s">
        <v>1071</v>
      </c>
      <c r="AB451" s="2" t="s">
        <v>1072</v>
      </c>
      <c r="AC451" s="2" t="s">
        <v>58</v>
      </c>
      <c r="AD451" s="2" t="s">
        <v>42</v>
      </c>
      <c r="AE451" s="4" t="s">
        <v>1073</v>
      </c>
      <c r="AF451" s="2" t="s">
        <v>60</v>
      </c>
      <c r="AG451" s="4" t="s">
        <v>1074</v>
      </c>
      <c r="AH451" s="2" t="s">
        <v>61</v>
      </c>
      <c r="AI451" s="2" t="s">
        <v>61</v>
      </c>
      <c r="AJ451" s="2" t="s">
        <v>42</v>
      </c>
      <c r="AK451" s="2" t="s">
        <v>42</v>
      </c>
      <c r="AL451" s="28">
        <v>45708</v>
      </c>
      <c r="AM451" s="4" t="s">
        <v>42</v>
      </c>
      <c r="AN451" s="8" t="str">
        <f>HYPERLINK("https://my.pitchbook.com?p=84315-61P", "View People Online")</f>
        <v>View People Online</v>
      </c>
    </row>
    <row r="452" spans="1:40" x14ac:dyDescent="0.2">
      <c r="A452" s="3" t="s">
        <v>4134</v>
      </c>
      <c r="B452" s="3" t="s">
        <v>4135</v>
      </c>
      <c r="C452" s="3" t="s">
        <v>42</v>
      </c>
      <c r="D452" s="3" t="s">
        <v>42</v>
      </c>
      <c r="E452" s="3" t="s">
        <v>4134</v>
      </c>
      <c r="F452" s="3" t="s">
        <v>4136</v>
      </c>
      <c r="G452" s="3" t="s">
        <v>4137</v>
      </c>
      <c r="H452" s="3" t="s">
        <v>42</v>
      </c>
      <c r="I452" s="3" t="s">
        <v>46</v>
      </c>
      <c r="J452" s="3" t="s">
        <v>47</v>
      </c>
      <c r="K452" s="3" t="s">
        <v>2108</v>
      </c>
      <c r="L452" s="3" t="s">
        <v>111</v>
      </c>
      <c r="M452" s="9" t="str">
        <f>HYPERLINK("http://www.view.sa", "www.view.sa")</f>
        <v>www.view.sa</v>
      </c>
      <c r="N452" s="3" t="s">
        <v>210</v>
      </c>
      <c r="O452" s="3" t="s">
        <v>42</v>
      </c>
      <c r="P452" s="3" t="s">
        <v>4138</v>
      </c>
      <c r="Q452" s="3" t="s">
        <v>42</v>
      </c>
      <c r="R452" s="17" t="s">
        <v>42</v>
      </c>
      <c r="S452" s="17">
        <v>1</v>
      </c>
      <c r="T452" s="17">
        <v>1</v>
      </c>
      <c r="U452" s="17" t="s">
        <v>42</v>
      </c>
      <c r="V452" s="17" t="s">
        <v>42</v>
      </c>
      <c r="W452" s="5" t="s">
        <v>2112</v>
      </c>
      <c r="X452" s="3" t="s">
        <v>42</v>
      </c>
      <c r="Y452" s="3" t="s">
        <v>42</v>
      </c>
      <c r="Z452" s="3" t="s">
        <v>55</v>
      </c>
      <c r="AA452" s="3" t="s">
        <v>2113</v>
      </c>
      <c r="AB452" s="3" t="s">
        <v>2114</v>
      </c>
      <c r="AC452" s="3" t="s">
        <v>58</v>
      </c>
      <c r="AD452" s="3" t="s">
        <v>42</v>
      </c>
      <c r="AE452" s="5" t="s">
        <v>2115</v>
      </c>
      <c r="AF452" s="3" t="s">
        <v>60</v>
      </c>
      <c r="AG452" s="5" t="s">
        <v>2112</v>
      </c>
      <c r="AH452" s="3" t="s">
        <v>61</v>
      </c>
      <c r="AI452" s="3" t="s">
        <v>61</v>
      </c>
      <c r="AJ452" s="3" t="s">
        <v>42</v>
      </c>
      <c r="AK452" s="3" t="s">
        <v>42</v>
      </c>
      <c r="AL452" s="29">
        <v>45505</v>
      </c>
      <c r="AM452" s="5" t="s">
        <v>42</v>
      </c>
      <c r="AN452" s="9" t="str">
        <f>HYPERLINK("https://my.pitchbook.com?p=371834-92P", "View People Online")</f>
        <v>View People Online</v>
      </c>
    </row>
    <row r="453" spans="1:40" x14ac:dyDescent="0.2">
      <c r="A453" s="2" t="s">
        <v>4139</v>
      </c>
      <c r="B453" s="2" t="s">
        <v>4140</v>
      </c>
      <c r="C453" s="2" t="s">
        <v>42</v>
      </c>
      <c r="D453" s="2" t="s">
        <v>42</v>
      </c>
      <c r="E453" s="2" t="s">
        <v>4139</v>
      </c>
      <c r="F453" s="2" t="s">
        <v>4141</v>
      </c>
      <c r="G453" s="2" t="s">
        <v>4142</v>
      </c>
      <c r="H453" s="2" t="s">
        <v>4143</v>
      </c>
      <c r="I453" s="2" t="s">
        <v>46</v>
      </c>
      <c r="J453" s="2" t="s">
        <v>47</v>
      </c>
      <c r="K453" s="2" t="s">
        <v>4144</v>
      </c>
      <c r="L453" s="2" t="s">
        <v>111</v>
      </c>
      <c r="M453" s="8" t="str">
        <f>HYPERLINK("http://www.gasco.com.sa", "www.gasco.com.sa")</f>
        <v>www.gasco.com.sa</v>
      </c>
      <c r="N453" s="2" t="s">
        <v>4145</v>
      </c>
      <c r="O453" s="2" t="s">
        <v>42</v>
      </c>
      <c r="P453" s="2" t="s">
        <v>4146</v>
      </c>
      <c r="Q453" s="2" t="s">
        <v>42</v>
      </c>
      <c r="R453" s="16">
        <v>1</v>
      </c>
      <c r="S453" s="16">
        <v>1</v>
      </c>
      <c r="T453" s="16">
        <v>1</v>
      </c>
      <c r="U453" s="16" t="s">
        <v>42</v>
      </c>
      <c r="V453" s="16" t="s">
        <v>42</v>
      </c>
      <c r="W453" s="4" t="s">
        <v>4147</v>
      </c>
      <c r="X453" s="2" t="s">
        <v>4148</v>
      </c>
      <c r="Y453" s="2" t="s">
        <v>42</v>
      </c>
      <c r="Z453" s="2" t="s">
        <v>55</v>
      </c>
      <c r="AA453" s="2" t="s">
        <v>4149</v>
      </c>
      <c r="AB453" s="2" t="s">
        <v>4150</v>
      </c>
      <c r="AC453" s="2" t="s">
        <v>58</v>
      </c>
      <c r="AD453" s="2" t="s">
        <v>42</v>
      </c>
      <c r="AE453" s="4" t="s">
        <v>658</v>
      </c>
      <c r="AF453" s="2" t="s">
        <v>60</v>
      </c>
      <c r="AG453" s="4" t="s">
        <v>4151</v>
      </c>
      <c r="AH453" s="2" t="s">
        <v>61</v>
      </c>
      <c r="AI453" s="2" t="s">
        <v>61</v>
      </c>
      <c r="AJ453" s="2" t="s">
        <v>42</v>
      </c>
      <c r="AK453" s="2" t="s">
        <v>42</v>
      </c>
      <c r="AL453" s="28">
        <v>45857</v>
      </c>
      <c r="AM453" s="4" t="s">
        <v>42</v>
      </c>
      <c r="AN453" s="8" t="str">
        <f>HYPERLINK("https://my.pitchbook.com?p=363420-46P", "View People Online")</f>
        <v>View People Online</v>
      </c>
    </row>
    <row r="454" spans="1:40" x14ac:dyDescent="0.2">
      <c r="A454" s="3" t="s">
        <v>4152</v>
      </c>
      <c r="B454" s="3" t="s">
        <v>4153</v>
      </c>
      <c r="C454" s="3" t="s">
        <v>42</v>
      </c>
      <c r="D454" s="3" t="s">
        <v>42</v>
      </c>
      <c r="E454" s="3" t="s">
        <v>4152</v>
      </c>
      <c r="F454" s="3" t="s">
        <v>4154</v>
      </c>
      <c r="G454" s="3" t="s">
        <v>4155</v>
      </c>
      <c r="H454" s="3" t="s">
        <v>42</v>
      </c>
      <c r="I454" s="3" t="s">
        <v>46</v>
      </c>
      <c r="J454" s="3" t="s">
        <v>47</v>
      </c>
      <c r="K454" s="3" t="s">
        <v>2097</v>
      </c>
      <c r="L454" s="3" t="s">
        <v>111</v>
      </c>
      <c r="M454" s="9" t="str">
        <f>HYPERLINK("http://saudigermanhealth.com", "saudigermanhealth.com")</f>
        <v>saudigermanhealth.com</v>
      </c>
      <c r="N454" s="3" t="s">
        <v>534</v>
      </c>
      <c r="O454" s="3" t="s">
        <v>42</v>
      </c>
      <c r="P454" s="3" t="s">
        <v>4156</v>
      </c>
      <c r="Q454" s="3" t="s">
        <v>4157</v>
      </c>
      <c r="R454" s="17" t="s">
        <v>42</v>
      </c>
      <c r="S454" s="17">
        <v>1</v>
      </c>
      <c r="T454" s="17">
        <v>1</v>
      </c>
      <c r="U454" s="17" t="s">
        <v>42</v>
      </c>
      <c r="V454" s="17" t="s">
        <v>42</v>
      </c>
      <c r="W454" s="5" t="s">
        <v>2099</v>
      </c>
      <c r="X454" s="3" t="s">
        <v>4158</v>
      </c>
      <c r="Y454" s="9" t="str">
        <f>HYPERLINK("http://linkedin.com/in/madani-hozaien/", "http://linkedin.com/in/madani-hozaien/")</f>
        <v>http://linkedin.com/in/madani-hozaien/</v>
      </c>
      <c r="Z454" s="3" t="s">
        <v>174</v>
      </c>
      <c r="AA454" s="3" t="s">
        <v>2101</v>
      </c>
      <c r="AB454" s="3" t="s">
        <v>2102</v>
      </c>
      <c r="AC454" s="3" t="s">
        <v>176</v>
      </c>
      <c r="AD454" s="3" t="s">
        <v>42</v>
      </c>
      <c r="AE454" s="5" t="s">
        <v>2103</v>
      </c>
      <c r="AF454" s="3" t="s">
        <v>60</v>
      </c>
      <c r="AG454" s="5" t="s">
        <v>42</v>
      </c>
      <c r="AH454" s="3" t="s">
        <v>61</v>
      </c>
      <c r="AI454" s="3" t="s">
        <v>61</v>
      </c>
      <c r="AJ454" s="3" t="s">
        <v>42</v>
      </c>
      <c r="AK454" s="3" t="s">
        <v>42</v>
      </c>
      <c r="AL454" s="29">
        <v>45776</v>
      </c>
      <c r="AM454" s="5" t="s">
        <v>42</v>
      </c>
      <c r="AN454" s="9" t="str">
        <f>HYPERLINK("https://my.pitchbook.com?p=198017-65P", "View People Online")</f>
        <v>View People Online</v>
      </c>
    </row>
    <row r="455" spans="1:40" x14ac:dyDescent="0.2">
      <c r="A455" s="2" t="s">
        <v>4159</v>
      </c>
      <c r="B455" s="2" t="s">
        <v>4153</v>
      </c>
      <c r="C455" s="2" t="s">
        <v>42</v>
      </c>
      <c r="D455" s="2" t="s">
        <v>42</v>
      </c>
      <c r="E455" s="2" t="s">
        <v>4159</v>
      </c>
      <c r="F455" s="2" t="s">
        <v>4154</v>
      </c>
      <c r="G455" s="2" t="s">
        <v>4155</v>
      </c>
      <c r="H455" s="2" t="s">
        <v>4160</v>
      </c>
      <c r="I455" s="2" t="s">
        <v>46</v>
      </c>
      <c r="J455" s="2" t="s">
        <v>47</v>
      </c>
      <c r="K455" s="2" t="s">
        <v>2097</v>
      </c>
      <c r="L455" s="2" t="s">
        <v>111</v>
      </c>
      <c r="M455" s="8" t="str">
        <f>HYPERLINK("http://saudigermanhealth.com", "saudigermanhealth.com")</f>
        <v>saudigermanhealth.com</v>
      </c>
      <c r="N455" s="2" t="s">
        <v>534</v>
      </c>
      <c r="O455" s="2" t="s">
        <v>42</v>
      </c>
      <c r="P455" s="2" t="s">
        <v>4161</v>
      </c>
      <c r="Q455" s="2" t="s">
        <v>4162</v>
      </c>
      <c r="R455" s="16" t="s">
        <v>42</v>
      </c>
      <c r="S455" s="16">
        <v>1</v>
      </c>
      <c r="T455" s="16">
        <v>1</v>
      </c>
      <c r="U455" s="16" t="s">
        <v>42</v>
      </c>
      <c r="V455" s="16" t="s">
        <v>42</v>
      </c>
      <c r="W455" s="4" t="s">
        <v>2099</v>
      </c>
      <c r="X455" s="2" t="s">
        <v>4163</v>
      </c>
      <c r="Y455" s="2" t="s">
        <v>42</v>
      </c>
      <c r="Z455" s="2" t="s">
        <v>174</v>
      </c>
      <c r="AA455" s="2" t="s">
        <v>2101</v>
      </c>
      <c r="AB455" s="2" t="s">
        <v>2102</v>
      </c>
      <c r="AC455" s="2" t="s">
        <v>176</v>
      </c>
      <c r="AD455" s="2" t="s">
        <v>42</v>
      </c>
      <c r="AE455" s="4" t="s">
        <v>2103</v>
      </c>
      <c r="AF455" s="2" t="s">
        <v>60</v>
      </c>
      <c r="AG455" s="4" t="s">
        <v>42</v>
      </c>
      <c r="AH455" s="2" t="s">
        <v>61</v>
      </c>
      <c r="AI455" s="2" t="s">
        <v>61</v>
      </c>
      <c r="AJ455" s="2" t="s">
        <v>42</v>
      </c>
      <c r="AK455" s="2" t="s">
        <v>42</v>
      </c>
      <c r="AL455" s="28">
        <v>45691</v>
      </c>
      <c r="AM455" s="4" t="s">
        <v>42</v>
      </c>
      <c r="AN455" s="8" t="str">
        <f>HYPERLINK("https://my.pitchbook.com?p=330266-71P", "View People Online")</f>
        <v>View People Online</v>
      </c>
    </row>
    <row r="456" spans="1:40" x14ac:dyDescent="0.2">
      <c r="A456" s="3" t="s">
        <v>4164</v>
      </c>
      <c r="B456" s="3" t="s">
        <v>4165</v>
      </c>
      <c r="C456" s="3" t="s">
        <v>42</v>
      </c>
      <c r="D456" s="3" t="s">
        <v>42</v>
      </c>
      <c r="E456" s="3" t="s">
        <v>4164</v>
      </c>
      <c r="F456" s="3" t="s">
        <v>4166</v>
      </c>
      <c r="G456" s="3" t="s">
        <v>4167</v>
      </c>
      <c r="H456" s="3" t="s">
        <v>3564</v>
      </c>
      <c r="I456" s="3" t="s">
        <v>46</v>
      </c>
      <c r="J456" s="3" t="s">
        <v>47</v>
      </c>
      <c r="K456" s="3" t="s">
        <v>4168</v>
      </c>
      <c r="L456" s="3" t="s">
        <v>111</v>
      </c>
      <c r="M456" s="9" t="str">
        <f>HYPERLINK("http://farm.com.sa", "farm.com.sa")</f>
        <v>farm.com.sa</v>
      </c>
      <c r="N456" s="3" t="s">
        <v>210</v>
      </c>
      <c r="O456" s="3" t="s">
        <v>42</v>
      </c>
      <c r="P456" s="3" t="s">
        <v>4169</v>
      </c>
      <c r="Q456" s="3" t="s">
        <v>42</v>
      </c>
      <c r="R456" s="17" t="s">
        <v>42</v>
      </c>
      <c r="S456" s="17">
        <v>1</v>
      </c>
      <c r="T456" s="17">
        <v>1</v>
      </c>
      <c r="U456" s="17" t="s">
        <v>42</v>
      </c>
      <c r="V456" s="17" t="s">
        <v>42</v>
      </c>
      <c r="W456" s="5" t="s">
        <v>4170</v>
      </c>
      <c r="X456" s="3" t="s">
        <v>4171</v>
      </c>
      <c r="Y456" s="3" t="s">
        <v>42</v>
      </c>
      <c r="Z456" s="3" t="s">
        <v>383</v>
      </c>
      <c r="AA456" s="3" t="s">
        <v>4172</v>
      </c>
      <c r="AB456" s="3" t="s">
        <v>42</v>
      </c>
      <c r="AC456" s="3" t="s">
        <v>385</v>
      </c>
      <c r="AD456" s="3" t="s">
        <v>42</v>
      </c>
      <c r="AE456" s="5" t="s">
        <v>3083</v>
      </c>
      <c r="AF456" s="3" t="s">
        <v>60</v>
      </c>
      <c r="AG456" s="5" t="s">
        <v>4173</v>
      </c>
      <c r="AH456" s="3" t="s">
        <v>61</v>
      </c>
      <c r="AI456" s="3" t="s">
        <v>61</v>
      </c>
      <c r="AJ456" s="3" t="s">
        <v>42</v>
      </c>
      <c r="AK456" s="3" t="s">
        <v>42</v>
      </c>
      <c r="AL456" s="29">
        <v>45743</v>
      </c>
      <c r="AM456" s="5" t="s">
        <v>42</v>
      </c>
      <c r="AN456" s="9" t="str">
        <f>HYPERLINK("https://my.pitchbook.com?p=340794-73P", "View People Online")</f>
        <v>View People Online</v>
      </c>
    </row>
    <row r="457" spans="1:40" x14ac:dyDescent="0.2">
      <c r="A457" s="2" t="s">
        <v>4174</v>
      </c>
      <c r="B457" s="2" t="s">
        <v>4175</v>
      </c>
      <c r="C457" s="2" t="s">
        <v>42</v>
      </c>
      <c r="D457" s="2" t="s">
        <v>42</v>
      </c>
      <c r="E457" s="2" t="s">
        <v>4174</v>
      </c>
      <c r="F457" s="2" t="s">
        <v>4176</v>
      </c>
      <c r="G457" s="2" t="s">
        <v>4167</v>
      </c>
      <c r="H457" s="2" t="s">
        <v>4177</v>
      </c>
      <c r="I457" s="2" t="s">
        <v>46</v>
      </c>
      <c r="J457" s="2" t="s">
        <v>47</v>
      </c>
      <c r="K457" s="2" t="s">
        <v>2973</v>
      </c>
      <c r="L457" s="2" t="s">
        <v>111</v>
      </c>
      <c r="M457" s="8" t="str">
        <f>HYPERLINK("http://www.2p.com.sa", "www.2p.com.sa")</f>
        <v>www.2p.com.sa</v>
      </c>
      <c r="N457" s="2" t="s">
        <v>534</v>
      </c>
      <c r="O457" s="2" t="s">
        <v>42</v>
      </c>
      <c r="P457" s="2" t="s">
        <v>4178</v>
      </c>
      <c r="Q457" s="2" t="s">
        <v>42</v>
      </c>
      <c r="R457" s="16" t="s">
        <v>42</v>
      </c>
      <c r="S457" s="16">
        <v>1</v>
      </c>
      <c r="T457" s="16">
        <v>1</v>
      </c>
      <c r="U457" s="16" t="s">
        <v>42</v>
      </c>
      <c r="V457" s="16" t="s">
        <v>42</v>
      </c>
      <c r="W457" s="4" t="s">
        <v>2975</v>
      </c>
      <c r="X457" s="2" t="s">
        <v>4179</v>
      </c>
      <c r="Y457" s="8" t="str">
        <f>HYPERLINK("http://linkedin.com/in/maher-bawadi/", "http://linkedin.com/in/maher-bawadi/")</f>
        <v>http://linkedin.com/in/maher-bawadi/</v>
      </c>
      <c r="Z457" s="2" t="s">
        <v>55</v>
      </c>
      <c r="AA457" s="2" t="s">
        <v>2977</v>
      </c>
      <c r="AB457" s="2" t="s">
        <v>2978</v>
      </c>
      <c r="AC457" s="2" t="s">
        <v>58</v>
      </c>
      <c r="AD457" s="2" t="s">
        <v>42</v>
      </c>
      <c r="AE457" s="4" t="s">
        <v>2979</v>
      </c>
      <c r="AF457" s="2" t="s">
        <v>60</v>
      </c>
      <c r="AG457" s="4" t="s">
        <v>2980</v>
      </c>
      <c r="AH457" s="2" t="s">
        <v>61</v>
      </c>
      <c r="AI457" s="2" t="s">
        <v>61</v>
      </c>
      <c r="AJ457" s="2" t="s">
        <v>42</v>
      </c>
      <c r="AK457" s="2" t="s">
        <v>42</v>
      </c>
      <c r="AL457" s="28">
        <v>46033</v>
      </c>
      <c r="AM457" s="4" t="s">
        <v>42</v>
      </c>
      <c r="AN457" s="8" t="str">
        <f>HYPERLINK("https://my.pitchbook.com?p=325590-94P", "View People Online")</f>
        <v>View People Online</v>
      </c>
    </row>
    <row r="458" spans="1:40" x14ac:dyDescent="0.2">
      <c r="A458" s="3" t="s">
        <v>4180</v>
      </c>
      <c r="B458" s="3" t="s">
        <v>4181</v>
      </c>
      <c r="C458" s="3" t="s">
        <v>42</v>
      </c>
      <c r="D458" s="3" t="s">
        <v>42</v>
      </c>
      <c r="E458" s="3" t="s">
        <v>4180</v>
      </c>
      <c r="F458" s="3" t="s">
        <v>3194</v>
      </c>
      <c r="G458" s="3" t="s">
        <v>4182</v>
      </c>
      <c r="H458" s="3" t="s">
        <v>42</v>
      </c>
      <c r="I458" s="3" t="s">
        <v>46</v>
      </c>
      <c r="J458" s="3" t="s">
        <v>47</v>
      </c>
      <c r="K458" s="3" t="s">
        <v>1099</v>
      </c>
      <c r="L458" s="3" t="s">
        <v>111</v>
      </c>
      <c r="M458" s="9" t="str">
        <f>HYPERLINK("http://www.sisco.com.sa", "www.sisco.com.sa")</f>
        <v>www.sisco.com.sa</v>
      </c>
      <c r="N458" s="3" t="s">
        <v>534</v>
      </c>
      <c r="O458" s="3" t="s">
        <v>42</v>
      </c>
      <c r="P458" s="3" t="s">
        <v>4183</v>
      </c>
      <c r="Q458" s="3" t="s">
        <v>187</v>
      </c>
      <c r="R458" s="17" t="s">
        <v>42</v>
      </c>
      <c r="S458" s="17">
        <v>1</v>
      </c>
      <c r="T458" s="17">
        <v>1</v>
      </c>
      <c r="U458" s="17" t="s">
        <v>42</v>
      </c>
      <c r="V458" s="17" t="s">
        <v>42</v>
      </c>
      <c r="W458" s="5" t="s">
        <v>1101</v>
      </c>
      <c r="X458" s="3" t="s">
        <v>4184</v>
      </c>
      <c r="Y458" s="9" t="str">
        <f>HYPERLINK("http://sa.linkedin.com/in/mahmood-hussain-096a9815", "http://sa.linkedin.com/in/mahmood-hussain-096a9815")</f>
        <v>http://sa.linkedin.com/in/mahmood-hussain-096a9815</v>
      </c>
      <c r="Z458" s="3" t="s">
        <v>174</v>
      </c>
      <c r="AA458" s="3" t="s">
        <v>1103</v>
      </c>
      <c r="AB458" s="3" t="s">
        <v>1104</v>
      </c>
      <c r="AC458" s="3" t="s">
        <v>176</v>
      </c>
      <c r="AD458" s="3" t="s">
        <v>42</v>
      </c>
      <c r="AE458" s="5" t="s">
        <v>1105</v>
      </c>
      <c r="AF458" s="3" t="s">
        <v>60</v>
      </c>
      <c r="AG458" s="5" t="s">
        <v>42</v>
      </c>
      <c r="AH458" s="3" t="s">
        <v>61</v>
      </c>
      <c r="AI458" s="3" t="s">
        <v>61</v>
      </c>
      <c r="AJ458" s="3" t="s">
        <v>42</v>
      </c>
      <c r="AK458" s="3" t="s">
        <v>42</v>
      </c>
      <c r="AL458" s="29">
        <v>45838</v>
      </c>
      <c r="AM458" s="5">
        <v>1968</v>
      </c>
      <c r="AN458" s="9" t="str">
        <f>HYPERLINK("https://my.pitchbook.com?p=187304-86P", "View People Online")</f>
        <v>View People Online</v>
      </c>
    </row>
    <row r="459" spans="1:40" x14ac:dyDescent="0.2">
      <c r="A459" s="2" t="s">
        <v>4185</v>
      </c>
      <c r="B459" s="2" t="s">
        <v>4186</v>
      </c>
      <c r="C459" s="2" t="s">
        <v>42</v>
      </c>
      <c r="D459" s="2" t="s">
        <v>42</v>
      </c>
      <c r="E459" s="2" t="s">
        <v>4185</v>
      </c>
      <c r="F459" s="2" t="s">
        <v>4187</v>
      </c>
      <c r="G459" s="2" t="s">
        <v>4182</v>
      </c>
      <c r="H459" s="2" t="s">
        <v>167</v>
      </c>
      <c r="I459" s="2" t="s">
        <v>46</v>
      </c>
      <c r="J459" s="2" t="s">
        <v>47</v>
      </c>
      <c r="K459" s="2" t="s">
        <v>3450</v>
      </c>
      <c r="L459" s="2" t="s">
        <v>111</v>
      </c>
      <c r="M459" s="8" t="str">
        <f>HYPERLINK("http://www.redseaintl.com", "www.redseaintl.com")</f>
        <v>www.redseaintl.com</v>
      </c>
      <c r="N459" s="2" t="s">
        <v>534</v>
      </c>
      <c r="O459" s="2" t="s">
        <v>42</v>
      </c>
      <c r="P459" s="2" t="s">
        <v>4188</v>
      </c>
      <c r="Q459" s="2" t="s">
        <v>42</v>
      </c>
      <c r="R459" s="16" t="s">
        <v>42</v>
      </c>
      <c r="S459" s="16">
        <v>1</v>
      </c>
      <c r="T459" s="16">
        <v>1</v>
      </c>
      <c r="U459" s="16" t="s">
        <v>42</v>
      </c>
      <c r="V459" s="16" t="s">
        <v>42</v>
      </c>
      <c r="W459" s="4" t="s">
        <v>42</v>
      </c>
      <c r="X459" s="2" t="s">
        <v>4189</v>
      </c>
      <c r="Y459" s="8" t="str">
        <f>HYPERLINK("http://linkedin.com/in/mahmood-siddiqui-586421/", "http://linkedin.com/in/mahmood-siddiqui-586421/")</f>
        <v>http://linkedin.com/in/mahmood-siddiqui-586421/</v>
      </c>
      <c r="Z459" s="2" t="s">
        <v>174</v>
      </c>
      <c r="AA459" s="2" t="s">
        <v>176</v>
      </c>
      <c r="AB459" s="2" t="s">
        <v>42</v>
      </c>
      <c r="AC459" s="2" t="s">
        <v>176</v>
      </c>
      <c r="AD459" s="2" t="s">
        <v>42</v>
      </c>
      <c r="AE459" s="4" t="s">
        <v>42</v>
      </c>
      <c r="AF459" s="2" t="s">
        <v>60</v>
      </c>
      <c r="AG459" s="4" t="s">
        <v>42</v>
      </c>
      <c r="AH459" s="2" t="s">
        <v>61</v>
      </c>
      <c r="AI459" s="2" t="s">
        <v>61</v>
      </c>
      <c r="AJ459" s="2" t="s">
        <v>42</v>
      </c>
      <c r="AK459" s="2" t="s">
        <v>42</v>
      </c>
      <c r="AL459" s="28">
        <v>45742</v>
      </c>
      <c r="AM459" s="4" t="s">
        <v>42</v>
      </c>
      <c r="AN459" s="8" t="str">
        <f>HYPERLINK("https://my.pitchbook.com?p=341580-70P", "View People Online")</f>
        <v>View People Online</v>
      </c>
    </row>
    <row r="460" spans="1:40" x14ac:dyDescent="0.2">
      <c r="A460" s="3" t="s">
        <v>4190</v>
      </c>
      <c r="B460" s="3" t="s">
        <v>4191</v>
      </c>
      <c r="C460" s="3" t="s">
        <v>42</v>
      </c>
      <c r="D460" s="3" t="s">
        <v>42</v>
      </c>
      <c r="E460" s="3" t="s">
        <v>4190</v>
      </c>
      <c r="F460" s="3" t="s">
        <v>4192</v>
      </c>
      <c r="G460" s="3" t="s">
        <v>2077</v>
      </c>
      <c r="H460" s="3" t="s">
        <v>4193</v>
      </c>
      <c r="I460" s="3" t="s">
        <v>46</v>
      </c>
      <c r="J460" s="3" t="s">
        <v>47</v>
      </c>
      <c r="K460" s="3" t="s">
        <v>1037</v>
      </c>
      <c r="L460" s="3" t="s">
        <v>111</v>
      </c>
      <c r="M460" s="9" t="str">
        <f>HYPERLINK("http://zaoasis.com", "zaoasis.com")</f>
        <v>zaoasis.com</v>
      </c>
      <c r="N460" s="3" t="s">
        <v>4194</v>
      </c>
      <c r="O460" s="3" t="s">
        <v>42</v>
      </c>
      <c r="P460" s="3" t="s">
        <v>4195</v>
      </c>
      <c r="Q460" s="3" t="s">
        <v>42</v>
      </c>
      <c r="R460" s="17" t="s">
        <v>42</v>
      </c>
      <c r="S460" s="17">
        <v>1</v>
      </c>
      <c r="T460" s="17">
        <v>1</v>
      </c>
      <c r="U460" s="17" t="s">
        <v>42</v>
      </c>
      <c r="V460" s="17" t="s">
        <v>42</v>
      </c>
      <c r="W460" s="5" t="s">
        <v>1041</v>
      </c>
      <c r="X460" s="3" t="s">
        <v>42</v>
      </c>
      <c r="Y460" s="9" t="str">
        <f>HYPERLINK("http://linkedin.com/in/mahmoud-zaky-196929125/?originalsubdomain=sa", "http://linkedin.com/in/mahmoud-zaky-196929125/?originalsubdomain=sa")</f>
        <v>http://linkedin.com/in/mahmoud-zaky-196929125/?originalsubdomain=sa</v>
      </c>
      <c r="Z460" s="3" t="s">
        <v>55</v>
      </c>
      <c r="AA460" s="3" t="s">
        <v>1042</v>
      </c>
      <c r="AB460" s="3" t="s">
        <v>1043</v>
      </c>
      <c r="AC460" s="3" t="s">
        <v>58</v>
      </c>
      <c r="AD460" s="3" t="s">
        <v>42</v>
      </c>
      <c r="AE460" s="5" t="s">
        <v>1044</v>
      </c>
      <c r="AF460" s="3" t="s">
        <v>60</v>
      </c>
      <c r="AG460" s="5" t="s">
        <v>1045</v>
      </c>
      <c r="AH460" s="3" t="s">
        <v>61</v>
      </c>
      <c r="AI460" s="3" t="s">
        <v>61</v>
      </c>
      <c r="AJ460" s="3" t="s">
        <v>42</v>
      </c>
      <c r="AK460" s="3" t="s">
        <v>42</v>
      </c>
      <c r="AL460" s="29">
        <v>45685</v>
      </c>
      <c r="AM460" s="5" t="s">
        <v>42</v>
      </c>
      <c r="AN460" s="9" t="str">
        <f>HYPERLINK("https://my.pitchbook.com?p=329333-86P", "View People Online")</f>
        <v>View People Online</v>
      </c>
    </row>
    <row r="461" spans="1:40" x14ac:dyDescent="0.2">
      <c r="A461" s="2" t="s">
        <v>4196</v>
      </c>
      <c r="B461" s="2" t="s">
        <v>4197</v>
      </c>
      <c r="C461" s="2" t="s">
        <v>42</v>
      </c>
      <c r="D461" s="2" t="s">
        <v>42</v>
      </c>
      <c r="E461" s="2" t="s">
        <v>4196</v>
      </c>
      <c r="F461" s="2" t="s">
        <v>4198</v>
      </c>
      <c r="G461" s="2" t="s">
        <v>2077</v>
      </c>
      <c r="H461" s="2" t="s">
        <v>2155</v>
      </c>
      <c r="I461" s="2" t="s">
        <v>46</v>
      </c>
      <c r="J461" s="2" t="s">
        <v>47</v>
      </c>
      <c r="K461" s="2" t="s">
        <v>4199</v>
      </c>
      <c r="L461" s="2" t="s">
        <v>111</v>
      </c>
      <c r="M461" s="8" t="str">
        <f>HYPERLINK("http://www.go.com.sa", "www.go.com.sa")</f>
        <v>www.go.com.sa</v>
      </c>
      <c r="N461" s="2" t="s">
        <v>3313</v>
      </c>
      <c r="O461" s="2" t="s">
        <v>42</v>
      </c>
      <c r="P461" s="2" t="s">
        <v>4200</v>
      </c>
      <c r="Q461" s="2" t="s">
        <v>42</v>
      </c>
      <c r="R461" s="16" t="s">
        <v>42</v>
      </c>
      <c r="S461" s="16">
        <v>1</v>
      </c>
      <c r="T461" s="16">
        <v>1</v>
      </c>
      <c r="U461" s="16" t="s">
        <v>42</v>
      </c>
      <c r="V461" s="16" t="s">
        <v>42</v>
      </c>
      <c r="W461" s="4" t="s">
        <v>4201</v>
      </c>
      <c r="X461" s="2" t="s">
        <v>4202</v>
      </c>
      <c r="Y461" s="2" t="s">
        <v>42</v>
      </c>
      <c r="Z461" s="2" t="s">
        <v>55</v>
      </c>
      <c r="AA461" s="2" t="s">
        <v>4203</v>
      </c>
      <c r="AB461" s="2" t="s">
        <v>4204</v>
      </c>
      <c r="AC461" s="2" t="s">
        <v>58</v>
      </c>
      <c r="AD461" s="2" t="s">
        <v>42</v>
      </c>
      <c r="AE461" s="4" t="s">
        <v>4205</v>
      </c>
      <c r="AF461" s="2" t="s">
        <v>60</v>
      </c>
      <c r="AG461" s="4" t="s">
        <v>42</v>
      </c>
      <c r="AH461" s="2" t="s">
        <v>61</v>
      </c>
      <c r="AI461" s="2" t="s">
        <v>61</v>
      </c>
      <c r="AJ461" s="2" t="s">
        <v>42</v>
      </c>
      <c r="AK461" s="2" t="s">
        <v>42</v>
      </c>
      <c r="AL461" s="28">
        <v>45992</v>
      </c>
      <c r="AM461" s="4" t="s">
        <v>42</v>
      </c>
      <c r="AN461" s="8" t="str">
        <f>HYPERLINK("https://my.pitchbook.com?p=340235-65P", "View People Online")</f>
        <v>View People Online</v>
      </c>
    </row>
    <row r="462" spans="1:40" x14ac:dyDescent="0.2">
      <c r="A462" s="3" t="s">
        <v>4206</v>
      </c>
      <c r="B462" s="3" t="s">
        <v>4207</v>
      </c>
      <c r="C462" s="3" t="s">
        <v>42</v>
      </c>
      <c r="D462" s="3" t="s">
        <v>42</v>
      </c>
      <c r="E462" s="3" t="s">
        <v>4206</v>
      </c>
      <c r="F462" s="3" t="s">
        <v>4208</v>
      </c>
      <c r="G462" s="3" t="s">
        <v>2077</v>
      </c>
      <c r="H462" s="3" t="s">
        <v>42</v>
      </c>
      <c r="I462" s="3" t="s">
        <v>46</v>
      </c>
      <c r="J462" s="3" t="s">
        <v>47</v>
      </c>
      <c r="K462" s="3" t="s">
        <v>4209</v>
      </c>
      <c r="L462" s="3" t="s">
        <v>111</v>
      </c>
      <c r="M462" s="9" t="str">
        <f>HYPERLINK("http://www.catrion.com", "www.catrion.com")</f>
        <v>www.catrion.com</v>
      </c>
      <c r="N462" s="3" t="s">
        <v>4210</v>
      </c>
      <c r="O462" s="3" t="s">
        <v>42</v>
      </c>
      <c r="P462" s="3" t="s">
        <v>4211</v>
      </c>
      <c r="Q462" s="3" t="s">
        <v>4212</v>
      </c>
      <c r="R462" s="17" t="s">
        <v>42</v>
      </c>
      <c r="S462" s="17">
        <v>1</v>
      </c>
      <c r="T462" s="17">
        <v>1</v>
      </c>
      <c r="U462" s="17" t="s">
        <v>42</v>
      </c>
      <c r="V462" s="17" t="s">
        <v>42</v>
      </c>
      <c r="W462" s="5" t="s">
        <v>4213</v>
      </c>
      <c r="X462" s="3" t="s">
        <v>4214</v>
      </c>
      <c r="Y462" s="3" t="s">
        <v>42</v>
      </c>
      <c r="Z462" s="3" t="s">
        <v>174</v>
      </c>
      <c r="AA462" s="3" t="s">
        <v>4215</v>
      </c>
      <c r="AB462" s="3" t="s">
        <v>4216</v>
      </c>
      <c r="AC462" s="3" t="s">
        <v>176</v>
      </c>
      <c r="AD462" s="3" t="s">
        <v>42</v>
      </c>
      <c r="AE462" s="5" t="s">
        <v>4217</v>
      </c>
      <c r="AF462" s="3" t="s">
        <v>60</v>
      </c>
      <c r="AG462" s="5" t="s">
        <v>4218</v>
      </c>
      <c r="AH462" s="3" t="s">
        <v>61</v>
      </c>
      <c r="AI462" s="3" t="s">
        <v>61</v>
      </c>
      <c r="AJ462" s="3" t="s">
        <v>42</v>
      </c>
      <c r="AK462" s="3" t="s">
        <v>2073</v>
      </c>
      <c r="AL462" s="29">
        <v>46052</v>
      </c>
      <c r="AM462" s="5" t="s">
        <v>42</v>
      </c>
      <c r="AN462" s="9" t="str">
        <f>HYPERLINK("https://my.pitchbook.com?p=484423-93P", "View People Online")</f>
        <v>View People Online</v>
      </c>
    </row>
    <row r="463" spans="1:40" x14ac:dyDescent="0.2">
      <c r="A463" s="2" t="s">
        <v>4219</v>
      </c>
      <c r="B463" s="2" t="s">
        <v>4220</v>
      </c>
      <c r="C463" s="2" t="s">
        <v>42</v>
      </c>
      <c r="D463" s="2" t="s">
        <v>42</v>
      </c>
      <c r="E463" s="2" t="s">
        <v>4219</v>
      </c>
      <c r="F463" s="2" t="s">
        <v>4221</v>
      </c>
      <c r="G463" s="2" t="s">
        <v>842</v>
      </c>
      <c r="H463" s="2" t="s">
        <v>1339</v>
      </c>
      <c r="I463" s="2" t="s">
        <v>46</v>
      </c>
      <c r="J463" s="2" t="s">
        <v>47</v>
      </c>
      <c r="K463" s="2" t="s">
        <v>4222</v>
      </c>
      <c r="L463" s="2" t="s">
        <v>111</v>
      </c>
      <c r="M463" s="8" t="str">
        <f>HYPERLINK("http://www.citycement.sa", "www.citycement.sa")</f>
        <v>www.citycement.sa</v>
      </c>
      <c r="N463" s="2" t="s">
        <v>4223</v>
      </c>
      <c r="O463" s="2" t="s">
        <v>42</v>
      </c>
      <c r="P463" s="2" t="s">
        <v>4224</v>
      </c>
      <c r="Q463" s="2" t="s">
        <v>42</v>
      </c>
      <c r="R463" s="16">
        <v>1</v>
      </c>
      <c r="S463" s="16">
        <v>1</v>
      </c>
      <c r="T463" s="16">
        <v>1</v>
      </c>
      <c r="U463" s="16" t="s">
        <v>42</v>
      </c>
      <c r="V463" s="16" t="s">
        <v>42</v>
      </c>
      <c r="W463" s="4" t="s">
        <v>42</v>
      </c>
      <c r="X463" s="2" t="s">
        <v>4225</v>
      </c>
      <c r="Y463" s="2" t="s">
        <v>42</v>
      </c>
      <c r="Z463" s="2" t="s">
        <v>55</v>
      </c>
      <c r="AA463" s="2" t="s">
        <v>4226</v>
      </c>
      <c r="AB463" s="2" t="s">
        <v>42</v>
      </c>
      <c r="AC463" s="2" t="s">
        <v>58</v>
      </c>
      <c r="AD463" s="2" t="s">
        <v>42</v>
      </c>
      <c r="AE463" s="4" t="s">
        <v>4227</v>
      </c>
      <c r="AF463" s="2" t="s">
        <v>60</v>
      </c>
      <c r="AG463" s="4" t="s">
        <v>42</v>
      </c>
      <c r="AH463" s="2" t="s">
        <v>61</v>
      </c>
      <c r="AI463" s="2" t="s">
        <v>61</v>
      </c>
      <c r="AJ463" s="2" t="s">
        <v>42</v>
      </c>
      <c r="AK463" s="2" t="s">
        <v>42</v>
      </c>
      <c r="AL463" s="28">
        <v>45727</v>
      </c>
      <c r="AM463" s="4" t="s">
        <v>42</v>
      </c>
      <c r="AN463" s="8" t="str">
        <f>HYPERLINK("https://my.pitchbook.com?p=339989-23P", "View People Online")</f>
        <v>View People Online</v>
      </c>
    </row>
    <row r="464" spans="1:40" x14ac:dyDescent="0.2">
      <c r="A464" s="3" t="s">
        <v>4228</v>
      </c>
      <c r="B464" s="3" t="s">
        <v>4229</v>
      </c>
      <c r="C464" s="3" t="s">
        <v>42</v>
      </c>
      <c r="D464" s="3" t="s">
        <v>42</v>
      </c>
      <c r="E464" s="3" t="s">
        <v>4228</v>
      </c>
      <c r="F464" s="3" t="s">
        <v>4230</v>
      </c>
      <c r="G464" s="3" t="s">
        <v>842</v>
      </c>
      <c r="H464" s="3" t="s">
        <v>42</v>
      </c>
      <c r="I464" s="3" t="s">
        <v>46</v>
      </c>
      <c r="J464" s="3" t="s">
        <v>47</v>
      </c>
      <c r="K464" s="3" t="s">
        <v>2229</v>
      </c>
      <c r="L464" s="3" t="s">
        <v>111</v>
      </c>
      <c r="M464" s="9" t="str">
        <f>HYPERLINK("http://www.masareducation.com", "www.masareducation.com")</f>
        <v>www.masareducation.com</v>
      </c>
      <c r="N464" s="3" t="s">
        <v>210</v>
      </c>
      <c r="O464" s="3" t="s">
        <v>42</v>
      </c>
      <c r="P464" s="3" t="s">
        <v>4231</v>
      </c>
      <c r="Q464" s="3" t="s">
        <v>42</v>
      </c>
      <c r="R464" s="17" t="s">
        <v>42</v>
      </c>
      <c r="S464" s="17">
        <v>1</v>
      </c>
      <c r="T464" s="17">
        <v>1</v>
      </c>
      <c r="U464" s="17" t="s">
        <v>42</v>
      </c>
      <c r="V464" s="17" t="s">
        <v>42</v>
      </c>
      <c r="W464" s="5" t="s">
        <v>2231</v>
      </c>
      <c r="X464" s="3" t="s">
        <v>4232</v>
      </c>
      <c r="Y464" s="9" t="str">
        <f>HYPERLINK("http://linkedin.com/in/majedmutairi", "http://linkedin.com/in/majedmutairi")</f>
        <v>http://linkedin.com/in/majedmutairi</v>
      </c>
      <c r="Z464" s="3" t="s">
        <v>55</v>
      </c>
      <c r="AA464" s="3" t="s">
        <v>2233</v>
      </c>
      <c r="AB464" s="3" t="s">
        <v>2234</v>
      </c>
      <c r="AC464" s="3" t="s">
        <v>58</v>
      </c>
      <c r="AD464" s="3" t="s">
        <v>42</v>
      </c>
      <c r="AE464" s="5" t="s">
        <v>818</v>
      </c>
      <c r="AF464" s="3" t="s">
        <v>60</v>
      </c>
      <c r="AG464" s="5" t="s">
        <v>42</v>
      </c>
      <c r="AH464" s="3" t="s">
        <v>61</v>
      </c>
      <c r="AI464" s="3" t="s">
        <v>61</v>
      </c>
      <c r="AJ464" s="3" t="s">
        <v>42</v>
      </c>
      <c r="AK464" s="3" t="s">
        <v>42</v>
      </c>
      <c r="AL464" s="29">
        <v>45930</v>
      </c>
      <c r="AM464" s="5" t="s">
        <v>42</v>
      </c>
      <c r="AN464" s="9" t="str">
        <f>HYPERLINK("https://my.pitchbook.com?p=467248-42P", "View People Online")</f>
        <v>View People Online</v>
      </c>
    </row>
    <row r="465" spans="1:40" x14ac:dyDescent="0.2">
      <c r="A465" s="2" t="s">
        <v>4233</v>
      </c>
      <c r="B465" s="2" t="s">
        <v>4234</v>
      </c>
      <c r="C465" s="2" t="s">
        <v>42</v>
      </c>
      <c r="D465" s="2" t="s">
        <v>42</v>
      </c>
      <c r="E465" s="2" t="s">
        <v>4233</v>
      </c>
      <c r="F465" s="2" t="s">
        <v>4235</v>
      </c>
      <c r="G465" s="2" t="s">
        <v>842</v>
      </c>
      <c r="H465" s="2" t="s">
        <v>42</v>
      </c>
      <c r="I465" s="2" t="s">
        <v>46</v>
      </c>
      <c r="J465" s="2" t="s">
        <v>47</v>
      </c>
      <c r="K465" s="2" t="s">
        <v>591</v>
      </c>
      <c r="L465" s="2" t="s">
        <v>111</v>
      </c>
      <c r="M465" s="8" t="str">
        <f>HYPERLINK("http://www.sipchem.com", "www.sipchem.com")</f>
        <v>www.sipchem.com</v>
      </c>
      <c r="N465" s="2" t="s">
        <v>370</v>
      </c>
      <c r="O465" s="2" t="s">
        <v>42</v>
      </c>
      <c r="P465" s="2" t="s">
        <v>4236</v>
      </c>
      <c r="Q465" s="2" t="s">
        <v>42</v>
      </c>
      <c r="R465" s="16" t="s">
        <v>42</v>
      </c>
      <c r="S465" s="16">
        <v>1</v>
      </c>
      <c r="T465" s="16">
        <v>1</v>
      </c>
      <c r="U465" s="16" t="s">
        <v>42</v>
      </c>
      <c r="V465" s="16" t="s">
        <v>42</v>
      </c>
      <c r="W465" s="4" t="s">
        <v>593</v>
      </c>
      <c r="X465" s="2" t="s">
        <v>4237</v>
      </c>
      <c r="Y465" s="8" t="str">
        <f>HYPERLINK("http://linkedin.com/in/majed-al-zahrani-89773b21b", "http://linkedin.com/in/majed-al-zahrani-89773b21b")</f>
        <v>http://linkedin.com/in/majed-al-zahrani-89773b21b</v>
      </c>
      <c r="Z465" s="2" t="s">
        <v>595</v>
      </c>
      <c r="AA465" s="2" t="s">
        <v>596</v>
      </c>
      <c r="AB465" s="2" t="s">
        <v>597</v>
      </c>
      <c r="AC465" s="2" t="s">
        <v>598</v>
      </c>
      <c r="AD465" s="2" t="s">
        <v>42</v>
      </c>
      <c r="AE465" s="4" t="s">
        <v>599</v>
      </c>
      <c r="AF465" s="2" t="s">
        <v>60</v>
      </c>
      <c r="AG465" s="4" t="s">
        <v>42</v>
      </c>
      <c r="AH465" s="2" t="s">
        <v>61</v>
      </c>
      <c r="AI465" s="2" t="s">
        <v>61</v>
      </c>
      <c r="AJ465" s="2" t="s">
        <v>42</v>
      </c>
      <c r="AK465" s="2" t="s">
        <v>42</v>
      </c>
      <c r="AL465" s="28">
        <v>45743</v>
      </c>
      <c r="AM465" s="4" t="s">
        <v>42</v>
      </c>
      <c r="AN465" s="8" t="str">
        <f>HYPERLINK("https://my.pitchbook.com?p=385712-20P", "View People Online")</f>
        <v>View People Online</v>
      </c>
    </row>
    <row r="466" spans="1:40" x14ac:dyDescent="0.2">
      <c r="A466" s="3" t="s">
        <v>4238</v>
      </c>
      <c r="B466" s="3" t="s">
        <v>4239</v>
      </c>
      <c r="C466" s="3" t="s">
        <v>42</v>
      </c>
      <c r="D466" s="3" t="s">
        <v>42</v>
      </c>
      <c r="E466" s="3" t="s">
        <v>4238</v>
      </c>
      <c r="F466" s="3" t="s">
        <v>4240</v>
      </c>
      <c r="G466" s="3" t="s">
        <v>842</v>
      </c>
      <c r="H466" s="3" t="s">
        <v>4241</v>
      </c>
      <c r="I466" s="3" t="s">
        <v>46</v>
      </c>
      <c r="J466" s="3" t="s">
        <v>47</v>
      </c>
      <c r="K466" s="3" t="s">
        <v>3911</v>
      </c>
      <c r="L466" s="3" t="s">
        <v>111</v>
      </c>
      <c r="M466" s="9" t="str">
        <f>HYPERLINK("http://www.rasan.co", "www.rasan.co")</f>
        <v>www.rasan.co</v>
      </c>
      <c r="N466" s="3" t="s">
        <v>4242</v>
      </c>
      <c r="O466" s="3" t="s">
        <v>42</v>
      </c>
      <c r="P466" s="3" t="s">
        <v>4243</v>
      </c>
      <c r="Q466" s="3" t="s">
        <v>42</v>
      </c>
      <c r="R466" s="17">
        <v>1</v>
      </c>
      <c r="S466" s="17">
        <v>1</v>
      </c>
      <c r="T466" s="17" t="s">
        <v>42</v>
      </c>
      <c r="U466" s="17" t="s">
        <v>42</v>
      </c>
      <c r="V466" s="17" t="s">
        <v>42</v>
      </c>
      <c r="W466" s="5" t="s">
        <v>3913</v>
      </c>
      <c r="X466" s="3" t="s">
        <v>42</v>
      </c>
      <c r="Y466" s="3" t="s">
        <v>42</v>
      </c>
      <c r="Z466" s="3" t="s">
        <v>55</v>
      </c>
      <c r="AA466" s="3" t="s">
        <v>3915</v>
      </c>
      <c r="AB466" s="3" t="s">
        <v>3916</v>
      </c>
      <c r="AC466" s="3" t="s">
        <v>58</v>
      </c>
      <c r="AD466" s="3" t="s">
        <v>42</v>
      </c>
      <c r="AE466" s="5" t="s">
        <v>3917</v>
      </c>
      <c r="AF466" s="3" t="s">
        <v>60</v>
      </c>
      <c r="AG466" s="5" t="s">
        <v>42</v>
      </c>
      <c r="AH466" s="3" t="s">
        <v>61</v>
      </c>
      <c r="AI466" s="3" t="s">
        <v>61</v>
      </c>
      <c r="AJ466" s="3" t="s">
        <v>42</v>
      </c>
      <c r="AK466" s="3" t="s">
        <v>42</v>
      </c>
      <c r="AL466" s="29">
        <v>45793</v>
      </c>
      <c r="AM466" s="5" t="s">
        <v>42</v>
      </c>
      <c r="AN466" s="9" t="str">
        <f>HYPERLINK("https://my.pitchbook.com?p=351708-04P", "View People Online")</f>
        <v>View People Online</v>
      </c>
    </row>
    <row r="467" spans="1:40" x14ac:dyDescent="0.2">
      <c r="A467" s="2" t="s">
        <v>4244</v>
      </c>
      <c r="B467" s="2" t="s">
        <v>4245</v>
      </c>
      <c r="C467" s="2" t="s">
        <v>42</v>
      </c>
      <c r="D467" s="2" t="s">
        <v>42</v>
      </c>
      <c r="E467" s="2" t="s">
        <v>4244</v>
      </c>
      <c r="F467" s="2" t="s">
        <v>821</v>
      </c>
      <c r="G467" s="2" t="s">
        <v>842</v>
      </c>
      <c r="H467" s="2" t="s">
        <v>42</v>
      </c>
      <c r="I467" s="2" t="s">
        <v>46</v>
      </c>
      <c r="J467" s="2" t="s">
        <v>47</v>
      </c>
      <c r="K467" s="2" t="s">
        <v>3366</v>
      </c>
      <c r="L467" s="2" t="s">
        <v>111</v>
      </c>
      <c r="M467" s="8" t="str">
        <f>HYPERLINK("http://www.wataniya.com.sa", "www.wataniya.com.sa")</f>
        <v>www.wataniya.com.sa</v>
      </c>
      <c r="N467" s="2" t="s">
        <v>370</v>
      </c>
      <c r="O467" s="2" t="s">
        <v>42</v>
      </c>
      <c r="P467" s="2" t="s">
        <v>4246</v>
      </c>
      <c r="Q467" s="2" t="s">
        <v>42</v>
      </c>
      <c r="R467" s="16" t="s">
        <v>42</v>
      </c>
      <c r="S467" s="16">
        <v>1</v>
      </c>
      <c r="T467" s="16">
        <v>1</v>
      </c>
      <c r="U467" s="16" t="s">
        <v>42</v>
      </c>
      <c r="V467" s="16" t="s">
        <v>42</v>
      </c>
      <c r="W467" s="4" t="s">
        <v>4247</v>
      </c>
      <c r="X467" s="2" t="s">
        <v>4248</v>
      </c>
      <c r="Y467" s="8" t="str">
        <f>HYPERLINK("http://linkedin.com/in/majed-al-ghamdi-cisa-cism-crisc-pmp-itil-ceh-0a659626/", "http://linkedin.com/in/majed-al-ghamdi-cisa-cism-crisc-pmp-itil-ceh-0a659626/")</f>
        <v>http://linkedin.com/in/majed-al-ghamdi-cisa-cism-crisc-pmp-itil-ceh-0a659626/</v>
      </c>
      <c r="Z467" s="2" t="s">
        <v>174</v>
      </c>
      <c r="AA467" s="2" t="s">
        <v>3370</v>
      </c>
      <c r="AB467" s="2" t="s">
        <v>3371</v>
      </c>
      <c r="AC467" s="2" t="s">
        <v>176</v>
      </c>
      <c r="AD467" s="2" t="s">
        <v>42</v>
      </c>
      <c r="AE467" s="4" t="s">
        <v>3372</v>
      </c>
      <c r="AF467" s="2" t="s">
        <v>60</v>
      </c>
      <c r="AG467" s="4" t="s">
        <v>3373</v>
      </c>
      <c r="AH467" s="2" t="s">
        <v>61</v>
      </c>
      <c r="AI467" s="2" t="s">
        <v>61</v>
      </c>
      <c r="AJ467" s="2" t="s">
        <v>42</v>
      </c>
      <c r="AK467" s="2" t="s">
        <v>42</v>
      </c>
      <c r="AL467" s="28">
        <v>45210</v>
      </c>
      <c r="AM467" s="4" t="s">
        <v>42</v>
      </c>
      <c r="AN467" s="8" t="str">
        <f>HYPERLINK("https://my.pitchbook.com?p=286493-68P", "View People Online")</f>
        <v>View People Online</v>
      </c>
    </row>
    <row r="468" spans="1:40" x14ac:dyDescent="0.2">
      <c r="A468" s="3" t="s">
        <v>4249</v>
      </c>
      <c r="B468" s="3" t="s">
        <v>4250</v>
      </c>
      <c r="C468" s="3" t="s">
        <v>42</v>
      </c>
      <c r="D468" s="3" t="s">
        <v>42</v>
      </c>
      <c r="E468" s="3" t="s">
        <v>4249</v>
      </c>
      <c r="F468" s="3" t="s">
        <v>4251</v>
      </c>
      <c r="G468" s="3" t="s">
        <v>842</v>
      </c>
      <c r="H468" s="3" t="s">
        <v>2466</v>
      </c>
      <c r="I468" s="3" t="s">
        <v>46</v>
      </c>
      <c r="J468" s="3" t="s">
        <v>47</v>
      </c>
      <c r="K468" s="3" t="s">
        <v>4252</v>
      </c>
      <c r="L468" s="3" t="s">
        <v>111</v>
      </c>
      <c r="M468" s="9" t="str">
        <f>HYPERLINK("http://www.neftalsharq.com", "www.neftalsharq.com")</f>
        <v>www.neftalsharq.com</v>
      </c>
      <c r="N468" s="3" t="s">
        <v>112</v>
      </c>
      <c r="O468" s="3" t="s">
        <v>42</v>
      </c>
      <c r="P468" s="3" t="s">
        <v>4253</v>
      </c>
      <c r="Q468" s="3" t="s">
        <v>42</v>
      </c>
      <c r="R468" s="17">
        <v>1</v>
      </c>
      <c r="S468" s="17">
        <v>1</v>
      </c>
      <c r="T468" s="17">
        <v>1</v>
      </c>
      <c r="U468" s="17" t="s">
        <v>42</v>
      </c>
      <c r="V468" s="17" t="s">
        <v>42</v>
      </c>
      <c r="W468" s="5" t="s">
        <v>4254</v>
      </c>
      <c r="X468" s="3" t="s">
        <v>42</v>
      </c>
      <c r="Y468" s="3" t="s">
        <v>42</v>
      </c>
      <c r="Z468" s="3" t="s">
        <v>55</v>
      </c>
      <c r="AA468" s="3" t="s">
        <v>4255</v>
      </c>
      <c r="AB468" s="3" t="s">
        <v>4256</v>
      </c>
      <c r="AC468" s="3" t="s">
        <v>58</v>
      </c>
      <c r="AD468" s="3" t="s">
        <v>42</v>
      </c>
      <c r="AE468" s="5" t="s">
        <v>42</v>
      </c>
      <c r="AF468" s="3" t="s">
        <v>60</v>
      </c>
      <c r="AG468" s="5" t="s">
        <v>42</v>
      </c>
      <c r="AH468" s="3" t="s">
        <v>61</v>
      </c>
      <c r="AI468" s="3" t="s">
        <v>61</v>
      </c>
      <c r="AJ468" s="3" t="s">
        <v>42</v>
      </c>
      <c r="AK468" s="3" t="s">
        <v>42</v>
      </c>
      <c r="AL468" s="29">
        <v>46055</v>
      </c>
      <c r="AM468" s="5" t="s">
        <v>42</v>
      </c>
      <c r="AN468" s="9" t="str">
        <f>HYPERLINK("https://my.pitchbook.com?p=398286-91P", "View People Online")</f>
        <v>View People Online</v>
      </c>
    </row>
    <row r="469" spans="1:40" x14ac:dyDescent="0.2">
      <c r="A469" s="2" t="s">
        <v>4257</v>
      </c>
      <c r="B469" s="2" t="s">
        <v>4258</v>
      </c>
      <c r="C469" s="2" t="s">
        <v>42</v>
      </c>
      <c r="D469" s="2" t="s">
        <v>42</v>
      </c>
      <c r="E469" s="2" t="s">
        <v>4257</v>
      </c>
      <c r="F469" s="2" t="s">
        <v>4259</v>
      </c>
      <c r="G469" s="2" t="s">
        <v>842</v>
      </c>
      <c r="H469" s="2" t="s">
        <v>4260</v>
      </c>
      <c r="I469" s="2" t="s">
        <v>46</v>
      </c>
      <c r="J469" s="2" t="s">
        <v>47</v>
      </c>
      <c r="K469" s="2" t="s">
        <v>2561</v>
      </c>
      <c r="L469" s="2" t="s">
        <v>111</v>
      </c>
      <c r="M469" s="8" t="str">
        <f>HYPERLINK("http://www.ghidas.com", "www.ghidas.com")</f>
        <v>www.ghidas.com</v>
      </c>
      <c r="N469" s="2" t="s">
        <v>210</v>
      </c>
      <c r="O469" s="2" t="s">
        <v>42</v>
      </c>
      <c r="P469" s="2" t="s">
        <v>4261</v>
      </c>
      <c r="Q469" s="2" t="s">
        <v>42</v>
      </c>
      <c r="R469" s="16" t="s">
        <v>42</v>
      </c>
      <c r="S469" s="16">
        <v>1</v>
      </c>
      <c r="T469" s="16">
        <v>1</v>
      </c>
      <c r="U469" s="16" t="s">
        <v>42</v>
      </c>
      <c r="V469" s="16" t="s">
        <v>42</v>
      </c>
      <c r="W469" s="4" t="s">
        <v>2563</v>
      </c>
      <c r="X469" s="2" t="s">
        <v>4262</v>
      </c>
      <c r="Y469" s="8" t="str">
        <f>HYPERLINK("http://linkedin.com/in/majed-almusbahi-93085b199/", "http://linkedin.com/in/majed-almusbahi-93085b199/")</f>
        <v>http://linkedin.com/in/majed-almusbahi-93085b199/</v>
      </c>
      <c r="Z469" s="2" t="s">
        <v>174</v>
      </c>
      <c r="AA469" s="2" t="s">
        <v>1285</v>
      </c>
      <c r="AB469" s="2" t="s">
        <v>2565</v>
      </c>
      <c r="AC469" s="2" t="s">
        <v>176</v>
      </c>
      <c r="AD469" s="2" t="s">
        <v>42</v>
      </c>
      <c r="AE469" s="4" t="s">
        <v>2566</v>
      </c>
      <c r="AF469" s="2" t="s">
        <v>60</v>
      </c>
      <c r="AG469" s="4" t="s">
        <v>42</v>
      </c>
      <c r="AH469" s="2" t="s">
        <v>61</v>
      </c>
      <c r="AI469" s="2" t="s">
        <v>61</v>
      </c>
      <c r="AJ469" s="2" t="s">
        <v>42</v>
      </c>
      <c r="AK469" s="2" t="s">
        <v>42</v>
      </c>
      <c r="AL469" s="28">
        <v>45910</v>
      </c>
      <c r="AM469" s="4" t="s">
        <v>42</v>
      </c>
      <c r="AN469" s="8" t="str">
        <f>HYPERLINK("https://my.pitchbook.com?p=341005-69P", "View People Online")</f>
        <v>View People Online</v>
      </c>
    </row>
    <row r="470" spans="1:40" x14ac:dyDescent="0.2">
      <c r="A470" s="3" t="s">
        <v>4263</v>
      </c>
      <c r="B470" s="3" t="s">
        <v>4264</v>
      </c>
      <c r="C470" s="3" t="s">
        <v>42</v>
      </c>
      <c r="D470" s="3" t="s">
        <v>42</v>
      </c>
      <c r="E470" s="3" t="s">
        <v>4263</v>
      </c>
      <c r="F470" s="3" t="s">
        <v>4265</v>
      </c>
      <c r="G470" s="3" t="s">
        <v>842</v>
      </c>
      <c r="H470" s="3" t="s">
        <v>4266</v>
      </c>
      <c r="I470" s="3" t="s">
        <v>46</v>
      </c>
      <c r="J470" s="3" t="s">
        <v>47</v>
      </c>
      <c r="K470" s="3" t="s">
        <v>2935</v>
      </c>
      <c r="L470" s="3" t="s">
        <v>1316</v>
      </c>
      <c r="M470" s="9" t="str">
        <f>HYPERLINK("http://www.alsagr.com", "www.alsagr.com")</f>
        <v>www.alsagr.com</v>
      </c>
      <c r="N470" s="3" t="s">
        <v>246</v>
      </c>
      <c r="O470" s="3" t="s">
        <v>42</v>
      </c>
      <c r="P470" s="3" t="s">
        <v>4267</v>
      </c>
      <c r="Q470" s="3" t="s">
        <v>42</v>
      </c>
      <c r="R470" s="17">
        <v>1</v>
      </c>
      <c r="S470" s="17">
        <v>1</v>
      </c>
      <c r="T470" s="17" t="s">
        <v>42</v>
      </c>
      <c r="U470" s="17" t="s">
        <v>42</v>
      </c>
      <c r="V470" s="17" t="s">
        <v>42</v>
      </c>
      <c r="W470" s="5" t="s">
        <v>42</v>
      </c>
      <c r="X470" s="3" t="s">
        <v>42</v>
      </c>
      <c r="Y470" s="3" t="s">
        <v>42</v>
      </c>
      <c r="Z470" s="3" t="s">
        <v>383</v>
      </c>
      <c r="AA470" s="3" t="s">
        <v>2938</v>
      </c>
      <c r="AB470" s="3" t="s">
        <v>2939</v>
      </c>
      <c r="AC470" s="3" t="s">
        <v>385</v>
      </c>
      <c r="AD470" s="3" t="s">
        <v>2653</v>
      </c>
      <c r="AE470" s="5" t="s">
        <v>2940</v>
      </c>
      <c r="AF470" s="3" t="s">
        <v>60</v>
      </c>
      <c r="AG470" s="5" t="s">
        <v>42</v>
      </c>
      <c r="AH470" s="3" t="s">
        <v>61</v>
      </c>
      <c r="AI470" s="3" t="s">
        <v>61</v>
      </c>
      <c r="AJ470" s="3" t="s">
        <v>42</v>
      </c>
      <c r="AK470" s="3" t="s">
        <v>42</v>
      </c>
      <c r="AL470" s="29">
        <v>45895</v>
      </c>
      <c r="AM470" s="5" t="s">
        <v>42</v>
      </c>
      <c r="AN470" s="9" t="str">
        <f>HYPERLINK("https://my.pitchbook.com?p=461846-71P", "View People Online")</f>
        <v>View People Online</v>
      </c>
    </row>
    <row r="471" spans="1:40" x14ac:dyDescent="0.2">
      <c r="A471" s="2" t="s">
        <v>4268</v>
      </c>
      <c r="B471" s="2" t="s">
        <v>4269</v>
      </c>
      <c r="C471" s="2" t="s">
        <v>42</v>
      </c>
      <c r="D471" s="2" t="s">
        <v>42</v>
      </c>
      <c r="E471" s="2" t="s">
        <v>4268</v>
      </c>
      <c r="F471" s="2" t="s">
        <v>2181</v>
      </c>
      <c r="G471" s="2" t="s">
        <v>842</v>
      </c>
      <c r="H471" s="2" t="s">
        <v>42</v>
      </c>
      <c r="I471" s="2" t="s">
        <v>46</v>
      </c>
      <c r="J471" s="2" t="s">
        <v>47</v>
      </c>
      <c r="K471" s="2" t="s">
        <v>2183</v>
      </c>
      <c r="L471" s="2" t="s">
        <v>111</v>
      </c>
      <c r="M471" s="8" t="str">
        <f>HYPERLINK("http://www.serviceequipment.com.sa", "www.serviceequipment.com.sa")</f>
        <v>www.serviceequipment.com.sa</v>
      </c>
      <c r="N471" s="2" t="s">
        <v>4270</v>
      </c>
      <c r="O471" s="2" t="s">
        <v>42</v>
      </c>
      <c r="P471" s="2" t="s">
        <v>4271</v>
      </c>
      <c r="Q471" s="2" t="s">
        <v>42</v>
      </c>
      <c r="R471" s="16" t="s">
        <v>42</v>
      </c>
      <c r="S471" s="16">
        <v>1</v>
      </c>
      <c r="T471" s="16">
        <v>1</v>
      </c>
      <c r="U471" s="16" t="s">
        <v>42</v>
      </c>
      <c r="V471" s="16" t="s">
        <v>42</v>
      </c>
      <c r="W471" s="4" t="s">
        <v>2185</v>
      </c>
      <c r="X471" s="2" t="s">
        <v>4272</v>
      </c>
      <c r="Y471" s="8" t="str">
        <f>HYPERLINK("http://sa.linkedin.com/in/majed-balubaid-94965629", "http://sa.linkedin.com/in/majed-balubaid-94965629")</f>
        <v>http://sa.linkedin.com/in/majed-balubaid-94965629</v>
      </c>
      <c r="Z471" s="2" t="s">
        <v>174</v>
      </c>
      <c r="AA471" s="2" t="s">
        <v>2187</v>
      </c>
      <c r="AB471" s="2" t="s">
        <v>42</v>
      </c>
      <c r="AC471" s="2" t="s">
        <v>176</v>
      </c>
      <c r="AD471" s="2" t="s">
        <v>42</v>
      </c>
      <c r="AE471" s="4" t="s">
        <v>1454</v>
      </c>
      <c r="AF471" s="2" t="s">
        <v>60</v>
      </c>
      <c r="AG471" s="4" t="s">
        <v>42</v>
      </c>
      <c r="AH471" s="2" t="s">
        <v>61</v>
      </c>
      <c r="AI471" s="2" t="s">
        <v>61</v>
      </c>
      <c r="AJ471" s="2" t="s">
        <v>42</v>
      </c>
      <c r="AK471" s="2" t="s">
        <v>42</v>
      </c>
      <c r="AL471" s="28">
        <v>45737</v>
      </c>
      <c r="AM471" s="4" t="s">
        <v>42</v>
      </c>
      <c r="AN471" s="8" t="str">
        <f>HYPERLINK("https://my.pitchbook.com?p=439039-36P", "View People Online")</f>
        <v>View People Online</v>
      </c>
    </row>
    <row r="472" spans="1:40" x14ac:dyDescent="0.2">
      <c r="A472" s="3" t="s">
        <v>4273</v>
      </c>
      <c r="B472" s="3" t="s">
        <v>4274</v>
      </c>
      <c r="C472" s="3" t="s">
        <v>42</v>
      </c>
      <c r="D472" s="3" t="s">
        <v>42</v>
      </c>
      <c r="E472" s="3" t="s">
        <v>4273</v>
      </c>
      <c r="F472" s="3" t="s">
        <v>4275</v>
      </c>
      <c r="G472" s="3" t="s">
        <v>4276</v>
      </c>
      <c r="H472" s="3" t="s">
        <v>42</v>
      </c>
      <c r="I472" s="3" t="s">
        <v>46</v>
      </c>
      <c r="J472" s="3" t="s">
        <v>47</v>
      </c>
      <c r="K472" s="3" t="s">
        <v>2192</v>
      </c>
      <c r="L472" s="3" t="s">
        <v>111</v>
      </c>
      <c r="M472" s="9" t="str">
        <f>HYPERLINK("http://www.alhokair.com", "www.alhokair.com")</f>
        <v>www.alhokair.com</v>
      </c>
      <c r="N472" s="3" t="s">
        <v>246</v>
      </c>
      <c r="O472" s="3" t="s">
        <v>42</v>
      </c>
      <c r="P472" s="3" t="s">
        <v>4277</v>
      </c>
      <c r="Q472" s="3" t="s">
        <v>42</v>
      </c>
      <c r="R472" s="17">
        <v>1</v>
      </c>
      <c r="S472" s="17">
        <v>1</v>
      </c>
      <c r="T472" s="17" t="s">
        <v>42</v>
      </c>
      <c r="U472" s="17" t="s">
        <v>42</v>
      </c>
      <c r="V472" s="17" t="s">
        <v>42</v>
      </c>
      <c r="W472" s="5" t="s">
        <v>2194</v>
      </c>
      <c r="X472" s="3" t="s">
        <v>42</v>
      </c>
      <c r="Y472" s="9" t="str">
        <f>HYPERLINK("http://linkedin.com/in/majid-bin-abdulmohsen-alhokair-abb21365/", "http://linkedin.com/in/majid-bin-abdulmohsen-alhokair-abb21365/")</f>
        <v>http://linkedin.com/in/majid-bin-abdulmohsen-alhokair-abb21365/</v>
      </c>
      <c r="Z472" s="3" t="s">
        <v>55</v>
      </c>
      <c r="AA472" s="3" t="s">
        <v>2196</v>
      </c>
      <c r="AB472" s="3" t="s">
        <v>2197</v>
      </c>
      <c r="AC472" s="3" t="s">
        <v>58</v>
      </c>
      <c r="AD472" s="3" t="s">
        <v>42</v>
      </c>
      <c r="AE472" s="5" t="s">
        <v>2198</v>
      </c>
      <c r="AF472" s="3" t="s">
        <v>60</v>
      </c>
      <c r="AG472" s="5" t="s">
        <v>42</v>
      </c>
      <c r="AH472" s="3" t="s">
        <v>61</v>
      </c>
      <c r="AI472" s="3" t="s">
        <v>61</v>
      </c>
      <c r="AJ472" s="3" t="s">
        <v>42</v>
      </c>
      <c r="AK472" s="3" t="s">
        <v>42</v>
      </c>
      <c r="AL472" s="29">
        <v>45974</v>
      </c>
      <c r="AM472" s="5" t="s">
        <v>42</v>
      </c>
      <c r="AN472" s="9" t="str">
        <f>HYPERLINK("https://my.pitchbook.com?p=57046-15P", "View People Online")</f>
        <v>View People Online</v>
      </c>
    </row>
    <row r="473" spans="1:40" x14ac:dyDescent="0.2">
      <c r="A473" s="2" t="s">
        <v>4278</v>
      </c>
      <c r="B473" s="2" t="s">
        <v>4279</v>
      </c>
      <c r="C473" s="2" t="s">
        <v>42</v>
      </c>
      <c r="D473" s="2" t="s">
        <v>42</v>
      </c>
      <c r="E473" s="2" t="s">
        <v>4278</v>
      </c>
      <c r="F473" s="2" t="s">
        <v>4280</v>
      </c>
      <c r="G473" s="2" t="s">
        <v>4281</v>
      </c>
      <c r="H473" s="2" t="s">
        <v>4282</v>
      </c>
      <c r="I473" s="2" t="s">
        <v>46</v>
      </c>
      <c r="J473" s="2" t="s">
        <v>47</v>
      </c>
      <c r="K473" s="2" t="s">
        <v>4283</v>
      </c>
      <c r="L473" s="2" t="s">
        <v>111</v>
      </c>
      <c r="M473" s="8" t="str">
        <f>HYPERLINK("http://www.almoosahealthgroup.org", "www.almoosahealthgroup.org")</f>
        <v>www.almoosahealthgroup.org</v>
      </c>
      <c r="N473" s="2" t="s">
        <v>112</v>
      </c>
      <c r="O473" s="2" t="s">
        <v>42</v>
      </c>
      <c r="P473" s="2" t="s">
        <v>4284</v>
      </c>
      <c r="Q473" s="2" t="s">
        <v>4285</v>
      </c>
      <c r="R473" s="16">
        <v>1</v>
      </c>
      <c r="S473" s="16">
        <v>1</v>
      </c>
      <c r="T473" s="16">
        <v>1</v>
      </c>
      <c r="U473" s="16" t="s">
        <v>42</v>
      </c>
      <c r="V473" s="16" t="s">
        <v>42</v>
      </c>
      <c r="W473" s="4" t="s">
        <v>42</v>
      </c>
      <c r="X473" s="2" t="s">
        <v>4286</v>
      </c>
      <c r="Y473" s="8" t="str">
        <f>HYPERLINK("http://linkedin.com/in/malek-almoosa-bb2b492a/", "http://linkedin.com/in/malek-almoosa-bb2b492a/")</f>
        <v>http://linkedin.com/in/malek-almoosa-bb2b492a/</v>
      </c>
      <c r="Z473" s="2" t="s">
        <v>4287</v>
      </c>
      <c r="AA473" s="2" t="s">
        <v>4288</v>
      </c>
      <c r="AB473" s="2" t="s">
        <v>4289</v>
      </c>
      <c r="AC473" s="2" t="s">
        <v>4290</v>
      </c>
      <c r="AD473" s="2" t="s">
        <v>42</v>
      </c>
      <c r="AE473" s="4" t="s">
        <v>42</v>
      </c>
      <c r="AF473" s="2" t="s">
        <v>60</v>
      </c>
      <c r="AG473" s="4" t="s">
        <v>42</v>
      </c>
      <c r="AH473" s="2" t="s">
        <v>61</v>
      </c>
      <c r="AI473" s="2" t="s">
        <v>61</v>
      </c>
      <c r="AJ473" s="2" t="s">
        <v>42</v>
      </c>
      <c r="AK473" s="2" t="s">
        <v>42</v>
      </c>
      <c r="AL473" s="28">
        <v>46032</v>
      </c>
      <c r="AM473" s="4">
        <v>1983</v>
      </c>
      <c r="AN473" s="8" t="str">
        <f>HYPERLINK("https://my.pitchbook.com?p=415203-76P", "View People Online")</f>
        <v>View People Online</v>
      </c>
    </row>
    <row r="474" spans="1:40" x14ac:dyDescent="0.2">
      <c r="A474" s="3" t="s">
        <v>4291</v>
      </c>
      <c r="B474" s="3" t="s">
        <v>4292</v>
      </c>
      <c r="C474" s="3" t="s">
        <v>42</v>
      </c>
      <c r="D474" s="3" t="s">
        <v>42</v>
      </c>
      <c r="E474" s="3" t="s">
        <v>4291</v>
      </c>
      <c r="F474" s="3" t="s">
        <v>4293</v>
      </c>
      <c r="G474" s="3" t="s">
        <v>4294</v>
      </c>
      <c r="H474" s="3" t="s">
        <v>4295</v>
      </c>
      <c r="I474" s="3" t="s">
        <v>46</v>
      </c>
      <c r="J474" s="3" t="s">
        <v>47</v>
      </c>
      <c r="K474" s="3" t="s">
        <v>3718</v>
      </c>
      <c r="L474" s="3" t="s">
        <v>111</v>
      </c>
      <c r="M474" s="9" t="str">
        <f>HYPERLINK("http://www.modernmills.com.sa", "www.modernmills.com.sa")</f>
        <v>www.modernmills.com.sa</v>
      </c>
      <c r="N474" s="3" t="s">
        <v>210</v>
      </c>
      <c r="O474" s="3" t="s">
        <v>42</v>
      </c>
      <c r="P474" s="3" t="s">
        <v>4296</v>
      </c>
      <c r="Q474" s="3" t="s">
        <v>42</v>
      </c>
      <c r="R474" s="17" t="s">
        <v>42</v>
      </c>
      <c r="S474" s="17">
        <v>1</v>
      </c>
      <c r="T474" s="17">
        <v>1</v>
      </c>
      <c r="U474" s="17" t="s">
        <v>42</v>
      </c>
      <c r="V474" s="17" t="s">
        <v>42</v>
      </c>
      <c r="W474" s="5" t="s">
        <v>3719</v>
      </c>
      <c r="X474" s="3" t="s">
        <v>42</v>
      </c>
      <c r="Y474" s="3" t="s">
        <v>42</v>
      </c>
      <c r="Z474" s="3" t="s">
        <v>3720</v>
      </c>
      <c r="AA474" s="3" t="s">
        <v>3721</v>
      </c>
      <c r="AB474" s="3" t="s">
        <v>3722</v>
      </c>
      <c r="AC474" s="3" t="s">
        <v>3723</v>
      </c>
      <c r="AD474" s="3" t="s">
        <v>42</v>
      </c>
      <c r="AE474" s="5" t="s">
        <v>3724</v>
      </c>
      <c r="AF474" s="3" t="s">
        <v>60</v>
      </c>
      <c r="AG474" s="5" t="s">
        <v>42</v>
      </c>
      <c r="AH474" s="3" t="s">
        <v>61</v>
      </c>
      <c r="AI474" s="3" t="s">
        <v>61</v>
      </c>
      <c r="AJ474" s="3" t="s">
        <v>42</v>
      </c>
      <c r="AK474" s="3" t="s">
        <v>42</v>
      </c>
      <c r="AL474" s="29">
        <v>45735</v>
      </c>
      <c r="AM474" s="5" t="s">
        <v>42</v>
      </c>
      <c r="AN474" s="9" t="str">
        <f>HYPERLINK("https://my.pitchbook.com?p=350139-97P", "View People Online")</f>
        <v>View People Online</v>
      </c>
    </row>
    <row r="475" spans="1:40" x14ac:dyDescent="0.2">
      <c r="A475" s="2" t="s">
        <v>4297</v>
      </c>
      <c r="B475" s="2" t="s">
        <v>4298</v>
      </c>
      <c r="C475" s="2" t="s">
        <v>42</v>
      </c>
      <c r="D475" s="2" t="s">
        <v>42</v>
      </c>
      <c r="E475" s="2" t="s">
        <v>4297</v>
      </c>
      <c r="F475" s="2" t="s">
        <v>1639</v>
      </c>
      <c r="G475" s="2" t="s">
        <v>4299</v>
      </c>
      <c r="H475" s="2" t="s">
        <v>42</v>
      </c>
      <c r="I475" s="2" t="s">
        <v>46</v>
      </c>
      <c r="J475" s="2" t="s">
        <v>47</v>
      </c>
      <c r="K475" s="2" t="s">
        <v>2723</v>
      </c>
      <c r="L475" s="2" t="s">
        <v>111</v>
      </c>
      <c r="M475" s="8" t="str">
        <f>HYPERLINK("http://www.flynas.com", "www.flynas.com")</f>
        <v>www.flynas.com</v>
      </c>
      <c r="N475" s="2" t="s">
        <v>370</v>
      </c>
      <c r="O475" s="2" t="s">
        <v>42</v>
      </c>
      <c r="P475" s="2" t="s">
        <v>4300</v>
      </c>
      <c r="Q475" s="2" t="s">
        <v>42</v>
      </c>
      <c r="R475" s="16" t="s">
        <v>42</v>
      </c>
      <c r="S475" s="16">
        <v>1</v>
      </c>
      <c r="T475" s="16">
        <v>1</v>
      </c>
      <c r="U475" s="16" t="s">
        <v>42</v>
      </c>
      <c r="V475" s="16" t="s">
        <v>42</v>
      </c>
      <c r="W475" s="4" t="s">
        <v>2725</v>
      </c>
      <c r="X475" s="2" t="s">
        <v>4301</v>
      </c>
      <c r="Y475" s="8" t="str">
        <f>HYPERLINK("http://linkedin.com/in/mansoor-alharbi-7b978a7b/", "http://linkedin.com/in/mansoor-alharbi-7b978a7b/")</f>
        <v>http://linkedin.com/in/mansoor-alharbi-7b978a7b/</v>
      </c>
      <c r="Z475" s="2" t="s">
        <v>55</v>
      </c>
      <c r="AA475" s="2" t="s">
        <v>2726</v>
      </c>
      <c r="AB475" s="2" t="s">
        <v>692</v>
      </c>
      <c r="AC475" s="2" t="s">
        <v>58</v>
      </c>
      <c r="AD475" s="2" t="s">
        <v>42</v>
      </c>
      <c r="AE475" s="4" t="s">
        <v>2727</v>
      </c>
      <c r="AF475" s="2" t="s">
        <v>60</v>
      </c>
      <c r="AG475" s="4" t="s">
        <v>42</v>
      </c>
      <c r="AH475" s="2" t="s">
        <v>61</v>
      </c>
      <c r="AI475" s="2" t="s">
        <v>61</v>
      </c>
      <c r="AJ475" s="2" t="s">
        <v>42</v>
      </c>
      <c r="AK475" s="2" t="s">
        <v>42</v>
      </c>
      <c r="AL475" s="28">
        <v>45790</v>
      </c>
      <c r="AM475" s="4" t="s">
        <v>42</v>
      </c>
      <c r="AN475" s="8" t="str">
        <f>HYPERLINK("https://my.pitchbook.com?p=298844-56P", "View People Online")</f>
        <v>View People Online</v>
      </c>
    </row>
    <row r="476" spans="1:40" x14ac:dyDescent="0.2">
      <c r="A476" s="3" t="s">
        <v>4302</v>
      </c>
      <c r="B476" s="3" t="s">
        <v>4303</v>
      </c>
      <c r="C476" s="3" t="s">
        <v>42</v>
      </c>
      <c r="D476" s="3" t="s">
        <v>42</v>
      </c>
      <c r="E476" s="3" t="s">
        <v>4302</v>
      </c>
      <c r="F476" s="3" t="s">
        <v>4304</v>
      </c>
      <c r="G476" s="3" t="s">
        <v>4305</v>
      </c>
      <c r="H476" s="3" t="s">
        <v>4306</v>
      </c>
      <c r="I476" s="3" t="s">
        <v>46</v>
      </c>
      <c r="J476" s="3" t="s">
        <v>47</v>
      </c>
      <c r="K476" s="3" t="s">
        <v>2421</v>
      </c>
      <c r="L476" s="3" t="s">
        <v>111</v>
      </c>
      <c r="M476" s="9" t="str">
        <f>HYPERLINK("http://tcc-sa.com", "tcc-sa.com")</f>
        <v>tcc-sa.com</v>
      </c>
      <c r="N476" s="3" t="s">
        <v>534</v>
      </c>
      <c r="O476" s="3" t="s">
        <v>42</v>
      </c>
      <c r="P476" s="3" t="s">
        <v>4307</v>
      </c>
      <c r="Q476" s="3" t="s">
        <v>42</v>
      </c>
      <c r="R476" s="17" t="s">
        <v>42</v>
      </c>
      <c r="S476" s="17">
        <v>1</v>
      </c>
      <c r="T476" s="17">
        <v>1</v>
      </c>
      <c r="U476" s="17" t="s">
        <v>42</v>
      </c>
      <c r="V476" s="17" t="s">
        <v>42</v>
      </c>
      <c r="W476" s="5" t="s">
        <v>2423</v>
      </c>
      <c r="X476" s="3" t="s">
        <v>4308</v>
      </c>
      <c r="Y476" s="3" t="s">
        <v>42</v>
      </c>
      <c r="Z476" s="3" t="s">
        <v>2425</v>
      </c>
      <c r="AA476" s="3" t="s">
        <v>2426</v>
      </c>
      <c r="AB476" s="3" t="s">
        <v>42</v>
      </c>
      <c r="AC476" s="3" t="s">
        <v>2427</v>
      </c>
      <c r="AD476" s="3" t="s">
        <v>42</v>
      </c>
      <c r="AE476" s="5" t="s">
        <v>2428</v>
      </c>
      <c r="AF476" s="3" t="s">
        <v>60</v>
      </c>
      <c r="AG476" s="5" t="s">
        <v>2429</v>
      </c>
      <c r="AH476" s="3" t="s">
        <v>61</v>
      </c>
      <c r="AI476" s="3" t="s">
        <v>61</v>
      </c>
      <c r="AJ476" s="3" t="s">
        <v>42</v>
      </c>
      <c r="AK476" s="3" t="s">
        <v>42</v>
      </c>
      <c r="AL476" s="29">
        <v>45729</v>
      </c>
      <c r="AM476" s="5" t="s">
        <v>42</v>
      </c>
      <c r="AN476" s="9" t="str">
        <f>HYPERLINK("https://my.pitchbook.com?p=341848-00P", "View People Online")</f>
        <v>View People Online</v>
      </c>
    </row>
    <row r="477" spans="1:40" x14ac:dyDescent="0.2">
      <c r="A477" s="2" t="s">
        <v>4309</v>
      </c>
      <c r="B477" s="2" t="s">
        <v>4310</v>
      </c>
      <c r="C477" s="2" t="s">
        <v>42</v>
      </c>
      <c r="D477" s="2" t="s">
        <v>42</v>
      </c>
      <c r="E477" s="2" t="s">
        <v>4309</v>
      </c>
      <c r="F477" s="2" t="s">
        <v>4311</v>
      </c>
      <c r="G477" s="2" t="s">
        <v>4305</v>
      </c>
      <c r="H477" s="2" t="s">
        <v>4312</v>
      </c>
      <c r="I477" s="2" t="s">
        <v>42</v>
      </c>
      <c r="J477" s="2" t="s">
        <v>47</v>
      </c>
      <c r="K477" s="2" t="s">
        <v>4313</v>
      </c>
      <c r="L477" s="2" t="s">
        <v>111</v>
      </c>
      <c r="M477" s="8" t="str">
        <f>HYPERLINK("http://www.fc.med.sa", "www.fc.med.sa")</f>
        <v>www.fc.med.sa</v>
      </c>
      <c r="N477" s="2" t="s">
        <v>69</v>
      </c>
      <c r="O477" s="2" t="s">
        <v>42</v>
      </c>
      <c r="P477" s="2" t="s">
        <v>4314</v>
      </c>
      <c r="Q477" s="2" t="s">
        <v>42</v>
      </c>
      <c r="R477" s="16">
        <v>1</v>
      </c>
      <c r="S477" s="16">
        <v>1</v>
      </c>
      <c r="T477" s="16" t="s">
        <v>42</v>
      </c>
      <c r="U477" s="16" t="s">
        <v>42</v>
      </c>
      <c r="V477" s="16" t="s">
        <v>42</v>
      </c>
      <c r="W477" s="4" t="s">
        <v>4315</v>
      </c>
      <c r="X477" s="2" t="s">
        <v>42</v>
      </c>
      <c r="Y477" s="2" t="s">
        <v>42</v>
      </c>
      <c r="Z477" s="2" t="s">
        <v>174</v>
      </c>
      <c r="AA477" s="2" t="s">
        <v>4316</v>
      </c>
      <c r="AB477" s="2" t="s">
        <v>4317</v>
      </c>
      <c r="AC477" s="2" t="s">
        <v>176</v>
      </c>
      <c r="AD477" s="2" t="s">
        <v>42</v>
      </c>
      <c r="AE477" s="4" t="s">
        <v>4318</v>
      </c>
      <c r="AF477" s="2" t="s">
        <v>60</v>
      </c>
      <c r="AG477" s="4" t="s">
        <v>4315</v>
      </c>
      <c r="AH477" s="2" t="s">
        <v>61</v>
      </c>
      <c r="AI477" s="2" t="s">
        <v>61</v>
      </c>
      <c r="AJ477" s="2" t="s">
        <v>42</v>
      </c>
      <c r="AK477" s="2" t="s">
        <v>42</v>
      </c>
      <c r="AL477" s="28">
        <v>45805</v>
      </c>
      <c r="AM477" s="4" t="s">
        <v>42</v>
      </c>
      <c r="AN477" s="8" t="str">
        <f>HYPERLINK("https://my.pitchbook.com?p=426622-06P", "View People Online")</f>
        <v>View People Online</v>
      </c>
    </row>
    <row r="478" spans="1:40" x14ac:dyDescent="0.2">
      <c r="A478" s="3" t="s">
        <v>4319</v>
      </c>
      <c r="B478" s="3" t="s">
        <v>4320</v>
      </c>
      <c r="C478" s="3" t="s">
        <v>42</v>
      </c>
      <c r="D478" s="3" t="s">
        <v>42</v>
      </c>
      <c r="E478" s="3" t="s">
        <v>4319</v>
      </c>
      <c r="F478" s="3" t="s">
        <v>4321</v>
      </c>
      <c r="G478" s="3" t="s">
        <v>4305</v>
      </c>
      <c r="H478" s="3" t="s">
        <v>4322</v>
      </c>
      <c r="I478" s="3" t="s">
        <v>46</v>
      </c>
      <c r="J478" s="3" t="s">
        <v>47</v>
      </c>
      <c r="K478" s="3" t="s">
        <v>1983</v>
      </c>
      <c r="L478" s="3" t="s">
        <v>111</v>
      </c>
      <c r="M478" s="9" t="str">
        <f>HYPERLINK("http://www.drc.net.sa", "www.drc.net.sa")</f>
        <v>www.drc.net.sa</v>
      </c>
      <c r="N478" s="3" t="s">
        <v>370</v>
      </c>
      <c r="O478" s="3" t="s">
        <v>42</v>
      </c>
      <c r="P478" s="3" t="s">
        <v>4323</v>
      </c>
      <c r="Q478" s="3" t="s">
        <v>42</v>
      </c>
      <c r="R478" s="17" t="s">
        <v>42</v>
      </c>
      <c r="S478" s="17">
        <v>1</v>
      </c>
      <c r="T478" s="17">
        <v>1</v>
      </c>
      <c r="U478" s="17" t="s">
        <v>42</v>
      </c>
      <c r="V478" s="17" t="s">
        <v>42</v>
      </c>
      <c r="W478" s="5" t="s">
        <v>1985</v>
      </c>
      <c r="X478" s="3" t="s">
        <v>4324</v>
      </c>
      <c r="Y478" s="3" t="s">
        <v>42</v>
      </c>
      <c r="Z478" s="3" t="s">
        <v>55</v>
      </c>
      <c r="AA478" s="3" t="s">
        <v>1987</v>
      </c>
      <c r="AB478" s="3" t="s">
        <v>1988</v>
      </c>
      <c r="AC478" s="3" t="s">
        <v>58</v>
      </c>
      <c r="AD478" s="3" t="s">
        <v>42</v>
      </c>
      <c r="AE478" s="5" t="s">
        <v>42</v>
      </c>
      <c r="AF478" s="3" t="s">
        <v>60</v>
      </c>
      <c r="AG478" s="5" t="s">
        <v>42</v>
      </c>
      <c r="AH478" s="3" t="s">
        <v>61</v>
      </c>
      <c r="AI478" s="3" t="s">
        <v>61</v>
      </c>
      <c r="AJ478" s="3" t="s">
        <v>42</v>
      </c>
      <c r="AK478" s="3" t="s">
        <v>42</v>
      </c>
      <c r="AL478" s="29">
        <v>45660</v>
      </c>
      <c r="AM478" s="5" t="s">
        <v>42</v>
      </c>
      <c r="AN478" s="9" t="str">
        <f>HYPERLINK("https://my.pitchbook.com?p=427205-71P", "View People Online")</f>
        <v>View People Online</v>
      </c>
    </row>
    <row r="479" spans="1:40" x14ac:dyDescent="0.2">
      <c r="A479" s="2" t="s">
        <v>4325</v>
      </c>
      <c r="B479" s="2" t="s">
        <v>4326</v>
      </c>
      <c r="C479" s="2" t="s">
        <v>42</v>
      </c>
      <c r="D479" s="2" t="s">
        <v>42</v>
      </c>
      <c r="E479" s="2" t="s">
        <v>4325</v>
      </c>
      <c r="F479" s="2" t="s">
        <v>4327</v>
      </c>
      <c r="G479" s="2" t="s">
        <v>4328</v>
      </c>
      <c r="H479" s="2" t="s">
        <v>42</v>
      </c>
      <c r="I479" s="2" t="s">
        <v>46</v>
      </c>
      <c r="J479" s="2" t="s">
        <v>47</v>
      </c>
      <c r="K479" s="2" t="s">
        <v>3390</v>
      </c>
      <c r="L479" s="2" t="s">
        <v>111</v>
      </c>
      <c r="M479" s="8" t="str">
        <f>HYPERLINK("http://www.ugc.com.sa", "www.ugc.com.sa")</f>
        <v>www.ugc.com.sa</v>
      </c>
      <c r="N479" s="2" t="s">
        <v>534</v>
      </c>
      <c r="O479" s="2" t="s">
        <v>42</v>
      </c>
      <c r="P479" s="2" t="s">
        <v>4329</v>
      </c>
      <c r="Q479" s="2" t="s">
        <v>42</v>
      </c>
      <c r="R479" s="16" t="s">
        <v>42</v>
      </c>
      <c r="S479" s="16">
        <v>1</v>
      </c>
      <c r="T479" s="16">
        <v>1</v>
      </c>
      <c r="U479" s="16" t="s">
        <v>42</v>
      </c>
      <c r="V479" s="16" t="s">
        <v>42</v>
      </c>
      <c r="W479" s="4" t="s">
        <v>3392</v>
      </c>
      <c r="X479" s="2" t="s">
        <v>4330</v>
      </c>
      <c r="Y479" s="2" t="s">
        <v>42</v>
      </c>
      <c r="Z479" s="2" t="s">
        <v>174</v>
      </c>
      <c r="AA479" s="2" t="s">
        <v>3394</v>
      </c>
      <c r="AB479" s="2" t="s">
        <v>3395</v>
      </c>
      <c r="AC479" s="2" t="s">
        <v>176</v>
      </c>
      <c r="AD479" s="2" t="s">
        <v>42</v>
      </c>
      <c r="AE479" s="4" t="s">
        <v>3396</v>
      </c>
      <c r="AF479" s="2" t="s">
        <v>60</v>
      </c>
      <c r="AG479" s="4" t="s">
        <v>42</v>
      </c>
      <c r="AH479" s="2" t="s">
        <v>61</v>
      </c>
      <c r="AI479" s="2" t="s">
        <v>61</v>
      </c>
      <c r="AJ479" s="2" t="s">
        <v>42</v>
      </c>
      <c r="AK479" s="2" t="s">
        <v>42</v>
      </c>
      <c r="AL479" s="28">
        <v>45922</v>
      </c>
      <c r="AM479" s="4" t="s">
        <v>42</v>
      </c>
      <c r="AN479" s="8" t="str">
        <f>HYPERLINK("https://my.pitchbook.com?p=371854-99P", "View People Online")</f>
        <v>View People Online</v>
      </c>
    </row>
    <row r="480" spans="1:40" x14ac:dyDescent="0.2">
      <c r="A480" s="3" t="s">
        <v>4331</v>
      </c>
      <c r="B480" s="3" t="s">
        <v>4332</v>
      </c>
      <c r="C480" s="3" t="s">
        <v>42</v>
      </c>
      <c r="D480" s="3" t="s">
        <v>42</v>
      </c>
      <c r="E480" s="3" t="s">
        <v>4331</v>
      </c>
      <c r="F480" s="3" t="s">
        <v>4333</v>
      </c>
      <c r="G480" s="3" t="s">
        <v>4334</v>
      </c>
      <c r="H480" s="3" t="s">
        <v>42</v>
      </c>
      <c r="I480" s="3" t="s">
        <v>46</v>
      </c>
      <c r="J480" s="3" t="s">
        <v>47</v>
      </c>
      <c r="K480" s="3" t="s">
        <v>3008</v>
      </c>
      <c r="L480" s="3" t="s">
        <v>111</v>
      </c>
      <c r="M480" s="9" t="str">
        <f>HYPERLINK("http://www.alamar.com", "www.alamar.com")</f>
        <v>www.alamar.com</v>
      </c>
      <c r="N480" s="3" t="s">
        <v>534</v>
      </c>
      <c r="O480" s="3" t="s">
        <v>42</v>
      </c>
      <c r="P480" s="3" t="s">
        <v>4335</v>
      </c>
      <c r="Q480" s="3" t="s">
        <v>42</v>
      </c>
      <c r="R480" s="17" t="s">
        <v>42</v>
      </c>
      <c r="S480" s="17">
        <v>1</v>
      </c>
      <c r="T480" s="17">
        <v>1</v>
      </c>
      <c r="U480" s="17" t="s">
        <v>42</v>
      </c>
      <c r="V480" s="17" t="s">
        <v>42</v>
      </c>
      <c r="W480" s="5" t="s">
        <v>3011</v>
      </c>
      <c r="X480" s="3" t="s">
        <v>4336</v>
      </c>
      <c r="Y480" s="3" t="s">
        <v>42</v>
      </c>
      <c r="Z480" s="3" t="s">
        <v>55</v>
      </c>
      <c r="AA480" s="3" t="s">
        <v>3013</v>
      </c>
      <c r="AB480" s="3" t="s">
        <v>453</v>
      </c>
      <c r="AC480" s="3" t="s">
        <v>58</v>
      </c>
      <c r="AD480" s="3" t="s">
        <v>42</v>
      </c>
      <c r="AE480" s="5" t="s">
        <v>3014</v>
      </c>
      <c r="AF480" s="3" t="s">
        <v>60</v>
      </c>
      <c r="AG480" s="5" t="s">
        <v>3015</v>
      </c>
      <c r="AH480" s="3" t="s">
        <v>61</v>
      </c>
      <c r="AI480" s="3" t="s">
        <v>61</v>
      </c>
      <c r="AJ480" s="3" t="s">
        <v>42</v>
      </c>
      <c r="AK480" s="3" t="s">
        <v>42</v>
      </c>
      <c r="AL480" s="29">
        <v>45751</v>
      </c>
      <c r="AM480" s="5" t="s">
        <v>42</v>
      </c>
      <c r="AN480" s="9" t="str">
        <f>HYPERLINK("https://my.pitchbook.com?p=411356-44P", "View People Online")</f>
        <v>View People Online</v>
      </c>
    </row>
    <row r="481" spans="1:40" x14ac:dyDescent="0.2">
      <c r="A481" s="2" t="s">
        <v>4337</v>
      </c>
      <c r="B481" s="2" t="s">
        <v>4338</v>
      </c>
      <c r="C481" s="2" t="s">
        <v>42</v>
      </c>
      <c r="D481" s="2" t="s">
        <v>42</v>
      </c>
      <c r="E481" s="2" t="s">
        <v>4337</v>
      </c>
      <c r="F481" s="2" t="s">
        <v>4339</v>
      </c>
      <c r="G481" s="2" t="s">
        <v>4340</v>
      </c>
      <c r="H481" s="2" t="s">
        <v>42</v>
      </c>
      <c r="I481" s="2" t="s">
        <v>46</v>
      </c>
      <c r="J481" s="2" t="s">
        <v>47</v>
      </c>
      <c r="K481" s="2" t="s">
        <v>4341</v>
      </c>
      <c r="L481" s="2" t="s">
        <v>111</v>
      </c>
      <c r="M481" s="8" t="str">
        <f>HYPERLINK("http://www.othaimmarkets.com", "www.othaimmarkets.com")</f>
        <v>www.othaimmarkets.com</v>
      </c>
      <c r="N481" s="2" t="s">
        <v>2356</v>
      </c>
      <c r="O481" s="2" t="s">
        <v>42</v>
      </c>
      <c r="P481" s="2" t="s">
        <v>4342</v>
      </c>
      <c r="Q481" s="2" t="s">
        <v>42</v>
      </c>
      <c r="R481" s="16" t="s">
        <v>42</v>
      </c>
      <c r="S481" s="16">
        <v>1</v>
      </c>
      <c r="T481" s="16">
        <v>1</v>
      </c>
      <c r="U481" s="16" t="s">
        <v>42</v>
      </c>
      <c r="V481" s="16" t="s">
        <v>42</v>
      </c>
      <c r="W481" s="4" t="s">
        <v>4343</v>
      </c>
      <c r="X481" s="2" t="s">
        <v>42</v>
      </c>
      <c r="Y481" s="2" t="s">
        <v>42</v>
      </c>
      <c r="Z481" s="2" t="s">
        <v>55</v>
      </c>
      <c r="AA481" s="2" t="s">
        <v>4344</v>
      </c>
      <c r="AB481" s="2" t="s">
        <v>4345</v>
      </c>
      <c r="AC481" s="2" t="s">
        <v>58</v>
      </c>
      <c r="AD481" s="2" t="s">
        <v>42</v>
      </c>
      <c r="AE481" s="4" t="s">
        <v>3543</v>
      </c>
      <c r="AF481" s="2" t="s">
        <v>60</v>
      </c>
      <c r="AG481" s="4" t="s">
        <v>4346</v>
      </c>
      <c r="AH481" s="2" t="s">
        <v>61</v>
      </c>
      <c r="AI481" s="2" t="s">
        <v>61</v>
      </c>
      <c r="AJ481" s="2" t="s">
        <v>42</v>
      </c>
      <c r="AK481" s="2" t="s">
        <v>42</v>
      </c>
      <c r="AL481" s="28">
        <v>45719</v>
      </c>
      <c r="AM481" s="4" t="s">
        <v>42</v>
      </c>
      <c r="AN481" s="8" t="str">
        <f>HYPERLINK("https://my.pitchbook.com?p=372742-66P", "View People Online")</f>
        <v>View People Online</v>
      </c>
    </row>
    <row r="482" spans="1:40" x14ac:dyDescent="0.2">
      <c r="A482" s="3" t="s">
        <v>4347</v>
      </c>
      <c r="B482" s="3" t="s">
        <v>4348</v>
      </c>
      <c r="C482" s="3" t="s">
        <v>42</v>
      </c>
      <c r="D482" s="3" t="s">
        <v>42</v>
      </c>
      <c r="E482" s="3" t="s">
        <v>4347</v>
      </c>
      <c r="F482" s="3" t="s">
        <v>4349</v>
      </c>
      <c r="G482" s="3" t="s">
        <v>4340</v>
      </c>
      <c r="H482" s="3" t="s">
        <v>543</v>
      </c>
      <c r="I482" s="3" t="s">
        <v>46</v>
      </c>
      <c r="J482" s="3" t="s">
        <v>47</v>
      </c>
      <c r="K482" s="3" t="s">
        <v>4350</v>
      </c>
      <c r="L482" s="3" t="s">
        <v>111</v>
      </c>
      <c r="M482" s="9" t="str">
        <f>HYPERLINK("http://www.akada.com.sa", "www.akada.com.sa")</f>
        <v>www.akada.com.sa</v>
      </c>
      <c r="N482" s="3" t="s">
        <v>210</v>
      </c>
      <c r="O482" s="3" t="s">
        <v>42</v>
      </c>
      <c r="P482" s="3" t="s">
        <v>4351</v>
      </c>
      <c r="Q482" s="3" t="s">
        <v>42</v>
      </c>
      <c r="R482" s="17" t="s">
        <v>42</v>
      </c>
      <c r="S482" s="17">
        <v>1</v>
      </c>
      <c r="T482" s="17">
        <v>1</v>
      </c>
      <c r="U482" s="17" t="s">
        <v>42</v>
      </c>
      <c r="V482" s="17" t="s">
        <v>42</v>
      </c>
      <c r="W482" s="5" t="s">
        <v>4352</v>
      </c>
      <c r="X482" s="3" t="s">
        <v>4353</v>
      </c>
      <c r="Y482" s="9" t="str">
        <f>HYPERLINK("http://linkedin.com/in/marwan-al-hafez-2a3766356/?originalsubdomain=uk", "http://linkedin.com/in/marwan-al-hafez-2a3766356/?originalsubdomain=uk")</f>
        <v>http://linkedin.com/in/marwan-al-hafez-2a3766356/?originalsubdomain=uk</v>
      </c>
      <c r="Z482" s="3" t="s">
        <v>55</v>
      </c>
      <c r="AA482" s="3" t="s">
        <v>4354</v>
      </c>
      <c r="AB482" s="3" t="s">
        <v>42</v>
      </c>
      <c r="AC482" s="3" t="s">
        <v>58</v>
      </c>
      <c r="AD482" s="3" t="s">
        <v>42</v>
      </c>
      <c r="AE482" s="5" t="s">
        <v>4355</v>
      </c>
      <c r="AF482" s="3" t="s">
        <v>60</v>
      </c>
      <c r="AG482" s="5" t="s">
        <v>42</v>
      </c>
      <c r="AH482" s="3" t="s">
        <v>61</v>
      </c>
      <c r="AI482" s="3" t="s">
        <v>61</v>
      </c>
      <c r="AJ482" s="3" t="s">
        <v>42</v>
      </c>
      <c r="AK482" s="3" t="s">
        <v>42</v>
      </c>
      <c r="AL482" s="29">
        <v>45931</v>
      </c>
      <c r="AM482" s="5" t="s">
        <v>42</v>
      </c>
      <c r="AN482" s="9" t="str">
        <f>HYPERLINK("https://my.pitchbook.com?p=467360-02P", "View People Online")</f>
        <v>View People Online</v>
      </c>
    </row>
    <row r="483" spans="1:40" x14ac:dyDescent="0.2">
      <c r="A483" s="2" t="s">
        <v>4356</v>
      </c>
      <c r="B483" s="2" t="s">
        <v>4357</v>
      </c>
      <c r="C483" s="2" t="s">
        <v>42</v>
      </c>
      <c r="D483" s="2" t="s">
        <v>42</v>
      </c>
      <c r="E483" s="2" t="s">
        <v>4356</v>
      </c>
      <c r="F483" s="2" t="s">
        <v>167</v>
      </c>
      <c r="G483" s="2" t="s">
        <v>4358</v>
      </c>
      <c r="H483" s="2" t="s">
        <v>4359</v>
      </c>
      <c r="I483" s="2" t="s">
        <v>46</v>
      </c>
      <c r="J483" s="2" t="s">
        <v>47</v>
      </c>
      <c r="K483" s="2" t="s">
        <v>4360</v>
      </c>
      <c r="L483" s="2" t="s">
        <v>111</v>
      </c>
      <c r="M483" s="8" t="str">
        <f>HYPERLINK("http://www.qcc.com.sa", "www.qcc.com.sa")</f>
        <v>www.qcc.com.sa</v>
      </c>
      <c r="N483" s="2" t="s">
        <v>534</v>
      </c>
      <c r="O483" s="2" t="s">
        <v>42</v>
      </c>
      <c r="P483" s="2" t="s">
        <v>4361</v>
      </c>
      <c r="Q483" s="2" t="s">
        <v>42</v>
      </c>
      <c r="R483" s="16" t="s">
        <v>42</v>
      </c>
      <c r="S483" s="16">
        <v>1</v>
      </c>
      <c r="T483" s="16">
        <v>1</v>
      </c>
      <c r="U483" s="16" t="s">
        <v>42</v>
      </c>
      <c r="V483" s="16" t="s">
        <v>42</v>
      </c>
      <c r="W483" s="4" t="s">
        <v>4362</v>
      </c>
      <c r="X483" s="2" t="s">
        <v>4363</v>
      </c>
      <c r="Y483" s="2" t="s">
        <v>42</v>
      </c>
      <c r="Z483" s="2" t="s">
        <v>3419</v>
      </c>
      <c r="AA483" s="2" t="s">
        <v>4364</v>
      </c>
      <c r="AB483" s="2" t="s">
        <v>4365</v>
      </c>
      <c r="AC483" s="2" t="s">
        <v>3422</v>
      </c>
      <c r="AD483" s="2" t="s">
        <v>42</v>
      </c>
      <c r="AE483" s="4" t="s">
        <v>4366</v>
      </c>
      <c r="AF483" s="2" t="s">
        <v>60</v>
      </c>
      <c r="AG483" s="4" t="s">
        <v>4367</v>
      </c>
      <c r="AH483" s="2" t="s">
        <v>61</v>
      </c>
      <c r="AI483" s="2" t="s">
        <v>61</v>
      </c>
      <c r="AJ483" s="2" t="s">
        <v>42</v>
      </c>
      <c r="AK483" s="2" t="s">
        <v>42</v>
      </c>
      <c r="AL483" s="28">
        <v>45729</v>
      </c>
      <c r="AM483" s="4" t="s">
        <v>42</v>
      </c>
      <c r="AN483" s="8" t="str">
        <f>HYPERLINK("https://my.pitchbook.com?p=341595-46P", "View People Online")</f>
        <v>View People Online</v>
      </c>
    </row>
    <row r="484" spans="1:40" x14ac:dyDescent="0.2">
      <c r="A484" s="3" t="s">
        <v>4368</v>
      </c>
      <c r="B484" s="3" t="s">
        <v>4369</v>
      </c>
      <c r="C484" s="3" t="s">
        <v>42</v>
      </c>
      <c r="D484" s="3" t="s">
        <v>42</v>
      </c>
      <c r="E484" s="3" t="s">
        <v>4368</v>
      </c>
      <c r="F484" s="3" t="s">
        <v>4370</v>
      </c>
      <c r="G484" s="3" t="s">
        <v>854</v>
      </c>
      <c r="H484" s="3" t="s">
        <v>4371</v>
      </c>
      <c r="I484" s="3" t="s">
        <v>46</v>
      </c>
      <c r="J484" s="3" t="s">
        <v>47</v>
      </c>
      <c r="K484" s="3" t="s">
        <v>1543</v>
      </c>
      <c r="L484" s="3" t="s">
        <v>111</v>
      </c>
      <c r="M484" s="9" t="str">
        <f>HYPERLINK("http://www.bsf.sa", "www.bsf.sa")</f>
        <v>www.bsf.sa</v>
      </c>
      <c r="N484" s="3" t="s">
        <v>4372</v>
      </c>
      <c r="O484" s="3" t="s">
        <v>42</v>
      </c>
      <c r="P484" s="3" t="s">
        <v>4373</v>
      </c>
      <c r="Q484" s="3" t="s">
        <v>4374</v>
      </c>
      <c r="R484" s="17">
        <v>1</v>
      </c>
      <c r="S484" s="17">
        <v>1</v>
      </c>
      <c r="T484" s="17" t="s">
        <v>42</v>
      </c>
      <c r="U484" s="17" t="s">
        <v>42</v>
      </c>
      <c r="V484" s="17" t="s">
        <v>42</v>
      </c>
      <c r="W484" s="5" t="s">
        <v>1546</v>
      </c>
      <c r="X484" s="3" t="s">
        <v>42</v>
      </c>
      <c r="Y484" s="3" t="s">
        <v>42</v>
      </c>
      <c r="Z484" s="3" t="s">
        <v>55</v>
      </c>
      <c r="AA484" s="3" t="s">
        <v>1547</v>
      </c>
      <c r="AB484" s="3" t="s">
        <v>42</v>
      </c>
      <c r="AC484" s="3" t="s">
        <v>58</v>
      </c>
      <c r="AD484" s="3" t="s">
        <v>42</v>
      </c>
      <c r="AE484" s="5" t="s">
        <v>1548</v>
      </c>
      <c r="AF484" s="3" t="s">
        <v>60</v>
      </c>
      <c r="AG484" s="5" t="s">
        <v>1549</v>
      </c>
      <c r="AH484" s="3" t="s">
        <v>61</v>
      </c>
      <c r="AI484" s="3" t="s">
        <v>61</v>
      </c>
      <c r="AJ484" s="3" t="s">
        <v>42</v>
      </c>
      <c r="AK484" s="3" t="s">
        <v>42</v>
      </c>
      <c r="AL484" s="29">
        <v>46057</v>
      </c>
      <c r="AM484" s="5" t="s">
        <v>42</v>
      </c>
      <c r="AN484" s="9" t="str">
        <f>HYPERLINK("https://my.pitchbook.com?p=394845-31P", "View People Online")</f>
        <v>View People Online</v>
      </c>
    </row>
    <row r="485" spans="1:40" x14ac:dyDescent="0.2">
      <c r="A485" s="2" t="s">
        <v>4375</v>
      </c>
      <c r="B485" s="2" t="s">
        <v>4376</v>
      </c>
      <c r="C485" s="2" t="s">
        <v>42</v>
      </c>
      <c r="D485" s="2" t="s">
        <v>42</v>
      </c>
      <c r="E485" s="2" t="s">
        <v>4375</v>
      </c>
      <c r="F485" s="2" t="s">
        <v>4377</v>
      </c>
      <c r="G485" s="2" t="s">
        <v>854</v>
      </c>
      <c r="H485" s="2" t="s">
        <v>4378</v>
      </c>
      <c r="I485" s="2" t="s">
        <v>46</v>
      </c>
      <c r="J485" s="2" t="s">
        <v>47</v>
      </c>
      <c r="K485" s="2" t="s">
        <v>2511</v>
      </c>
      <c r="L485" s="2" t="s">
        <v>111</v>
      </c>
      <c r="M485" s="8" t="str">
        <f>HYPERLINK("http://www.ggi-sa.com", "www.ggi-sa.com")</f>
        <v>www.ggi-sa.com</v>
      </c>
      <c r="N485" s="2" t="s">
        <v>1058</v>
      </c>
      <c r="O485" s="2" t="s">
        <v>42</v>
      </c>
      <c r="P485" s="2" t="s">
        <v>4379</v>
      </c>
      <c r="Q485" s="2" t="s">
        <v>42</v>
      </c>
      <c r="R485" s="16">
        <v>1</v>
      </c>
      <c r="S485" s="16">
        <v>1</v>
      </c>
      <c r="T485" s="16" t="s">
        <v>42</v>
      </c>
      <c r="U485" s="16" t="s">
        <v>42</v>
      </c>
      <c r="V485" s="16" t="s">
        <v>42</v>
      </c>
      <c r="W485" s="4" t="s">
        <v>2513</v>
      </c>
      <c r="X485" s="2" t="s">
        <v>42</v>
      </c>
      <c r="Y485" s="8" t="str">
        <f>HYPERLINK("http://linkedin.com/in/mazen-altamimi", "http://linkedin.com/in/mazen-altamimi")</f>
        <v>http://linkedin.com/in/mazen-altamimi</v>
      </c>
      <c r="Z485" s="2" t="s">
        <v>174</v>
      </c>
      <c r="AA485" s="2" t="s">
        <v>2515</v>
      </c>
      <c r="AB485" s="2" t="s">
        <v>2516</v>
      </c>
      <c r="AC485" s="2" t="s">
        <v>176</v>
      </c>
      <c r="AD485" s="2" t="s">
        <v>42</v>
      </c>
      <c r="AE485" s="4" t="s">
        <v>2517</v>
      </c>
      <c r="AF485" s="2" t="s">
        <v>60</v>
      </c>
      <c r="AG485" s="4" t="s">
        <v>2518</v>
      </c>
      <c r="AH485" s="2" t="s">
        <v>61</v>
      </c>
      <c r="AI485" s="2" t="s">
        <v>61</v>
      </c>
      <c r="AJ485" s="2" t="s">
        <v>42</v>
      </c>
      <c r="AK485" s="2" t="s">
        <v>42</v>
      </c>
      <c r="AL485" s="28">
        <v>45916</v>
      </c>
      <c r="AM485" s="4" t="s">
        <v>42</v>
      </c>
      <c r="AN485" s="8" t="str">
        <f>HYPERLINK("https://my.pitchbook.com?p=465022-36P", "View People Online")</f>
        <v>View People Online</v>
      </c>
    </row>
    <row r="486" spans="1:40" x14ac:dyDescent="0.2">
      <c r="A486" s="3" t="s">
        <v>4380</v>
      </c>
      <c r="B486" s="3" t="s">
        <v>4381</v>
      </c>
      <c r="C486" s="3" t="s">
        <v>42</v>
      </c>
      <c r="D486" s="3" t="s">
        <v>42</v>
      </c>
      <c r="E486" s="3" t="s">
        <v>4380</v>
      </c>
      <c r="F486" s="3" t="s">
        <v>4382</v>
      </c>
      <c r="G486" s="3" t="s">
        <v>854</v>
      </c>
      <c r="H486" s="3" t="s">
        <v>4383</v>
      </c>
      <c r="I486" s="3" t="s">
        <v>46</v>
      </c>
      <c r="J486" s="3" t="s">
        <v>47</v>
      </c>
      <c r="K486" s="3" t="s">
        <v>4384</v>
      </c>
      <c r="L486" s="3" t="s">
        <v>111</v>
      </c>
      <c r="M486" s="9" t="str">
        <f>HYPERLINK("http://www.aljouf.com.sa", "www.aljouf.com.sa")</f>
        <v>www.aljouf.com.sa</v>
      </c>
      <c r="N486" s="3" t="s">
        <v>210</v>
      </c>
      <c r="O486" s="3" t="s">
        <v>42</v>
      </c>
      <c r="P486" s="3" t="s">
        <v>4385</v>
      </c>
      <c r="Q486" s="3" t="s">
        <v>42</v>
      </c>
      <c r="R486" s="17" t="s">
        <v>42</v>
      </c>
      <c r="S486" s="17">
        <v>1</v>
      </c>
      <c r="T486" s="17">
        <v>1</v>
      </c>
      <c r="U486" s="17" t="s">
        <v>42</v>
      </c>
      <c r="V486" s="17" t="s">
        <v>42</v>
      </c>
      <c r="W486" s="5" t="s">
        <v>4386</v>
      </c>
      <c r="X486" s="3" t="s">
        <v>42</v>
      </c>
      <c r="Y486" s="9" t="str">
        <f>HYPERLINK("http://linkedin.com/in/mazen-badawood-7547159/", "http://linkedin.com/in/mazen-badawood-7547159/")</f>
        <v>http://linkedin.com/in/mazen-badawood-7547159/</v>
      </c>
      <c r="Z486" s="3" t="s">
        <v>4387</v>
      </c>
      <c r="AA486" s="3" t="s">
        <v>4388</v>
      </c>
      <c r="AB486" s="3" t="s">
        <v>4389</v>
      </c>
      <c r="AC486" s="3" t="s">
        <v>4390</v>
      </c>
      <c r="AD486" s="3" t="s">
        <v>42</v>
      </c>
      <c r="AE486" s="5" t="s">
        <v>4391</v>
      </c>
      <c r="AF486" s="3" t="s">
        <v>60</v>
      </c>
      <c r="AG486" s="5" t="s">
        <v>4392</v>
      </c>
      <c r="AH486" s="3" t="s">
        <v>61</v>
      </c>
      <c r="AI486" s="3" t="s">
        <v>61</v>
      </c>
      <c r="AJ486" s="3" t="s">
        <v>42</v>
      </c>
      <c r="AK486" s="3" t="s">
        <v>42</v>
      </c>
      <c r="AL486" s="29">
        <v>45923</v>
      </c>
      <c r="AM486" s="5" t="s">
        <v>42</v>
      </c>
      <c r="AN486" s="9" t="str">
        <f>HYPERLINK("https://my.pitchbook.com?p=376874-29P", "View People Online")</f>
        <v>View People Online</v>
      </c>
    </row>
    <row r="487" spans="1:40" x14ac:dyDescent="0.2">
      <c r="A487" s="2" t="s">
        <v>4393</v>
      </c>
      <c r="B487" s="2" t="s">
        <v>4394</v>
      </c>
      <c r="C487" s="2" t="s">
        <v>42</v>
      </c>
      <c r="D487" s="2" t="s">
        <v>42</v>
      </c>
      <c r="E487" s="2" t="s">
        <v>4393</v>
      </c>
      <c r="F487" s="2" t="s">
        <v>1119</v>
      </c>
      <c r="G487" s="2" t="s">
        <v>854</v>
      </c>
      <c r="H487" s="2" t="s">
        <v>4395</v>
      </c>
      <c r="I487" s="2" t="s">
        <v>46</v>
      </c>
      <c r="J487" s="2" t="s">
        <v>47</v>
      </c>
      <c r="K487" s="2" t="s">
        <v>4396</v>
      </c>
      <c r="L487" s="2" t="s">
        <v>111</v>
      </c>
      <c r="M487" s="8" t="str">
        <f>HYPERLINK("http://www.tadweeer.com", "www.tadweeer.com")</f>
        <v>www.tadweeer.com</v>
      </c>
      <c r="N487" s="2" t="s">
        <v>2356</v>
      </c>
      <c r="O487" s="2" t="s">
        <v>42</v>
      </c>
      <c r="P487" s="2" t="s">
        <v>4397</v>
      </c>
      <c r="Q487" s="2" t="s">
        <v>42</v>
      </c>
      <c r="R487" s="16" t="s">
        <v>42</v>
      </c>
      <c r="S487" s="16">
        <v>1</v>
      </c>
      <c r="T487" s="16">
        <v>1</v>
      </c>
      <c r="U487" s="16" t="s">
        <v>42</v>
      </c>
      <c r="V487" s="16" t="s">
        <v>42</v>
      </c>
      <c r="W487" s="4" t="s">
        <v>4398</v>
      </c>
      <c r="X487" s="2" t="s">
        <v>42</v>
      </c>
      <c r="Y487" s="2" t="s">
        <v>42</v>
      </c>
      <c r="Z487" s="2" t="s">
        <v>55</v>
      </c>
      <c r="AA487" s="2" t="s">
        <v>4399</v>
      </c>
      <c r="AB487" s="2" t="s">
        <v>4400</v>
      </c>
      <c r="AC487" s="2" t="s">
        <v>58</v>
      </c>
      <c r="AD487" s="2" t="s">
        <v>42</v>
      </c>
      <c r="AE487" s="4" t="s">
        <v>42</v>
      </c>
      <c r="AF487" s="2" t="s">
        <v>60</v>
      </c>
      <c r="AG487" s="4" t="s">
        <v>4401</v>
      </c>
      <c r="AH487" s="2" t="s">
        <v>61</v>
      </c>
      <c r="AI487" s="2" t="s">
        <v>61</v>
      </c>
      <c r="AJ487" s="2" t="s">
        <v>42</v>
      </c>
      <c r="AK487" s="2" t="s">
        <v>42</v>
      </c>
      <c r="AL487" s="28">
        <v>45637</v>
      </c>
      <c r="AM487" s="4" t="s">
        <v>42</v>
      </c>
      <c r="AN487" s="8" t="str">
        <f>HYPERLINK("https://my.pitchbook.com?p=316676-62P", "View People Online")</f>
        <v>View People Online</v>
      </c>
    </row>
    <row r="488" spans="1:40" x14ac:dyDescent="0.2">
      <c r="A488" s="3" t="s">
        <v>4402</v>
      </c>
      <c r="B488" s="3" t="s">
        <v>4403</v>
      </c>
      <c r="C488" s="3" t="s">
        <v>42</v>
      </c>
      <c r="D488" s="3" t="s">
        <v>42</v>
      </c>
      <c r="E488" s="3" t="s">
        <v>4402</v>
      </c>
      <c r="F488" s="3" t="s">
        <v>4404</v>
      </c>
      <c r="G488" s="3" t="s">
        <v>208</v>
      </c>
      <c r="H488" s="3" t="s">
        <v>423</v>
      </c>
      <c r="I488" s="3" t="s">
        <v>46</v>
      </c>
      <c r="J488" s="3" t="s">
        <v>47</v>
      </c>
      <c r="K488" s="3" t="s">
        <v>4405</v>
      </c>
      <c r="L488" s="3" t="s">
        <v>111</v>
      </c>
      <c r="M488" s="9" t="str">
        <f>HYPERLINK("http://www.alinmainvest.com", "www.alinmainvest.com")</f>
        <v>www.alinmainvest.com</v>
      </c>
      <c r="N488" s="3" t="s">
        <v>139</v>
      </c>
      <c r="O488" s="3" t="s">
        <v>42</v>
      </c>
      <c r="P488" s="3" t="s">
        <v>4406</v>
      </c>
      <c r="Q488" s="3" t="s">
        <v>42</v>
      </c>
      <c r="R488" s="17">
        <v>1</v>
      </c>
      <c r="S488" s="17">
        <v>1</v>
      </c>
      <c r="T488" s="17" t="s">
        <v>42</v>
      </c>
      <c r="U488" s="17" t="s">
        <v>42</v>
      </c>
      <c r="V488" s="17" t="s">
        <v>42</v>
      </c>
      <c r="W488" s="5" t="s">
        <v>42</v>
      </c>
      <c r="X488" s="3" t="s">
        <v>42</v>
      </c>
      <c r="Y488" s="3" t="s">
        <v>42</v>
      </c>
      <c r="Z488" s="3" t="s">
        <v>55</v>
      </c>
      <c r="AA488" s="3" t="s">
        <v>4407</v>
      </c>
      <c r="AB488" s="3" t="s">
        <v>4408</v>
      </c>
      <c r="AC488" s="3" t="s">
        <v>58</v>
      </c>
      <c r="AD488" s="3" t="s">
        <v>42</v>
      </c>
      <c r="AE488" s="5" t="s">
        <v>1137</v>
      </c>
      <c r="AF488" s="3" t="s">
        <v>60</v>
      </c>
      <c r="AG488" s="5" t="s">
        <v>42</v>
      </c>
      <c r="AH488" s="3" t="s">
        <v>61</v>
      </c>
      <c r="AI488" s="3" t="s">
        <v>61</v>
      </c>
      <c r="AJ488" s="3" t="s">
        <v>42</v>
      </c>
      <c r="AK488" s="3" t="s">
        <v>42</v>
      </c>
      <c r="AL488" s="29">
        <v>45700</v>
      </c>
      <c r="AM488" s="5" t="s">
        <v>42</v>
      </c>
      <c r="AN488" s="9" t="str">
        <f>HYPERLINK("https://my.pitchbook.com?p=334136-89P", "View People Online")</f>
        <v>View People Online</v>
      </c>
    </row>
    <row r="489" spans="1:40" x14ac:dyDescent="0.2">
      <c r="A489" s="2" t="s">
        <v>4409</v>
      </c>
      <c r="B489" s="2" t="s">
        <v>4410</v>
      </c>
      <c r="C489" s="2" t="s">
        <v>42</v>
      </c>
      <c r="D489" s="2" t="s">
        <v>42</v>
      </c>
      <c r="E489" s="2" t="s">
        <v>4409</v>
      </c>
      <c r="F489" s="2" t="s">
        <v>4411</v>
      </c>
      <c r="G489" s="2" t="s">
        <v>4412</v>
      </c>
      <c r="H489" s="2" t="s">
        <v>1935</v>
      </c>
      <c r="I489" s="2" t="s">
        <v>46</v>
      </c>
      <c r="J489" s="2" t="s">
        <v>47</v>
      </c>
      <c r="K489" s="2" t="s">
        <v>4413</v>
      </c>
      <c r="L489" s="2" t="s">
        <v>111</v>
      </c>
      <c r="M489" s="8" t="str">
        <f>HYPERLINK("http://www.eic.com.sa", "www.eic.com.sa")</f>
        <v>www.eic.com.sa</v>
      </c>
      <c r="N489" s="2" t="s">
        <v>4414</v>
      </c>
      <c r="O489" s="2" t="s">
        <v>42</v>
      </c>
      <c r="P489" s="2" t="s">
        <v>4415</v>
      </c>
      <c r="Q489" s="2" t="s">
        <v>4416</v>
      </c>
      <c r="R489" s="16" t="s">
        <v>42</v>
      </c>
      <c r="S489" s="16">
        <v>1</v>
      </c>
      <c r="T489" s="16">
        <v>1</v>
      </c>
      <c r="U489" s="16" t="s">
        <v>42</v>
      </c>
      <c r="V489" s="16" t="s">
        <v>42</v>
      </c>
      <c r="W489" s="4" t="s">
        <v>4417</v>
      </c>
      <c r="X489" s="2" t="s">
        <v>4418</v>
      </c>
      <c r="Y489" s="8" t="str">
        <f>HYPERLINK("http://linkedin.com/in/medhat-adham-9356327/", "http://linkedin.com/in/medhat-adham-9356327/")</f>
        <v>http://linkedin.com/in/medhat-adham-9356327/</v>
      </c>
      <c r="Z489" s="2" t="s">
        <v>383</v>
      </c>
      <c r="AA489" s="2" t="s">
        <v>4419</v>
      </c>
      <c r="AB489" s="2" t="s">
        <v>4420</v>
      </c>
      <c r="AC489" s="2" t="s">
        <v>385</v>
      </c>
      <c r="AD489" s="2" t="s">
        <v>42</v>
      </c>
      <c r="AE489" s="4" t="s">
        <v>4421</v>
      </c>
      <c r="AF489" s="2" t="s">
        <v>60</v>
      </c>
      <c r="AG489" s="4" t="s">
        <v>4422</v>
      </c>
      <c r="AH489" s="2" t="s">
        <v>61</v>
      </c>
      <c r="AI489" s="2" t="s">
        <v>61</v>
      </c>
      <c r="AJ489" s="2" t="s">
        <v>42</v>
      </c>
      <c r="AK489" s="2" t="s">
        <v>42</v>
      </c>
      <c r="AL489" s="28">
        <v>45797</v>
      </c>
      <c r="AM489" s="4" t="s">
        <v>42</v>
      </c>
      <c r="AN489" s="8" t="str">
        <f>HYPERLINK("https://my.pitchbook.com?p=330200-29P", "View People Online")</f>
        <v>View People Online</v>
      </c>
    </row>
    <row r="490" spans="1:40" x14ac:dyDescent="0.2">
      <c r="A490" s="3" t="s">
        <v>4423</v>
      </c>
      <c r="B490" s="3" t="s">
        <v>4424</v>
      </c>
      <c r="C490" s="3" t="s">
        <v>42</v>
      </c>
      <c r="D490" s="3" t="s">
        <v>42</v>
      </c>
      <c r="E490" s="3" t="s">
        <v>4423</v>
      </c>
      <c r="F490" s="3" t="s">
        <v>4425</v>
      </c>
      <c r="G490" s="3" t="s">
        <v>4426</v>
      </c>
      <c r="H490" s="3" t="s">
        <v>42</v>
      </c>
      <c r="I490" s="3" t="s">
        <v>46</v>
      </c>
      <c r="J490" s="3" t="s">
        <v>47</v>
      </c>
      <c r="K490" s="3" t="s">
        <v>613</v>
      </c>
      <c r="L490" s="3" t="s">
        <v>111</v>
      </c>
      <c r="M490" s="9" t="str">
        <f>HYPERLINK("http://www.sa.zain.com", "www.sa.zain.com")</f>
        <v>www.sa.zain.com</v>
      </c>
      <c r="N490" s="3" t="s">
        <v>534</v>
      </c>
      <c r="O490" s="3" t="s">
        <v>42</v>
      </c>
      <c r="P490" s="3" t="s">
        <v>4427</v>
      </c>
      <c r="Q490" s="3" t="s">
        <v>4428</v>
      </c>
      <c r="R490" s="17" t="s">
        <v>42</v>
      </c>
      <c r="S490" s="17">
        <v>1</v>
      </c>
      <c r="T490" s="17">
        <v>1</v>
      </c>
      <c r="U490" s="17" t="s">
        <v>42</v>
      </c>
      <c r="V490" s="17" t="s">
        <v>42</v>
      </c>
      <c r="W490" s="5" t="s">
        <v>615</v>
      </c>
      <c r="X490" s="3" t="s">
        <v>42</v>
      </c>
      <c r="Y490" s="9" t="str">
        <f>HYPERLINK("http://linkedin.com/in/mehdi-khalfaoui-b8b6676", "http://linkedin.com/in/mehdi-khalfaoui-b8b6676")</f>
        <v>http://linkedin.com/in/mehdi-khalfaoui-b8b6676</v>
      </c>
      <c r="Z490" s="3" t="s">
        <v>55</v>
      </c>
      <c r="AA490" s="3" t="s">
        <v>616</v>
      </c>
      <c r="AB490" s="3" t="s">
        <v>617</v>
      </c>
      <c r="AC490" s="3" t="s">
        <v>58</v>
      </c>
      <c r="AD490" s="3" t="s">
        <v>42</v>
      </c>
      <c r="AE490" s="5" t="s">
        <v>618</v>
      </c>
      <c r="AF490" s="3" t="s">
        <v>60</v>
      </c>
      <c r="AG490" s="5" t="s">
        <v>42</v>
      </c>
      <c r="AH490" s="3" t="s">
        <v>61</v>
      </c>
      <c r="AI490" s="3" t="s">
        <v>61</v>
      </c>
      <c r="AJ490" s="3" t="s">
        <v>42</v>
      </c>
      <c r="AK490" s="3" t="s">
        <v>42</v>
      </c>
      <c r="AL490" s="29">
        <v>45751</v>
      </c>
      <c r="AM490" s="5" t="s">
        <v>42</v>
      </c>
      <c r="AN490" s="9" t="str">
        <f>HYPERLINK("https://my.pitchbook.com?p=342066-61P", "View People Online")</f>
        <v>View People Online</v>
      </c>
    </row>
    <row r="491" spans="1:40" x14ac:dyDescent="0.2">
      <c r="A491" s="2" t="s">
        <v>4429</v>
      </c>
      <c r="B491" s="2" t="s">
        <v>4430</v>
      </c>
      <c r="C491" s="2" t="s">
        <v>42</v>
      </c>
      <c r="D491" s="2" t="s">
        <v>42</v>
      </c>
      <c r="E491" s="2" t="s">
        <v>4429</v>
      </c>
      <c r="F491" s="2" t="s">
        <v>4431</v>
      </c>
      <c r="G491" s="2" t="s">
        <v>4432</v>
      </c>
      <c r="H491" s="2" t="s">
        <v>4433</v>
      </c>
      <c r="I491" s="2" t="s">
        <v>46</v>
      </c>
      <c r="J491" s="2" t="s">
        <v>47</v>
      </c>
      <c r="K491" s="2" t="s">
        <v>3089</v>
      </c>
      <c r="L491" s="2" t="s">
        <v>111</v>
      </c>
      <c r="M491" s="8" t="str">
        <f>HYPERLINK("http://www.nbm.com.sa", "www.nbm.com.sa")</f>
        <v>www.nbm.com.sa</v>
      </c>
      <c r="N491" s="2" t="s">
        <v>112</v>
      </c>
      <c r="O491" s="2" t="s">
        <v>42</v>
      </c>
      <c r="P491" s="2" t="s">
        <v>4434</v>
      </c>
      <c r="Q491" s="2" t="s">
        <v>42</v>
      </c>
      <c r="R491" s="16">
        <v>1</v>
      </c>
      <c r="S491" s="16">
        <v>1</v>
      </c>
      <c r="T491" s="16">
        <v>1</v>
      </c>
      <c r="U491" s="16" t="s">
        <v>42</v>
      </c>
      <c r="V491" s="16" t="s">
        <v>42</v>
      </c>
      <c r="W491" s="4" t="s">
        <v>3091</v>
      </c>
      <c r="X491" s="2" t="s">
        <v>4435</v>
      </c>
      <c r="Y491" s="8" t="str">
        <f>HYPERLINK("http://linkedin.com/in/mishaal-alokla/", "http://linkedin.com/in/mishaal-alokla/")</f>
        <v>http://linkedin.com/in/mishaal-alokla/</v>
      </c>
      <c r="Z491" s="2" t="s">
        <v>55</v>
      </c>
      <c r="AA491" s="2" t="s">
        <v>2687</v>
      </c>
      <c r="AB491" s="2" t="s">
        <v>3092</v>
      </c>
      <c r="AC491" s="2" t="s">
        <v>58</v>
      </c>
      <c r="AD491" s="2" t="s">
        <v>42</v>
      </c>
      <c r="AE491" s="4" t="s">
        <v>3093</v>
      </c>
      <c r="AF491" s="2" t="s">
        <v>60</v>
      </c>
      <c r="AG491" s="4" t="s">
        <v>3094</v>
      </c>
      <c r="AH491" s="2" t="s">
        <v>61</v>
      </c>
      <c r="AI491" s="2" t="s">
        <v>61</v>
      </c>
      <c r="AJ491" s="2" t="s">
        <v>42</v>
      </c>
      <c r="AK491" s="2" t="s">
        <v>42</v>
      </c>
      <c r="AL491" s="28">
        <v>45936</v>
      </c>
      <c r="AM491" s="4" t="s">
        <v>42</v>
      </c>
      <c r="AN491" s="8" t="str">
        <f>HYPERLINK("https://my.pitchbook.com?p=340980-49P", "View People Online")</f>
        <v>View People Online</v>
      </c>
    </row>
    <row r="492" spans="1:40" x14ac:dyDescent="0.2">
      <c r="A492" s="3" t="s">
        <v>4436</v>
      </c>
      <c r="B492" s="3" t="s">
        <v>4437</v>
      </c>
      <c r="C492" s="3" t="s">
        <v>42</v>
      </c>
      <c r="D492" s="3" t="s">
        <v>42</v>
      </c>
      <c r="E492" s="3" t="s">
        <v>4436</v>
      </c>
      <c r="F492" s="3" t="s">
        <v>4438</v>
      </c>
      <c r="G492" s="3" t="s">
        <v>4439</v>
      </c>
      <c r="H492" s="3" t="s">
        <v>4440</v>
      </c>
      <c r="I492" s="3" t="s">
        <v>46</v>
      </c>
      <c r="J492" s="3" t="s">
        <v>47</v>
      </c>
      <c r="K492" s="3" t="s">
        <v>2859</v>
      </c>
      <c r="L492" s="3" t="s">
        <v>111</v>
      </c>
      <c r="M492" s="9" t="str">
        <f>HYPERLINK("http://alkathiriholding.com", "alkathiriholding.com")</f>
        <v>alkathiriholding.com</v>
      </c>
      <c r="N492" s="3" t="s">
        <v>112</v>
      </c>
      <c r="O492" s="3" t="s">
        <v>42</v>
      </c>
      <c r="P492" s="3" t="s">
        <v>4441</v>
      </c>
      <c r="Q492" s="3" t="s">
        <v>42</v>
      </c>
      <c r="R492" s="17">
        <v>1</v>
      </c>
      <c r="S492" s="17">
        <v>1</v>
      </c>
      <c r="T492" s="17">
        <v>1</v>
      </c>
      <c r="U492" s="17" t="s">
        <v>42</v>
      </c>
      <c r="V492" s="17" t="s">
        <v>42</v>
      </c>
      <c r="W492" s="5" t="s">
        <v>2861</v>
      </c>
      <c r="X492" s="3" t="s">
        <v>4442</v>
      </c>
      <c r="Y492" s="9" t="str">
        <f>HYPERLINK("http://linkedin.com/in/meshal-alkathiri-764a02159/", "http://linkedin.com/in/meshal-alkathiri-764a02159/")</f>
        <v>http://linkedin.com/in/meshal-alkathiri-764a02159/</v>
      </c>
      <c r="Z492" s="3" t="s">
        <v>55</v>
      </c>
      <c r="AA492" s="3" t="s">
        <v>2863</v>
      </c>
      <c r="AB492" s="3" t="s">
        <v>2864</v>
      </c>
      <c r="AC492" s="3" t="s">
        <v>58</v>
      </c>
      <c r="AD492" s="3" t="s">
        <v>42</v>
      </c>
      <c r="AE492" s="5" t="s">
        <v>2865</v>
      </c>
      <c r="AF492" s="3" t="s">
        <v>60</v>
      </c>
      <c r="AG492" s="5" t="s">
        <v>42</v>
      </c>
      <c r="AH492" s="3" t="s">
        <v>61</v>
      </c>
      <c r="AI492" s="3" t="s">
        <v>61</v>
      </c>
      <c r="AJ492" s="3" t="s">
        <v>42</v>
      </c>
      <c r="AK492" s="3" t="s">
        <v>42</v>
      </c>
      <c r="AL492" s="29">
        <v>45673</v>
      </c>
      <c r="AM492" s="5" t="s">
        <v>42</v>
      </c>
      <c r="AN492" s="9" t="str">
        <f>HYPERLINK("https://my.pitchbook.com?p=327594-07P", "View People Online")</f>
        <v>View People Online</v>
      </c>
    </row>
    <row r="493" spans="1:40" x14ac:dyDescent="0.2">
      <c r="A493" s="2" t="s">
        <v>4443</v>
      </c>
      <c r="B493" s="2" t="s">
        <v>4444</v>
      </c>
      <c r="C493" s="2" t="s">
        <v>42</v>
      </c>
      <c r="D493" s="2" t="s">
        <v>42</v>
      </c>
      <c r="E493" s="2" t="s">
        <v>4443</v>
      </c>
      <c r="F493" s="2" t="s">
        <v>4445</v>
      </c>
      <c r="G493" s="2" t="s">
        <v>4439</v>
      </c>
      <c r="H493" s="2" t="s">
        <v>543</v>
      </c>
      <c r="I493" s="2" t="s">
        <v>46</v>
      </c>
      <c r="J493" s="2" t="s">
        <v>47</v>
      </c>
      <c r="K493" s="2" t="s">
        <v>4446</v>
      </c>
      <c r="L493" s="2" t="s">
        <v>111</v>
      </c>
      <c r="M493" s="2" t="s">
        <v>42</v>
      </c>
      <c r="N493" s="2" t="s">
        <v>246</v>
      </c>
      <c r="O493" s="2" t="s">
        <v>42</v>
      </c>
      <c r="P493" s="2" t="s">
        <v>4447</v>
      </c>
      <c r="Q493" s="2" t="s">
        <v>42</v>
      </c>
      <c r="R493" s="16">
        <v>1</v>
      </c>
      <c r="S493" s="16">
        <v>1</v>
      </c>
      <c r="T493" s="16" t="s">
        <v>42</v>
      </c>
      <c r="U493" s="16" t="s">
        <v>42</v>
      </c>
      <c r="V493" s="16" t="s">
        <v>42</v>
      </c>
      <c r="W493" s="4" t="s">
        <v>4448</v>
      </c>
      <c r="X493" s="2" t="s">
        <v>42</v>
      </c>
      <c r="Y493" s="2" t="s">
        <v>42</v>
      </c>
      <c r="Z493" s="2" t="s">
        <v>55</v>
      </c>
      <c r="AA493" s="2" t="s">
        <v>4449</v>
      </c>
      <c r="AB493" s="2" t="s">
        <v>1062</v>
      </c>
      <c r="AC493" s="2" t="s">
        <v>58</v>
      </c>
      <c r="AD493" s="2" t="s">
        <v>42</v>
      </c>
      <c r="AE493" s="4" t="s">
        <v>4450</v>
      </c>
      <c r="AF493" s="2" t="s">
        <v>60</v>
      </c>
      <c r="AG493" s="4" t="s">
        <v>42</v>
      </c>
      <c r="AH493" s="2" t="s">
        <v>61</v>
      </c>
      <c r="AI493" s="2" t="s">
        <v>61</v>
      </c>
      <c r="AJ493" s="2" t="s">
        <v>42</v>
      </c>
      <c r="AK493" s="2" t="s">
        <v>42</v>
      </c>
      <c r="AL493" s="28">
        <v>45679</v>
      </c>
      <c r="AM493" s="4" t="s">
        <v>42</v>
      </c>
      <c r="AN493" s="8" t="str">
        <f>HYPERLINK("https://my.pitchbook.com?p=328695-76P", "View People Online")</f>
        <v>View People Online</v>
      </c>
    </row>
    <row r="494" spans="1:40" x14ac:dyDescent="0.2">
      <c r="A494" s="3" t="s">
        <v>4451</v>
      </c>
      <c r="B494" s="3" t="s">
        <v>4452</v>
      </c>
      <c r="C494" s="3" t="s">
        <v>42</v>
      </c>
      <c r="D494" s="3" t="s">
        <v>42</v>
      </c>
      <c r="E494" s="3" t="s">
        <v>4451</v>
      </c>
      <c r="F494" s="3" t="s">
        <v>4453</v>
      </c>
      <c r="G494" s="3" t="s">
        <v>4454</v>
      </c>
      <c r="H494" s="3" t="s">
        <v>65</v>
      </c>
      <c r="I494" s="3" t="s">
        <v>46</v>
      </c>
      <c r="J494" s="3" t="s">
        <v>47</v>
      </c>
      <c r="K494" s="3" t="s">
        <v>569</v>
      </c>
      <c r="L494" s="3" t="s">
        <v>111</v>
      </c>
      <c r="M494" s="9" t="str">
        <f>HYPERLINK("http://www.alinma.com", "www.alinma.com")</f>
        <v>www.alinma.com</v>
      </c>
      <c r="N494" s="3" t="s">
        <v>370</v>
      </c>
      <c r="O494" s="3" t="s">
        <v>42</v>
      </c>
      <c r="P494" s="3" t="s">
        <v>4455</v>
      </c>
      <c r="Q494" s="3" t="s">
        <v>128</v>
      </c>
      <c r="R494" s="17" t="s">
        <v>42</v>
      </c>
      <c r="S494" s="17">
        <v>1</v>
      </c>
      <c r="T494" s="17">
        <v>1</v>
      </c>
      <c r="U494" s="17" t="s">
        <v>42</v>
      </c>
      <c r="V494" s="17" t="s">
        <v>42</v>
      </c>
      <c r="W494" s="5" t="s">
        <v>573</v>
      </c>
      <c r="X494" s="3" t="s">
        <v>42</v>
      </c>
      <c r="Y494" s="9" t="str">
        <f>HYPERLINK("http://linkedin.com/in/meshary-aljubair-2a1237240/", "http://linkedin.com/in/meshary-aljubair-2a1237240/")</f>
        <v>http://linkedin.com/in/meshary-aljubair-2a1237240/</v>
      </c>
      <c r="Z494" s="3" t="s">
        <v>55</v>
      </c>
      <c r="AA494" s="3" t="s">
        <v>574</v>
      </c>
      <c r="AB494" s="3" t="s">
        <v>575</v>
      </c>
      <c r="AC494" s="3" t="s">
        <v>58</v>
      </c>
      <c r="AD494" s="3" t="s">
        <v>42</v>
      </c>
      <c r="AE494" s="5" t="s">
        <v>576</v>
      </c>
      <c r="AF494" s="3" t="s">
        <v>60</v>
      </c>
      <c r="AG494" s="5" t="s">
        <v>577</v>
      </c>
      <c r="AH494" s="3" t="s">
        <v>61</v>
      </c>
      <c r="AI494" s="3" t="s">
        <v>61</v>
      </c>
      <c r="AJ494" s="3" t="s">
        <v>42</v>
      </c>
      <c r="AK494" s="3" t="s">
        <v>42</v>
      </c>
      <c r="AL494" s="29">
        <v>45876</v>
      </c>
      <c r="AM494" s="5" t="s">
        <v>42</v>
      </c>
      <c r="AN494" s="9" t="str">
        <f>HYPERLINK("https://my.pitchbook.com?p=314611-21P", "View People Online")</f>
        <v>View People Online</v>
      </c>
    </row>
    <row r="495" spans="1:40" x14ac:dyDescent="0.2">
      <c r="A495" s="2" t="s">
        <v>4456</v>
      </c>
      <c r="B495" s="2" t="s">
        <v>4457</v>
      </c>
      <c r="C495" s="2" t="s">
        <v>42</v>
      </c>
      <c r="D495" s="2" t="s">
        <v>42</v>
      </c>
      <c r="E495" s="2" t="s">
        <v>4456</v>
      </c>
      <c r="F495" s="2" t="s">
        <v>4458</v>
      </c>
      <c r="G495" s="2" t="s">
        <v>4459</v>
      </c>
      <c r="H495" s="2" t="s">
        <v>42</v>
      </c>
      <c r="I495" s="2" t="s">
        <v>46</v>
      </c>
      <c r="J495" s="2" t="s">
        <v>47</v>
      </c>
      <c r="K495" s="2" t="s">
        <v>3204</v>
      </c>
      <c r="L495" s="2" t="s">
        <v>111</v>
      </c>
      <c r="M495" s="8" t="str">
        <f>HYPERLINK("http://gulfunion.com.sa", "gulfunion.com.sa")</f>
        <v>gulfunion.com.sa</v>
      </c>
      <c r="N495" s="2" t="s">
        <v>210</v>
      </c>
      <c r="O495" s="2" t="s">
        <v>42</v>
      </c>
      <c r="P495" s="2" t="s">
        <v>4460</v>
      </c>
      <c r="Q495" s="2" t="s">
        <v>42</v>
      </c>
      <c r="R495" s="16" t="s">
        <v>42</v>
      </c>
      <c r="S495" s="16">
        <v>1</v>
      </c>
      <c r="T495" s="16">
        <v>1</v>
      </c>
      <c r="U495" s="16" t="s">
        <v>42</v>
      </c>
      <c r="V495" s="16" t="s">
        <v>42</v>
      </c>
      <c r="W495" s="4" t="s">
        <v>3206</v>
      </c>
      <c r="X495" s="2" t="s">
        <v>4461</v>
      </c>
      <c r="Y495" s="8" t="str">
        <f>HYPERLINK("http://linkedin.com/in/mesheal-alshayea-3a58693a/?originalsubdomain=sa", "http://linkedin.com/in/mesheal-alshayea-3a58693a/?originalsubdomain=sa")</f>
        <v>http://linkedin.com/in/mesheal-alshayea-3a58693a/?originalsubdomain=sa</v>
      </c>
      <c r="Z495" s="2" t="s">
        <v>383</v>
      </c>
      <c r="AA495" s="2" t="s">
        <v>3208</v>
      </c>
      <c r="AB495" s="2" t="s">
        <v>3209</v>
      </c>
      <c r="AC495" s="2" t="s">
        <v>385</v>
      </c>
      <c r="AD495" s="2" t="s">
        <v>42</v>
      </c>
      <c r="AE495" s="4" t="s">
        <v>3210</v>
      </c>
      <c r="AF495" s="2" t="s">
        <v>60</v>
      </c>
      <c r="AG495" s="4" t="s">
        <v>42</v>
      </c>
      <c r="AH495" s="2" t="s">
        <v>61</v>
      </c>
      <c r="AI495" s="2" t="s">
        <v>61</v>
      </c>
      <c r="AJ495" s="2" t="s">
        <v>42</v>
      </c>
      <c r="AK495" s="2" t="s">
        <v>42</v>
      </c>
      <c r="AL495" s="28">
        <v>45728</v>
      </c>
      <c r="AM495" s="4" t="s">
        <v>42</v>
      </c>
      <c r="AN495" s="8" t="str">
        <f>HYPERLINK("https://my.pitchbook.com?p=340367-50P", "View People Online")</f>
        <v>View People Online</v>
      </c>
    </row>
    <row r="496" spans="1:40" x14ac:dyDescent="0.2">
      <c r="A496" s="3" t="s">
        <v>4462</v>
      </c>
      <c r="B496" s="3" t="s">
        <v>4463</v>
      </c>
      <c r="C496" s="3" t="s">
        <v>42</v>
      </c>
      <c r="D496" s="3" t="s">
        <v>42</v>
      </c>
      <c r="E496" s="3" t="s">
        <v>4462</v>
      </c>
      <c r="F496" s="3" t="s">
        <v>4464</v>
      </c>
      <c r="G496" s="3" t="s">
        <v>4465</v>
      </c>
      <c r="H496" s="3" t="s">
        <v>4466</v>
      </c>
      <c r="I496" s="3" t="s">
        <v>46</v>
      </c>
      <c r="J496" s="3" t="s">
        <v>47</v>
      </c>
      <c r="K496" s="3" t="s">
        <v>1510</v>
      </c>
      <c r="L496" s="3" t="s">
        <v>111</v>
      </c>
      <c r="M496" s="9" t="str">
        <f>HYPERLINK("http://www.firstmills.com", "www.firstmills.com")</f>
        <v>www.firstmills.com</v>
      </c>
      <c r="N496" s="3" t="s">
        <v>370</v>
      </c>
      <c r="O496" s="3" t="s">
        <v>42</v>
      </c>
      <c r="P496" s="3" t="s">
        <v>4467</v>
      </c>
      <c r="Q496" s="3" t="s">
        <v>42</v>
      </c>
      <c r="R496" s="17" t="s">
        <v>42</v>
      </c>
      <c r="S496" s="17">
        <v>1</v>
      </c>
      <c r="T496" s="17">
        <v>1</v>
      </c>
      <c r="U496" s="17" t="s">
        <v>42</v>
      </c>
      <c r="V496" s="17" t="s">
        <v>42</v>
      </c>
      <c r="W496" s="5" t="s">
        <v>1512</v>
      </c>
      <c r="X496" s="3" t="s">
        <v>4468</v>
      </c>
      <c r="Y496" s="9" t="str">
        <f>HYPERLINK("http://linkedin.com/in/michael-albers-08064a1a8", "http://linkedin.com/in/michael-albers-08064a1a8")</f>
        <v>http://linkedin.com/in/michael-albers-08064a1a8</v>
      </c>
      <c r="Z496" s="3" t="s">
        <v>174</v>
      </c>
      <c r="AA496" s="3" t="s">
        <v>1513</v>
      </c>
      <c r="AB496" s="3" t="s">
        <v>1514</v>
      </c>
      <c r="AC496" s="3" t="s">
        <v>176</v>
      </c>
      <c r="AD496" s="3" t="s">
        <v>42</v>
      </c>
      <c r="AE496" s="5" t="s">
        <v>1515</v>
      </c>
      <c r="AF496" s="3" t="s">
        <v>60</v>
      </c>
      <c r="AG496" s="5" t="s">
        <v>1516</v>
      </c>
      <c r="AH496" s="3" t="s">
        <v>61</v>
      </c>
      <c r="AI496" s="3" t="s">
        <v>61</v>
      </c>
      <c r="AJ496" s="3" t="s">
        <v>42</v>
      </c>
      <c r="AK496" s="3" t="s">
        <v>42</v>
      </c>
      <c r="AL496" s="29">
        <v>45887</v>
      </c>
      <c r="AM496" s="5" t="s">
        <v>42</v>
      </c>
      <c r="AN496" s="9" t="str">
        <f>HYPERLINK("https://my.pitchbook.com?p=460575-28P", "View People Online")</f>
        <v>View People Online</v>
      </c>
    </row>
    <row r="497" spans="1:40" x14ac:dyDescent="0.2">
      <c r="A497" s="2" t="s">
        <v>4469</v>
      </c>
      <c r="B497" s="2" t="s">
        <v>4470</v>
      </c>
      <c r="C497" s="2" t="s">
        <v>42</v>
      </c>
      <c r="D497" s="2" t="s">
        <v>42</v>
      </c>
      <c r="E497" s="2" t="s">
        <v>4469</v>
      </c>
      <c r="F497" s="2" t="s">
        <v>4471</v>
      </c>
      <c r="G497" s="2" t="s">
        <v>4472</v>
      </c>
      <c r="H497" s="2" t="s">
        <v>42</v>
      </c>
      <c r="I497" s="2" t="s">
        <v>46</v>
      </c>
      <c r="J497" s="2" t="s">
        <v>47</v>
      </c>
      <c r="K497" s="2" t="s">
        <v>4473</v>
      </c>
      <c r="L497" s="2" t="s">
        <v>111</v>
      </c>
      <c r="M497" s="8" t="str">
        <f>HYPERLINK("http://www.nineforbrands.com.au", "www.nineforbrands.com.au")</f>
        <v>www.nineforbrands.com.au</v>
      </c>
      <c r="N497" s="2" t="s">
        <v>112</v>
      </c>
      <c r="O497" s="2" t="s">
        <v>42</v>
      </c>
      <c r="P497" s="2" t="s">
        <v>4474</v>
      </c>
      <c r="Q497" s="2" t="s">
        <v>42</v>
      </c>
      <c r="R497" s="16" t="s">
        <v>42</v>
      </c>
      <c r="S497" s="16">
        <v>1</v>
      </c>
      <c r="T497" s="16">
        <v>1</v>
      </c>
      <c r="U497" s="16" t="s">
        <v>42</v>
      </c>
      <c r="V497" s="16" t="s">
        <v>42</v>
      </c>
      <c r="W497" s="4" t="s">
        <v>1082</v>
      </c>
      <c r="X497" s="2" t="s">
        <v>4475</v>
      </c>
      <c r="Y497" s="8" t="str">
        <f>HYPERLINK("http://in.linkedin.com/in/mikesneesby", "http://in.linkedin.com/in/mikesneesby")</f>
        <v>http://in.linkedin.com/in/mikesneesby</v>
      </c>
      <c r="Z497" s="2" t="s">
        <v>55</v>
      </c>
      <c r="AA497" s="2" t="s">
        <v>1084</v>
      </c>
      <c r="AB497" s="2" t="s">
        <v>1085</v>
      </c>
      <c r="AC497" s="2" t="s">
        <v>58</v>
      </c>
      <c r="AD497" s="2" t="s">
        <v>42</v>
      </c>
      <c r="AE497" s="4" t="s">
        <v>1086</v>
      </c>
      <c r="AF497" s="2" t="s">
        <v>60</v>
      </c>
      <c r="AG497" s="4" t="s">
        <v>1087</v>
      </c>
      <c r="AH497" s="2" t="s">
        <v>61</v>
      </c>
      <c r="AI497" s="2" t="s">
        <v>61</v>
      </c>
      <c r="AJ497" s="2" t="s">
        <v>42</v>
      </c>
      <c r="AK497" s="2" t="s">
        <v>42</v>
      </c>
      <c r="AL497" s="28">
        <v>45983</v>
      </c>
      <c r="AM497" s="4" t="s">
        <v>42</v>
      </c>
      <c r="AN497" s="8" t="str">
        <f>HYPERLINK("https://my.pitchbook.com?p=162981-28P", "View People Online")</f>
        <v>View People Online</v>
      </c>
    </row>
    <row r="498" spans="1:40" x14ac:dyDescent="0.2">
      <c r="A498" s="3" t="s">
        <v>4476</v>
      </c>
      <c r="B498" s="3" t="s">
        <v>4477</v>
      </c>
      <c r="C498" s="3" t="s">
        <v>42</v>
      </c>
      <c r="D498" s="3" t="s">
        <v>42</v>
      </c>
      <c r="E498" s="3" t="s">
        <v>4476</v>
      </c>
      <c r="F498" s="3" t="s">
        <v>93</v>
      </c>
      <c r="G498" s="3" t="s">
        <v>4478</v>
      </c>
      <c r="H498" s="3" t="s">
        <v>4479</v>
      </c>
      <c r="I498" s="3" t="s">
        <v>46</v>
      </c>
      <c r="J498" s="3" t="s">
        <v>47</v>
      </c>
      <c r="K498" s="3" t="s">
        <v>751</v>
      </c>
      <c r="L498" s="3" t="s">
        <v>111</v>
      </c>
      <c r="M498" s="9" t="str">
        <f>HYPERLINK("http://www.jahezgroup.com", "www.jahezgroup.com")</f>
        <v>www.jahezgroup.com</v>
      </c>
      <c r="N498" s="3" t="s">
        <v>246</v>
      </c>
      <c r="O498" s="3" t="s">
        <v>42</v>
      </c>
      <c r="P498" s="3" t="s">
        <v>4480</v>
      </c>
      <c r="Q498" s="3" t="s">
        <v>42</v>
      </c>
      <c r="R498" s="17">
        <v>1</v>
      </c>
      <c r="S498" s="17">
        <v>1</v>
      </c>
      <c r="T498" s="17">
        <v>1</v>
      </c>
      <c r="U498" s="17" t="s">
        <v>42</v>
      </c>
      <c r="V498" s="17" t="s">
        <v>42</v>
      </c>
      <c r="W498" s="5" t="s">
        <v>42</v>
      </c>
      <c r="X498" s="3" t="s">
        <v>42</v>
      </c>
      <c r="Y498" s="9" t="str">
        <f>HYPERLINK("http://linkedin.com/in/mishal-bin-sultan-al-saud-2067b11ba/", "http://linkedin.com/in/mishal-bin-sultan-al-saud-2067b11ba/")</f>
        <v>http://linkedin.com/in/mishal-bin-sultan-al-saud-2067b11ba/</v>
      </c>
      <c r="Z498" s="3" t="s">
        <v>55</v>
      </c>
      <c r="AA498" s="3" t="s">
        <v>755</v>
      </c>
      <c r="AB498" s="3" t="s">
        <v>756</v>
      </c>
      <c r="AC498" s="3" t="s">
        <v>58</v>
      </c>
      <c r="AD498" s="3" t="s">
        <v>42</v>
      </c>
      <c r="AE498" s="5" t="s">
        <v>757</v>
      </c>
      <c r="AF498" s="3" t="s">
        <v>60</v>
      </c>
      <c r="AG498" s="5" t="s">
        <v>42</v>
      </c>
      <c r="AH498" s="3" t="s">
        <v>61</v>
      </c>
      <c r="AI498" s="3" t="s">
        <v>61</v>
      </c>
      <c r="AJ498" s="3" t="s">
        <v>42</v>
      </c>
      <c r="AK498" s="3" t="s">
        <v>42</v>
      </c>
      <c r="AL498" s="29">
        <v>46055</v>
      </c>
      <c r="AM498" s="5">
        <v>1988</v>
      </c>
      <c r="AN498" s="9" t="str">
        <f>HYPERLINK("https://my.pitchbook.com?p=284769-55P", "View People Online")</f>
        <v>View People Online</v>
      </c>
    </row>
    <row r="499" spans="1:40" x14ac:dyDescent="0.2">
      <c r="A499" s="2" t="s">
        <v>4481</v>
      </c>
      <c r="B499" s="2" t="s">
        <v>4482</v>
      </c>
      <c r="C499" s="2" t="s">
        <v>42</v>
      </c>
      <c r="D499" s="2" t="s">
        <v>42</v>
      </c>
      <c r="E499" s="2" t="s">
        <v>4481</v>
      </c>
      <c r="F499" s="2" t="s">
        <v>4483</v>
      </c>
      <c r="G499" s="2" t="s">
        <v>4484</v>
      </c>
      <c r="H499" s="2" t="s">
        <v>2055</v>
      </c>
      <c r="I499" s="2" t="s">
        <v>46</v>
      </c>
      <c r="J499" s="2" t="s">
        <v>47</v>
      </c>
      <c r="K499" s="2" t="s">
        <v>2801</v>
      </c>
      <c r="L499" s="2" t="s">
        <v>111</v>
      </c>
      <c r="M499" s="8" t="str">
        <f>HYPERLINK("http://www.arabiancement.com.sa", "www.arabiancement.com.sa")</f>
        <v>www.arabiancement.com.sa</v>
      </c>
      <c r="N499" s="2" t="s">
        <v>534</v>
      </c>
      <c r="O499" s="2" t="s">
        <v>42</v>
      </c>
      <c r="P499" s="2" t="s">
        <v>4485</v>
      </c>
      <c r="Q499" s="2" t="s">
        <v>42</v>
      </c>
      <c r="R499" s="16" t="s">
        <v>42</v>
      </c>
      <c r="S499" s="16">
        <v>1</v>
      </c>
      <c r="T499" s="16">
        <v>1</v>
      </c>
      <c r="U499" s="16" t="s">
        <v>42</v>
      </c>
      <c r="V499" s="16" t="s">
        <v>42</v>
      </c>
      <c r="W499" s="4" t="s">
        <v>2803</v>
      </c>
      <c r="X499" s="2" t="s">
        <v>4486</v>
      </c>
      <c r="Y499" s="8" t="str">
        <f>HYPERLINK("http://linkedin.com/in/moataz-mortada-cpa-95823820b/", "http://linkedin.com/in/moataz-mortada-cpa-95823820b/")</f>
        <v>http://linkedin.com/in/moataz-mortada-cpa-95823820b/</v>
      </c>
      <c r="Z499" s="2" t="s">
        <v>174</v>
      </c>
      <c r="AA499" s="2" t="s">
        <v>2805</v>
      </c>
      <c r="AB499" s="2" t="s">
        <v>42</v>
      </c>
      <c r="AC499" s="2" t="s">
        <v>176</v>
      </c>
      <c r="AD499" s="2" t="s">
        <v>42</v>
      </c>
      <c r="AE499" s="4" t="s">
        <v>2806</v>
      </c>
      <c r="AF499" s="2" t="s">
        <v>60</v>
      </c>
      <c r="AG499" s="4" t="s">
        <v>2807</v>
      </c>
      <c r="AH499" s="2" t="s">
        <v>61</v>
      </c>
      <c r="AI499" s="2" t="s">
        <v>61</v>
      </c>
      <c r="AJ499" s="2" t="s">
        <v>42</v>
      </c>
      <c r="AK499" s="2" t="s">
        <v>42</v>
      </c>
      <c r="AL499" s="28">
        <v>45974</v>
      </c>
      <c r="AM499" s="4" t="s">
        <v>42</v>
      </c>
      <c r="AN499" s="8" t="str">
        <f>HYPERLINK("https://my.pitchbook.com?p=386729-20P", "View People Online")</f>
        <v>View People Online</v>
      </c>
    </row>
    <row r="500" spans="1:40" x14ac:dyDescent="0.2">
      <c r="A500" s="3" t="s">
        <v>4487</v>
      </c>
      <c r="B500" s="3" t="s">
        <v>4488</v>
      </c>
      <c r="C500" s="3" t="s">
        <v>42</v>
      </c>
      <c r="D500" s="3" t="s">
        <v>42</v>
      </c>
      <c r="E500" s="3" t="s">
        <v>4487</v>
      </c>
      <c r="F500" s="3" t="s">
        <v>2569</v>
      </c>
      <c r="G500" s="3" t="s">
        <v>4489</v>
      </c>
      <c r="H500" s="3" t="s">
        <v>622</v>
      </c>
      <c r="I500" s="3" t="s">
        <v>46</v>
      </c>
      <c r="J500" s="3" t="s">
        <v>47</v>
      </c>
      <c r="K500" s="3" t="s">
        <v>4490</v>
      </c>
      <c r="L500" s="3" t="s">
        <v>111</v>
      </c>
      <c r="M500" s="9" t="str">
        <f>HYPERLINK("http://www.avalonpharmaceutical.com", "www.avalonpharmaceutical.com")</f>
        <v>www.avalonpharmaceutical.com</v>
      </c>
      <c r="N500" s="3" t="s">
        <v>534</v>
      </c>
      <c r="O500" s="3" t="s">
        <v>42</v>
      </c>
      <c r="P500" s="3" t="s">
        <v>4491</v>
      </c>
      <c r="Q500" s="3" t="s">
        <v>42</v>
      </c>
      <c r="R500" s="17" t="s">
        <v>42</v>
      </c>
      <c r="S500" s="17">
        <v>1</v>
      </c>
      <c r="T500" s="17">
        <v>1</v>
      </c>
      <c r="U500" s="17" t="s">
        <v>42</v>
      </c>
      <c r="V500" s="17" t="s">
        <v>42</v>
      </c>
      <c r="W500" s="5" t="s">
        <v>4492</v>
      </c>
      <c r="X500" s="3" t="s">
        <v>4493</v>
      </c>
      <c r="Y500" s="9" t="str">
        <f>HYPERLINK("http://linkedin.com/in/moazam-a-shah-fca-maicd-53539519/", "http://linkedin.com/in/moazam-a-shah-fca-maicd-53539519/")</f>
        <v>http://linkedin.com/in/moazam-a-shah-fca-maicd-53539519/</v>
      </c>
      <c r="Z500" s="3" t="s">
        <v>55</v>
      </c>
      <c r="AA500" s="3" t="s">
        <v>4494</v>
      </c>
      <c r="AB500" s="3" t="s">
        <v>4495</v>
      </c>
      <c r="AC500" s="3" t="s">
        <v>58</v>
      </c>
      <c r="AD500" s="3" t="s">
        <v>42</v>
      </c>
      <c r="AE500" s="5" t="s">
        <v>4496</v>
      </c>
      <c r="AF500" s="3" t="s">
        <v>60</v>
      </c>
      <c r="AG500" s="5" t="s">
        <v>42</v>
      </c>
      <c r="AH500" s="3" t="s">
        <v>61</v>
      </c>
      <c r="AI500" s="3" t="s">
        <v>61</v>
      </c>
      <c r="AJ500" s="3" t="s">
        <v>42</v>
      </c>
      <c r="AK500" s="3" t="s">
        <v>42</v>
      </c>
      <c r="AL500" s="29">
        <v>45848</v>
      </c>
      <c r="AM500" s="5" t="s">
        <v>42</v>
      </c>
      <c r="AN500" s="9" t="str">
        <f>HYPERLINK("https://my.pitchbook.com?p=454621-96P", "View People Online")</f>
        <v>View People Online</v>
      </c>
    </row>
    <row r="501" spans="1:40" x14ac:dyDescent="0.2">
      <c r="A501" s="2" t="s">
        <v>4497</v>
      </c>
      <c r="B501" s="2" t="s">
        <v>4498</v>
      </c>
      <c r="C501" s="2" t="s">
        <v>42</v>
      </c>
      <c r="D501" s="2" t="s">
        <v>42</v>
      </c>
      <c r="E501" s="2" t="s">
        <v>4497</v>
      </c>
      <c r="F501" s="2" t="s">
        <v>4499</v>
      </c>
      <c r="G501" s="2" t="s">
        <v>195</v>
      </c>
      <c r="H501" s="2" t="s">
        <v>42</v>
      </c>
      <c r="I501" s="2" t="s">
        <v>46</v>
      </c>
      <c r="J501" s="2" t="s">
        <v>47</v>
      </c>
      <c r="K501" s="2" t="s">
        <v>1992</v>
      </c>
      <c r="L501" s="2" t="s">
        <v>111</v>
      </c>
      <c r="M501" s="8" t="str">
        <f>HYPERLINK("http://www.cenomiretail.com", "www.cenomiretail.com")</f>
        <v>www.cenomiretail.com</v>
      </c>
      <c r="N501" s="2" t="s">
        <v>370</v>
      </c>
      <c r="O501" s="2" t="s">
        <v>42</v>
      </c>
      <c r="P501" s="2" t="s">
        <v>4500</v>
      </c>
      <c r="Q501" s="2" t="s">
        <v>42</v>
      </c>
      <c r="R501" s="16" t="s">
        <v>42</v>
      </c>
      <c r="S501" s="16">
        <v>1</v>
      </c>
      <c r="T501" s="16">
        <v>1</v>
      </c>
      <c r="U501" s="16" t="s">
        <v>42</v>
      </c>
      <c r="V501" s="16" t="s">
        <v>42</v>
      </c>
      <c r="W501" s="4" t="s">
        <v>1995</v>
      </c>
      <c r="X501" s="2" t="s">
        <v>4501</v>
      </c>
      <c r="Y501" s="8" t="str">
        <f>HYPERLINK("http://linkedin.com/in/mohamed-abbas-284326119/", "http://linkedin.com/in/mohamed-abbas-284326119/")</f>
        <v>http://linkedin.com/in/mohamed-abbas-284326119/</v>
      </c>
      <c r="Z501" s="2" t="s">
        <v>55</v>
      </c>
      <c r="AA501" s="2" t="s">
        <v>1997</v>
      </c>
      <c r="AB501" s="2" t="s">
        <v>1998</v>
      </c>
      <c r="AC501" s="2" t="s">
        <v>58</v>
      </c>
      <c r="AD501" s="2" t="s">
        <v>42</v>
      </c>
      <c r="AE501" s="4" t="s">
        <v>1999</v>
      </c>
      <c r="AF501" s="2" t="s">
        <v>60</v>
      </c>
      <c r="AG501" s="4" t="s">
        <v>1995</v>
      </c>
      <c r="AH501" s="2" t="s">
        <v>61</v>
      </c>
      <c r="AI501" s="2" t="s">
        <v>61</v>
      </c>
      <c r="AJ501" s="2" t="s">
        <v>42</v>
      </c>
      <c r="AK501" s="2" t="s">
        <v>42</v>
      </c>
      <c r="AL501" s="28">
        <v>45917</v>
      </c>
      <c r="AM501" s="4" t="s">
        <v>42</v>
      </c>
      <c r="AN501" s="8" t="str">
        <f>HYPERLINK("https://my.pitchbook.com?p=437323-24P", "View People Online")</f>
        <v>View People Online</v>
      </c>
    </row>
    <row r="502" spans="1:40" x14ac:dyDescent="0.2">
      <c r="A502" s="3" t="s">
        <v>4502</v>
      </c>
      <c r="B502" s="3" t="s">
        <v>4503</v>
      </c>
      <c r="C502" s="3" t="s">
        <v>42</v>
      </c>
      <c r="D502" s="3" t="s">
        <v>42</v>
      </c>
      <c r="E502" s="3" t="s">
        <v>4502</v>
      </c>
      <c r="F502" s="3" t="s">
        <v>167</v>
      </c>
      <c r="G502" s="3" t="s">
        <v>195</v>
      </c>
      <c r="H502" s="3" t="s">
        <v>4504</v>
      </c>
      <c r="I502" s="3" t="s">
        <v>46</v>
      </c>
      <c r="J502" s="3" t="s">
        <v>47</v>
      </c>
      <c r="K502" s="3" t="s">
        <v>4011</v>
      </c>
      <c r="L502" s="3" t="s">
        <v>111</v>
      </c>
      <c r="M502" s="9" t="str">
        <f>HYPERLINK("http://www.niceonesa.com", "www.niceonesa.com")</f>
        <v>www.niceonesa.com</v>
      </c>
      <c r="N502" s="3" t="s">
        <v>534</v>
      </c>
      <c r="O502" s="3" t="s">
        <v>42</v>
      </c>
      <c r="P502" s="3" t="s">
        <v>4505</v>
      </c>
      <c r="Q502" s="3" t="s">
        <v>42</v>
      </c>
      <c r="R502" s="17" t="s">
        <v>42</v>
      </c>
      <c r="S502" s="17">
        <v>1</v>
      </c>
      <c r="T502" s="17">
        <v>1</v>
      </c>
      <c r="U502" s="17" t="s">
        <v>42</v>
      </c>
      <c r="V502" s="17" t="s">
        <v>42</v>
      </c>
      <c r="W502" s="5" t="s">
        <v>42</v>
      </c>
      <c r="X502" s="3" t="s">
        <v>42</v>
      </c>
      <c r="Y502" s="3" t="s">
        <v>42</v>
      </c>
      <c r="Z502" s="3" t="s">
        <v>55</v>
      </c>
      <c r="AA502" s="3" t="s">
        <v>4014</v>
      </c>
      <c r="AB502" s="3" t="s">
        <v>4015</v>
      </c>
      <c r="AC502" s="3" t="s">
        <v>58</v>
      </c>
      <c r="AD502" s="3" t="s">
        <v>4016</v>
      </c>
      <c r="AE502" s="5" t="s">
        <v>4017</v>
      </c>
      <c r="AF502" s="3" t="s">
        <v>60</v>
      </c>
      <c r="AG502" s="5" t="s">
        <v>42</v>
      </c>
      <c r="AH502" s="3" t="s">
        <v>61</v>
      </c>
      <c r="AI502" s="3" t="s">
        <v>61</v>
      </c>
      <c r="AJ502" s="3" t="s">
        <v>42</v>
      </c>
      <c r="AK502" s="3" t="s">
        <v>42</v>
      </c>
      <c r="AL502" s="29">
        <v>45621</v>
      </c>
      <c r="AM502" s="5" t="s">
        <v>42</v>
      </c>
      <c r="AN502" s="9" t="str">
        <f>HYPERLINK("https://my.pitchbook.com?p=422349-40P", "View People Online")</f>
        <v>View People Online</v>
      </c>
    </row>
    <row r="503" spans="1:40" x14ac:dyDescent="0.2">
      <c r="A503" s="2" t="s">
        <v>4506</v>
      </c>
      <c r="B503" s="2" t="s">
        <v>4507</v>
      </c>
      <c r="C503" s="2" t="s">
        <v>42</v>
      </c>
      <c r="D503" s="2" t="s">
        <v>42</v>
      </c>
      <c r="E503" s="2" t="s">
        <v>4506</v>
      </c>
      <c r="F503" s="2" t="s">
        <v>4508</v>
      </c>
      <c r="G503" s="2" t="s">
        <v>195</v>
      </c>
      <c r="H503" s="2" t="s">
        <v>4509</v>
      </c>
      <c r="I503" s="2" t="s">
        <v>46</v>
      </c>
      <c r="J503" s="2" t="s">
        <v>47</v>
      </c>
      <c r="K503" s="2" t="s">
        <v>4510</v>
      </c>
      <c r="L503" s="2" t="s">
        <v>111</v>
      </c>
      <c r="M503" s="8" t="str">
        <f>HYPERLINK("http://www.waja.com.sa", "www.waja.com.sa")</f>
        <v>www.waja.com.sa</v>
      </c>
      <c r="N503" s="2" t="s">
        <v>534</v>
      </c>
      <c r="O503" s="2" t="s">
        <v>42</v>
      </c>
      <c r="P503" s="2" t="s">
        <v>4511</v>
      </c>
      <c r="Q503" s="2" t="s">
        <v>42</v>
      </c>
      <c r="R503" s="16" t="s">
        <v>42</v>
      </c>
      <c r="S503" s="16">
        <v>1</v>
      </c>
      <c r="T503" s="16">
        <v>1</v>
      </c>
      <c r="U503" s="16" t="s">
        <v>42</v>
      </c>
      <c r="V503" s="16" t="s">
        <v>42</v>
      </c>
      <c r="W503" s="4" t="s">
        <v>4512</v>
      </c>
      <c r="X503" s="2" t="s">
        <v>42</v>
      </c>
      <c r="Y503" s="8" t="str">
        <f>HYPERLINK("http://linkedin.com/in/mohamed-alhendawy-70553b104/", "http://linkedin.com/in/mohamed-alhendawy-70553b104/")</f>
        <v>http://linkedin.com/in/mohamed-alhendawy-70553b104/</v>
      </c>
      <c r="Z503" s="2" t="s">
        <v>55</v>
      </c>
      <c r="AA503" s="2" t="s">
        <v>4513</v>
      </c>
      <c r="AB503" s="2" t="s">
        <v>4514</v>
      </c>
      <c r="AC503" s="2" t="s">
        <v>58</v>
      </c>
      <c r="AD503" s="2" t="s">
        <v>4515</v>
      </c>
      <c r="AE503" s="4" t="s">
        <v>4516</v>
      </c>
      <c r="AF503" s="2" t="s">
        <v>60</v>
      </c>
      <c r="AG503" s="4" t="s">
        <v>4517</v>
      </c>
      <c r="AH503" s="2" t="s">
        <v>61</v>
      </c>
      <c r="AI503" s="2" t="s">
        <v>61</v>
      </c>
      <c r="AJ503" s="2" t="s">
        <v>42</v>
      </c>
      <c r="AK503" s="2" t="s">
        <v>42</v>
      </c>
      <c r="AL503" s="28">
        <v>45733</v>
      </c>
      <c r="AM503" s="4" t="s">
        <v>42</v>
      </c>
      <c r="AN503" s="8" t="str">
        <f>HYPERLINK("https://my.pitchbook.com?p=340990-21P", "View People Online")</f>
        <v>View People Online</v>
      </c>
    </row>
    <row r="504" spans="1:40" x14ac:dyDescent="0.2">
      <c r="A504" s="3" t="s">
        <v>4518</v>
      </c>
      <c r="B504" s="3" t="s">
        <v>4519</v>
      </c>
      <c r="C504" s="3" t="s">
        <v>42</v>
      </c>
      <c r="D504" s="3" t="s">
        <v>42</v>
      </c>
      <c r="E504" s="3" t="s">
        <v>4518</v>
      </c>
      <c r="F504" s="3" t="s">
        <v>4520</v>
      </c>
      <c r="G504" s="3" t="s">
        <v>195</v>
      </c>
      <c r="H504" s="3" t="s">
        <v>42</v>
      </c>
      <c r="I504" s="3" t="s">
        <v>46</v>
      </c>
      <c r="J504" s="3" t="s">
        <v>47</v>
      </c>
      <c r="K504" s="3" t="s">
        <v>2078</v>
      </c>
      <c r="L504" s="3" t="s">
        <v>111</v>
      </c>
      <c r="M504" s="9" t="str">
        <f>HYPERLINK("http://www.horizon.sch.sa", "www.horizon.sch.sa")</f>
        <v>www.horizon.sch.sa</v>
      </c>
      <c r="N504" s="3" t="s">
        <v>534</v>
      </c>
      <c r="O504" s="3" t="s">
        <v>42</v>
      </c>
      <c r="P504" s="3" t="s">
        <v>4521</v>
      </c>
      <c r="Q504" s="3" t="s">
        <v>42</v>
      </c>
      <c r="R504" s="17" t="s">
        <v>42</v>
      </c>
      <c r="S504" s="17">
        <v>1</v>
      </c>
      <c r="T504" s="17">
        <v>1</v>
      </c>
      <c r="U504" s="17" t="s">
        <v>42</v>
      </c>
      <c r="V504" s="17" t="s">
        <v>42</v>
      </c>
      <c r="W504" s="5" t="s">
        <v>2081</v>
      </c>
      <c r="X504" s="3" t="s">
        <v>4522</v>
      </c>
      <c r="Y504" s="3" t="s">
        <v>42</v>
      </c>
      <c r="Z504" s="3" t="s">
        <v>55</v>
      </c>
      <c r="AA504" s="3" t="s">
        <v>2082</v>
      </c>
      <c r="AB504" s="3" t="s">
        <v>2083</v>
      </c>
      <c r="AC504" s="3" t="s">
        <v>58</v>
      </c>
      <c r="AD504" s="3" t="s">
        <v>42</v>
      </c>
      <c r="AE504" s="5" t="s">
        <v>42</v>
      </c>
      <c r="AF504" s="3" t="s">
        <v>60</v>
      </c>
      <c r="AG504" s="5" t="s">
        <v>42</v>
      </c>
      <c r="AH504" s="3" t="s">
        <v>61</v>
      </c>
      <c r="AI504" s="3" t="s">
        <v>61</v>
      </c>
      <c r="AJ504" s="3" t="s">
        <v>42</v>
      </c>
      <c r="AK504" s="3" t="s">
        <v>42</v>
      </c>
      <c r="AL504" s="29">
        <v>45453</v>
      </c>
      <c r="AM504" s="5" t="s">
        <v>42</v>
      </c>
      <c r="AN504" s="9" t="str">
        <f>HYPERLINK("https://my.pitchbook.com?p=400273-75P", "View People Online")</f>
        <v>View People Online</v>
      </c>
    </row>
    <row r="505" spans="1:40" x14ac:dyDescent="0.2">
      <c r="A505" s="2" t="s">
        <v>4523</v>
      </c>
      <c r="B505" s="2" t="s">
        <v>4524</v>
      </c>
      <c r="C505" s="2" t="s">
        <v>42</v>
      </c>
      <c r="D505" s="2" t="s">
        <v>42</v>
      </c>
      <c r="E505" s="2" t="s">
        <v>4523</v>
      </c>
      <c r="F505" s="2" t="s">
        <v>1130</v>
      </c>
      <c r="G505" s="2" t="s">
        <v>195</v>
      </c>
      <c r="H505" s="2" t="s">
        <v>1131</v>
      </c>
      <c r="I505" s="2" t="s">
        <v>46</v>
      </c>
      <c r="J505" s="2" t="s">
        <v>47</v>
      </c>
      <c r="K505" s="2" t="s">
        <v>1132</v>
      </c>
      <c r="L505" s="2" t="s">
        <v>111</v>
      </c>
      <c r="M505" s="8" t="str">
        <f>HYPERLINK("http://www.al-arabia.com", "www.al-arabia.com")</f>
        <v>www.al-arabia.com</v>
      </c>
      <c r="N505" s="2" t="s">
        <v>112</v>
      </c>
      <c r="O505" s="2" t="s">
        <v>42</v>
      </c>
      <c r="P505" s="2" t="s">
        <v>4525</v>
      </c>
      <c r="Q505" s="2" t="s">
        <v>42</v>
      </c>
      <c r="R505" s="16">
        <v>1</v>
      </c>
      <c r="S505" s="16">
        <v>1</v>
      </c>
      <c r="T505" s="16">
        <v>1</v>
      </c>
      <c r="U505" s="16" t="s">
        <v>42</v>
      </c>
      <c r="V505" s="16" t="s">
        <v>42</v>
      </c>
      <c r="W505" s="4" t="s">
        <v>1134</v>
      </c>
      <c r="X505" s="2" t="s">
        <v>42</v>
      </c>
      <c r="Y505" s="2" t="s">
        <v>42</v>
      </c>
      <c r="Z505" s="2" t="s">
        <v>55</v>
      </c>
      <c r="AA505" s="2" t="s">
        <v>1135</v>
      </c>
      <c r="AB505" s="2" t="s">
        <v>1136</v>
      </c>
      <c r="AC505" s="2" t="s">
        <v>58</v>
      </c>
      <c r="AD505" s="2" t="s">
        <v>42</v>
      </c>
      <c r="AE505" s="4" t="s">
        <v>1137</v>
      </c>
      <c r="AF505" s="2" t="s">
        <v>60</v>
      </c>
      <c r="AG505" s="4" t="s">
        <v>42</v>
      </c>
      <c r="AH505" s="2" t="s">
        <v>61</v>
      </c>
      <c r="AI505" s="2" t="s">
        <v>61</v>
      </c>
      <c r="AJ505" s="2" t="s">
        <v>42</v>
      </c>
      <c r="AK505" s="2" t="s">
        <v>42</v>
      </c>
      <c r="AL505" s="28">
        <v>45824</v>
      </c>
      <c r="AM505" s="4" t="s">
        <v>42</v>
      </c>
      <c r="AN505" s="8" t="str">
        <f>HYPERLINK("https://my.pitchbook.com?p=298092-34P", "View People Online")</f>
        <v>View People Online</v>
      </c>
    </row>
    <row r="506" spans="1:40" x14ac:dyDescent="0.2">
      <c r="A506" s="3" t="s">
        <v>4526</v>
      </c>
      <c r="B506" s="3" t="s">
        <v>4527</v>
      </c>
      <c r="C506" s="3" t="s">
        <v>42</v>
      </c>
      <c r="D506" s="3" t="s">
        <v>42</v>
      </c>
      <c r="E506" s="3" t="s">
        <v>4526</v>
      </c>
      <c r="F506" s="3" t="s">
        <v>4528</v>
      </c>
      <c r="G506" s="3" t="s">
        <v>195</v>
      </c>
      <c r="H506" s="3" t="s">
        <v>42</v>
      </c>
      <c r="I506" s="3" t="s">
        <v>46</v>
      </c>
      <c r="J506" s="3" t="s">
        <v>47</v>
      </c>
      <c r="K506" s="3" t="s">
        <v>913</v>
      </c>
      <c r="L506" s="3" t="s">
        <v>111</v>
      </c>
      <c r="M506" s="9" t="str">
        <f>HYPERLINK("http://www.der3.com", "www.der3.com")</f>
        <v>www.der3.com</v>
      </c>
      <c r="N506" s="3" t="s">
        <v>534</v>
      </c>
      <c r="O506" s="3" t="s">
        <v>42</v>
      </c>
      <c r="P506" s="3" t="s">
        <v>4529</v>
      </c>
      <c r="Q506" s="3" t="s">
        <v>1112</v>
      </c>
      <c r="R506" s="17" t="s">
        <v>42</v>
      </c>
      <c r="S506" s="17">
        <v>1</v>
      </c>
      <c r="T506" s="17">
        <v>1</v>
      </c>
      <c r="U506" s="17" t="s">
        <v>42</v>
      </c>
      <c r="V506" s="17" t="s">
        <v>42</v>
      </c>
      <c r="W506" s="5" t="s">
        <v>915</v>
      </c>
      <c r="X506" s="3" t="s">
        <v>4530</v>
      </c>
      <c r="Y506" s="9" t="str">
        <f>HYPERLINK("http://linkedin.com/in/mohamed-atef-acii-cma-chartered-insurer-193b6333/", "http://linkedin.com/in/mohamed-atef-acii-cma-chartered-insurer-193b6333/")</f>
        <v>http://linkedin.com/in/mohamed-atef-acii-cma-chartered-insurer-193b6333/</v>
      </c>
      <c r="Z506" s="3" t="s">
        <v>55</v>
      </c>
      <c r="AA506" s="3" t="s">
        <v>916</v>
      </c>
      <c r="AB506" s="3" t="s">
        <v>917</v>
      </c>
      <c r="AC506" s="3" t="s">
        <v>58</v>
      </c>
      <c r="AD506" s="3" t="s">
        <v>42</v>
      </c>
      <c r="AE506" s="5" t="s">
        <v>918</v>
      </c>
      <c r="AF506" s="3" t="s">
        <v>60</v>
      </c>
      <c r="AG506" s="5" t="s">
        <v>919</v>
      </c>
      <c r="AH506" s="3" t="s">
        <v>61</v>
      </c>
      <c r="AI506" s="3" t="s">
        <v>61</v>
      </c>
      <c r="AJ506" s="3" t="s">
        <v>907</v>
      </c>
      <c r="AK506" s="3" t="s">
        <v>907</v>
      </c>
      <c r="AL506" s="29">
        <v>46058</v>
      </c>
      <c r="AM506" s="5" t="s">
        <v>42</v>
      </c>
      <c r="AN506" s="9" t="str">
        <f>HYPERLINK("https://my.pitchbook.com?p=383451-85P", "View People Online")</f>
        <v>View People Online</v>
      </c>
    </row>
    <row r="507" spans="1:40" x14ac:dyDescent="0.2">
      <c r="A507" s="2" t="s">
        <v>4531</v>
      </c>
      <c r="B507" s="2" t="s">
        <v>4532</v>
      </c>
      <c r="C507" s="2" t="s">
        <v>42</v>
      </c>
      <c r="D507" s="2" t="s">
        <v>42</v>
      </c>
      <c r="E507" s="2" t="s">
        <v>4531</v>
      </c>
      <c r="F507" s="2" t="s">
        <v>663</v>
      </c>
      <c r="G507" s="2" t="s">
        <v>195</v>
      </c>
      <c r="H507" s="2" t="s">
        <v>42</v>
      </c>
      <c r="I507" s="2" t="s">
        <v>46</v>
      </c>
      <c r="J507" s="2" t="s">
        <v>47</v>
      </c>
      <c r="K507" s="2" t="s">
        <v>663</v>
      </c>
      <c r="L507" s="2" t="s">
        <v>111</v>
      </c>
      <c r="M507" s="8" t="str">
        <f>HYPERLINK("http://www.bahri.sa", "www.bahri.sa")</f>
        <v>www.bahri.sa</v>
      </c>
      <c r="N507" s="2" t="s">
        <v>4533</v>
      </c>
      <c r="O507" s="2" t="s">
        <v>42</v>
      </c>
      <c r="P507" s="2" t="s">
        <v>4534</v>
      </c>
      <c r="Q507" s="2" t="s">
        <v>42</v>
      </c>
      <c r="R507" s="16" t="s">
        <v>42</v>
      </c>
      <c r="S507" s="16">
        <v>1</v>
      </c>
      <c r="T507" s="16">
        <v>1</v>
      </c>
      <c r="U507" s="16" t="s">
        <v>42</v>
      </c>
      <c r="V507" s="16" t="s">
        <v>42</v>
      </c>
      <c r="W507" s="4" t="s">
        <v>665</v>
      </c>
      <c r="X507" s="2" t="s">
        <v>4535</v>
      </c>
      <c r="Y507" s="8" t="str">
        <f>HYPERLINK("http://linkedin.com/in/mohamed-bahri-460180315/", "http://linkedin.com/in/mohamed-bahri-460180315/")</f>
        <v>http://linkedin.com/in/mohamed-bahri-460180315/</v>
      </c>
      <c r="Z507" s="2" t="s">
        <v>55</v>
      </c>
      <c r="AA507" s="2" t="s">
        <v>667</v>
      </c>
      <c r="AB507" s="2" t="s">
        <v>668</v>
      </c>
      <c r="AC507" s="2" t="s">
        <v>58</v>
      </c>
      <c r="AD507" s="2" t="s">
        <v>42</v>
      </c>
      <c r="AE507" s="4" t="s">
        <v>556</v>
      </c>
      <c r="AF507" s="2" t="s">
        <v>60</v>
      </c>
      <c r="AG507" s="4" t="s">
        <v>669</v>
      </c>
      <c r="AH507" s="2" t="s">
        <v>61</v>
      </c>
      <c r="AI507" s="2" t="s">
        <v>61</v>
      </c>
      <c r="AJ507" s="2" t="s">
        <v>42</v>
      </c>
      <c r="AK507" s="2" t="s">
        <v>42</v>
      </c>
      <c r="AL507" s="28">
        <v>45755</v>
      </c>
      <c r="AM507" s="4" t="s">
        <v>42</v>
      </c>
      <c r="AN507" s="8" t="str">
        <f>HYPERLINK("https://my.pitchbook.com?p=441641-71P", "View People Online")</f>
        <v>View People Online</v>
      </c>
    </row>
    <row r="508" spans="1:40" x14ac:dyDescent="0.2">
      <c r="A508" s="3" t="s">
        <v>4536</v>
      </c>
      <c r="B508" s="3" t="s">
        <v>4537</v>
      </c>
      <c r="C508" s="3" t="s">
        <v>42</v>
      </c>
      <c r="D508" s="3" t="s">
        <v>42</v>
      </c>
      <c r="E508" s="3" t="s">
        <v>4536</v>
      </c>
      <c r="F508" s="3" t="s">
        <v>4538</v>
      </c>
      <c r="G508" s="3" t="s">
        <v>195</v>
      </c>
      <c r="H508" s="3" t="s">
        <v>4539</v>
      </c>
      <c r="I508" s="3" t="s">
        <v>46</v>
      </c>
      <c r="J508" s="3" t="s">
        <v>47</v>
      </c>
      <c r="K508" s="3" t="s">
        <v>4540</v>
      </c>
      <c r="L508" s="3" t="s">
        <v>111</v>
      </c>
      <c r="M508" s="9" t="str">
        <f>HYPERLINK("http://www.tadco-agri.com", "www.tadco-agri.com")</f>
        <v>www.tadco-agri.com</v>
      </c>
      <c r="N508" s="3" t="s">
        <v>534</v>
      </c>
      <c r="O508" s="3" t="s">
        <v>42</v>
      </c>
      <c r="P508" s="3" t="s">
        <v>4541</v>
      </c>
      <c r="Q508" s="3" t="s">
        <v>42</v>
      </c>
      <c r="R508" s="17" t="s">
        <v>42</v>
      </c>
      <c r="S508" s="17">
        <v>1</v>
      </c>
      <c r="T508" s="17">
        <v>1</v>
      </c>
      <c r="U508" s="17" t="s">
        <v>42</v>
      </c>
      <c r="V508" s="17" t="s">
        <v>42</v>
      </c>
      <c r="W508" s="5" t="s">
        <v>4542</v>
      </c>
      <c r="X508" s="3" t="s">
        <v>4543</v>
      </c>
      <c r="Y508" s="9" t="str">
        <f>HYPERLINK("http://linkedin.com/in/mohamed-bakry-07076625/?trk=public_post_main-feed-card-text&amp;originalsubdomain=sa", "http://linkedin.com/in/mohamed-bakry-07076625/?trk=public_post_main-feed-card-text&amp;originalsubdomain=sa")</f>
        <v>http://linkedin.com/in/mohamed-bakry-07076625/?trk=public_post_main-feed-card-text&amp;originalsubdomain=sa</v>
      </c>
      <c r="Z508" s="3" t="s">
        <v>2425</v>
      </c>
      <c r="AA508" s="3" t="s">
        <v>4544</v>
      </c>
      <c r="AB508" s="3" t="s">
        <v>42</v>
      </c>
      <c r="AC508" s="3" t="s">
        <v>2427</v>
      </c>
      <c r="AD508" s="3" t="s">
        <v>42</v>
      </c>
      <c r="AE508" s="5" t="s">
        <v>4545</v>
      </c>
      <c r="AF508" s="3" t="s">
        <v>60</v>
      </c>
      <c r="AG508" s="5" t="s">
        <v>4546</v>
      </c>
      <c r="AH508" s="3" t="s">
        <v>61</v>
      </c>
      <c r="AI508" s="3" t="s">
        <v>61</v>
      </c>
      <c r="AJ508" s="3" t="s">
        <v>42</v>
      </c>
      <c r="AK508" s="3" t="s">
        <v>42</v>
      </c>
      <c r="AL508" s="29">
        <v>45744</v>
      </c>
      <c r="AM508" s="5" t="s">
        <v>42</v>
      </c>
      <c r="AN508" s="9" t="str">
        <f>HYPERLINK("https://my.pitchbook.com?p=341844-04P", "View People Online")</f>
        <v>View People Online</v>
      </c>
    </row>
    <row r="509" spans="1:40" x14ac:dyDescent="0.2">
      <c r="A509" s="2" t="s">
        <v>4547</v>
      </c>
      <c r="B509" s="2" t="s">
        <v>4548</v>
      </c>
      <c r="C509" s="2" t="s">
        <v>42</v>
      </c>
      <c r="D509" s="2" t="s">
        <v>42</v>
      </c>
      <c r="E509" s="2" t="s">
        <v>4547</v>
      </c>
      <c r="F509" s="2" t="s">
        <v>4549</v>
      </c>
      <c r="G509" s="2" t="s">
        <v>195</v>
      </c>
      <c r="H509" s="2" t="s">
        <v>4550</v>
      </c>
      <c r="I509" s="2" t="s">
        <v>46</v>
      </c>
      <c r="J509" s="2" t="s">
        <v>47</v>
      </c>
      <c r="K509" s="2" t="s">
        <v>3021</v>
      </c>
      <c r="L509" s="2" t="s">
        <v>111</v>
      </c>
      <c r="M509" s="8" t="str">
        <f>HYPERLINK("http://www.fadint.com", "www.fadint.com")</f>
        <v>www.fadint.com</v>
      </c>
      <c r="N509" s="2" t="s">
        <v>534</v>
      </c>
      <c r="O509" s="2" t="s">
        <v>42</v>
      </c>
      <c r="P509" s="2" t="s">
        <v>4551</v>
      </c>
      <c r="Q509" s="2" t="s">
        <v>42</v>
      </c>
      <c r="R509" s="16" t="s">
        <v>42</v>
      </c>
      <c r="S509" s="16">
        <v>1</v>
      </c>
      <c r="T509" s="16">
        <v>1</v>
      </c>
      <c r="U509" s="16" t="s">
        <v>42</v>
      </c>
      <c r="V509" s="16" t="s">
        <v>42</v>
      </c>
      <c r="W509" s="4" t="s">
        <v>3024</v>
      </c>
      <c r="X509" s="2" t="s">
        <v>4552</v>
      </c>
      <c r="Y509" s="2" t="s">
        <v>42</v>
      </c>
      <c r="Z509" s="2" t="s">
        <v>174</v>
      </c>
      <c r="AA509" s="2" t="s">
        <v>3026</v>
      </c>
      <c r="AB509" s="2" t="s">
        <v>3027</v>
      </c>
      <c r="AC509" s="2" t="s">
        <v>176</v>
      </c>
      <c r="AD509" s="2" t="s">
        <v>42</v>
      </c>
      <c r="AE509" s="4" t="s">
        <v>3028</v>
      </c>
      <c r="AF509" s="2" t="s">
        <v>60</v>
      </c>
      <c r="AG509" s="4" t="s">
        <v>3029</v>
      </c>
      <c r="AH509" s="2" t="s">
        <v>61</v>
      </c>
      <c r="AI509" s="2" t="s">
        <v>61</v>
      </c>
      <c r="AJ509" s="2" t="s">
        <v>42</v>
      </c>
      <c r="AK509" s="2" t="s">
        <v>42</v>
      </c>
      <c r="AL509" s="28">
        <v>45939</v>
      </c>
      <c r="AM509" s="4" t="s">
        <v>42</v>
      </c>
      <c r="AN509" s="8" t="str">
        <f>HYPERLINK("https://my.pitchbook.com?p=376519-69P", "View People Online")</f>
        <v>View People Online</v>
      </c>
    </row>
    <row r="510" spans="1:40" x14ac:dyDescent="0.2">
      <c r="A510" s="3" t="s">
        <v>4553</v>
      </c>
      <c r="B510" s="3" t="s">
        <v>4554</v>
      </c>
      <c r="C510" s="3" t="s">
        <v>42</v>
      </c>
      <c r="D510" s="3" t="s">
        <v>42</v>
      </c>
      <c r="E510" s="3" t="s">
        <v>4553</v>
      </c>
      <c r="F510" s="3" t="s">
        <v>3285</v>
      </c>
      <c r="G510" s="3" t="s">
        <v>195</v>
      </c>
      <c r="H510" s="3" t="s">
        <v>4555</v>
      </c>
      <c r="I510" s="3" t="s">
        <v>46</v>
      </c>
      <c r="J510" s="3" t="s">
        <v>47</v>
      </c>
      <c r="K510" s="3" t="s">
        <v>4049</v>
      </c>
      <c r="L510" s="3" t="s">
        <v>111</v>
      </c>
      <c r="M510" s="9" t="str">
        <f>HYPERLINK("http://twareat.com", "twareat.com")</f>
        <v>twareat.com</v>
      </c>
      <c r="N510" s="3" t="s">
        <v>534</v>
      </c>
      <c r="O510" s="3" t="s">
        <v>42</v>
      </c>
      <c r="P510" s="3" t="s">
        <v>4556</v>
      </c>
      <c r="Q510" s="3" t="s">
        <v>1112</v>
      </c>
      <c r="R510" s="17" t="s">
        <v>42</v>
      </c>
      <c r="S510" s="17">
        <v>1</v>
      </c>
      <c r="T510" s="17">
        <v>1</v>
      </c>
      <c r="U510" s="17" t="s">
        <v>42</v>
      </c>
      <c r="V510" s="17" t="s">
        <v>42</v>
      </c>
      <c r="W510" s="5" t="s">
        <v>4051</v>
      </c>
      <c r="X510" s="3" t="s">
        <v>4557</v>
      </c>
      <c r="Y510" s="9" t="str">
        <f>HYPERLINK("http://linkedin.com/in/mohamed-tarek-e-3b353917?utm_source=share&amp;utm_campaign=share_via&amp;utm_content=profile&amp;utm_medium=ios_app", "http://linkedin.com/in/mohamed-tarek-e-3b353917?utm_source=share&amp;utm_campaign=share_via&amp;utm_content=profile&amp;utm_medium=ios_app")</f>
        <v>http://linkedin.com/in/mohamed-tarek-e-3b353917?utm_source=share&amp;utm_campaign=share_via&amp;utm_content=profile&amp;utm_medium=ios_app</v>
      </c>
      <c r="Z510" s="3" t="s">
        <v>595</v>
      </c>
      <c r="AA510" s="3" t="s">
        <v>4053</v>
      </c>
      <c r="AB510" s="3" t="s">
        <v>4054</v>
      </c>
      <c r="AC510" s="3" t="s">
        <v>598</v>
      </c>
      <c r="AD510" s="3" t="s">
        <v>42</v>
      </c>
      <c r="AE510" s="5" t="s">
        <v>4055</v>
      </c>
      <c r="AF510" s="3" t="s">
        <v>60</v>
      </c>
      <c r="AG510" s="5" t="s">
        <v>42</v>
      </c>
      <c r="AH510" s="3" t="s">
        <v>61</v>
      </c>
      <c r="AI510" s="3" t="s">
        <v>61</v>
      </c>
      <c r="AJ510" s="3" t="s">
        <v>42</v>
      </c>
      <c r="AK510" s="3" t="s">
        <v>42</v>
      </c>
      <c r="AL510" s="29">
        <v>45663</v>
      </c>
      <c r="AM510" s="5" t="s">
        <v>42</v>
      </c>
      <c r="AN510" s="9" t="str">
        <f>HYPERLINK("https://my.pitchbook.com?p=426703-33P", "View People Online")</f>
        <v>View People Online</v>
      </c>
    </row>
    <row r="511" spans="1:40" x14ac:dyDescent="0.2">
      <c r="A511" s="2" t="s">
        <v>4558</v>
      </c>
      <c r="B511" s="2" t="s">
        <v>4559</v>
      </c>
      <c r="C511" s="2" t="s">
        <v>42</v>
      </c>
      <c r="D511" s="2" t="s">
        <v>42</v>
      </c>
      <c r="E511" s="2" t="s">
        <v>4558</v>
      </c>
      <c r="F511" s="2" t="s">
        <v>4560</v>
      </c>
      <c r="G511" s="2" t="s">
        <v>195</v>
      </c>
      <c r="H511" s="2" t="s">
        <v>4561</v>
      </c>
      <c r="I511" s="2" t="s">
        <v>46</v>
      </c>
      <c r="J511" s="2" t="s">
        <v>47</v>
      </c>
      <c r="K511" s="2" t="s">
        <v>3679</v>
      </c>
      <c r="L511" s="2" t="s">
        <v>111</v>
      </c>
      <c r="M511" s="8" t="str">
        <f>HYPERLINK("http://www.extra.com", "www.extra.com")</f>
        <v>www.extra.com</v>
      </c>
      <c r="N511" s="2" t="s">
        <v>1201</v>
      </c>
      <c r="O511" s="2" t="s">
        <v>42</v>
      </c>
      <c r="P511" s="2" t="s">
        <v>4562</v>
      </c>
      <c r="Q511" s="2" t="s">
        <v>4212</v>
      </c>
      <c r="R511" s="16" t="s">
        <v>42</v>
      </c>
      <c r="S511" s="16">
        <v>1</v>
      </c>
      <c r="T511" s="16">
        <v>1</v>
      </c>
      <c r="U511" s="16" t="s">
        <v>42</v>
      </c>
      <c r="V511" s="16" t="s">
        <v>42</v>
      </c>
      <c r="W511" s="4" t="s">
        <v>3681</v>
      </c>
      <c r="X511" s="2" t="s">
        <v>42</v>
      </c>
      <c r="Y511" s="2" t="s">
        <v>42</v>
      </c>
      <c r="Z511" s="2" t="s">
        <v>595</v>
      </c>
      <c r="AA511" s="2" t="s">
        <v>3682</v>
      </c>
      <c r="AB511" s="2" t="s">
        <v>3683</v>
      </c>
      <c r="AC511" s="2" t="s">
        <v>598</v>
      </c>
      <c r="AD511" s="2" t="s">
        <v>42</v>
      </c>
      <c r="AE511" s="4" t="s">
        <v>599</v>
      </c>
      <c r="AF511" s="2" t="s">
        <v>60</v>
      </c>
      <c r="AG511" s="4" t="s">
        <v>3684</v>
      </c>
      <c r="AH511" s="2" t="s">
        <v>61</v>
      </c>
      <c r="AI511" s="2" t="s">
        <v>61</v>
      </c>
      <c r="AJ511" s="2" t="s">
        <v>42</v>
      </c>
      <c r="AK511" s="2" t="s">
        <v>42</v>
      </c>
      <c r="AL511" s="28">
        <v>45749</v>
      </c>
      <c r="AM511" s="4" t="s">
        <v>42</v>
      </c>
      <c r="AN511" s="8" t="str">
        <f>HYPERLINK("https://my.pitchbook.com?p=263259-64P", "View People Online")</f>
        <v>View People Online</v>
      </c>
    </row>
    <row r="512" spans="1:40" x14ac:dyDescent="0.2">
      <c r="A512" s="3" t="s">
        <v>4563</v>
      </c>
      <c r="B512" s="3" t="s">
        <v>4564</v>
      </c>
      <c r="C512" s="3" t="s">
        <v>42</v>
      </c>
      <c r="D512" s="3" t="s">
        <v>42</v>
      </c>
      <c r="E512" s="3" t="s">
        <v>4563</v>
      </c>
      <c r="F512" s="3" t="s">
        <v>4565</v>
      </c>
      <c r="G512" s="3" t="s">
        <v>195</v>
      </c>
      <c r="H512" s="3" t="s">
        <v>42</v>
      </c>
      <c r="I512" s="3" t="s">
        <v>46</v>
      </c>
      <c r="J512" s="3" t="s">
        <v>47</v>
      </c>
      <c r="K512" s="3" t="s">
        <v>3729</v>
      </c>
      <c r="L512" s="3" t="s">
        <v>111</v>
      </c>
      <c r="M512" s="9" t="str">
        <f>HYPERLINK("http://www.nofoth.com", "www.nofoth.com")</f>
        <v>www.nofoth.com</v>
      </c>
      <c r="N512" s="3" t="s">
        <v>534</v>
      </c>
      <c r="O512" s="3" t="s">
        <v>42</v>
      </c>
      <c r="P512" s="3" t="s">
        <v>4566</v>
      </c>
      <c r="Q512" s="3" t="s">
        <v>42</v>
      </c>
      <c r="R512" s="17" t="s">
        <v>42</v>
      </c>
      <c r="S512" s="17">
        <v>1</v>
      </c>
      <c r="T512" s="17">
        <v>1</v>
      </c>
      <c r="U512" s="17" t="s">
        <v>42</v>
      </c>
      <c r="V512" s="17" t="s">
        <v>42</v>
      </c>
      <c r="W512" s="5" t="s">
        <v>3731</v>
      </c>
      <c r="X512" s="3" t="s">
        <v>42</v>
      </c>
      <c r="Y512" s="3" t="s">
        <v>42</v>
      </c>
      <c r="Z512" s="3" t="s">
        <v>55</v>
      </c>
      <c r="AA512" s="3" t="s">
        <v>3732</v>
      </c>
      <c r="AB512" s="3" t="s">
        <v>3733</v>
      </c>
      <c r="AC512" s="3" t="s">
        <v>58</v>
      </c>
      <c r="AD512" s="3" t="s">
        <v>42</v>
      </c>
      <c r="AE512" s="5" t="s">
        <v>3734</v>
      </c>
      <c r="AF512" s="3" t="s">
        <v>60</v>
      </c>
      <c r="AG512" s="5" t="s">
        <v>42</v>
      </c>
      <c r="AH512" s="3" t="s">
        <v>61</v>
      </c>
      <c r="AI512" s="3" t="s">
        <v>61</v>
      </c>
      <c r="AJ512" s="3" t="s">
        <v>42</v>
      </c>
      <c r="AK512" s="3" t="s">
        <v>42</v>
      </c>
      <c r="AL512" s="29">
        <v>45678</v>
      </c>
      <c r="AM512" s="5" t="s">
        <v>42</v>
      </c>
      <c r="AN512" s="9" t="str">
        <f>HYPERLINK("https://my.pitchbook.com?p=331861-51P", "View People Online")</f>
        <v>View People Online</v>
      </c>
    </row>
    <row r="513" spans="1:40" x14ac:dyDescent="0.2">
      <c r="A513" s="2" t="s">
        <v>4567</v>
      </c>
      <c r="B513" s="2" t="s">
        <v>4568</v>
      </c>
      <c r="C513" s="2" t="s">
        <v>42</v>
      </c>
      <c r="D513" s="2" t="s">
        <v>42</v>
      </c>
      <c r="E513" s="2" t="s">
        <v>4567</v>
      </c>
      <c r="F513" s="2" t="s">
        <v>4569</v>
      </c>
      <c r="G513" s="2" t="s">
        <v>4570</v>
      </c>
      <c r="H513" s="2" t="s">
        <v>42</v>
      </c>
      <c r="I513" s="2" t="s">
        <v>46</v>
      </c>
      <c r="J513" s="2" t="s">
        <v>47</v>
      </c>
      <c r="K513" s="2" t="s">
        <v>4571</v>
      </c>
      <c r="L513" s="2" t="s">
        <v>111</v>
      </c>
      <c r="M513" s="8" t="str">
        <f>HYPERLINK("http://www.razi.sa", "www.razi.sa")</f>
        <v>www.razi.sa</v>
      </c>
      <c r="N513" s="2" t="s">
        <v>210</v>
      </c>
      <c r="O513" s="2" t="s">
        <v>42</v>
      </c>
      <c r="P513" s="2" t="s">
        <v>4572</v>
      </c>
      <c r="Q513" s="2" t="s">
        <v>42</v>
      </c>
      <c r="R513" s="16" t="s">
        <v>42</v>
      </c>
      <c r="S513" s="16">
        <v>1</v>
      </c>
      <c r="T513" s="16">
        <v>1</v>
      </c>
      <c r="U513" s="16" t="s">
        <v>42</v>
      </c>
      <c r="V513" s="16" t="s">
        <v>42</v>
      </c>
      <c r="W513" s="4" t="s">
        <v>4573</v>
      </c>
      <c r="X513" s="2" t="s">
        <v>4574</v>
      </c>
      <c r="Y513" s="2" t="s">
        <v>42</v>
      </c>
      <c r="Z513" s="2" t="s">
        <v>383</v>
      </c>
      <c r="AA513" s="2" t="s">
        <v>4575</v>
      </c>
      <c r="AB513" s="2" t="s">
        <v>42</v>
      </c>
      <c r="AC513" s="2" t="s">
        <v>385</v>
      </c>
      <c r="AD513" s="2" t="s">
        <v>42</v>
      </c>
      <c r="AE513" s="4" t="s">
        <v>42</v>
      </c>
      <c r="AF513" s="2" t="s">
        <v>60</v>
      </c>
      <c r="AG513" s="4" t="s">
        <v>4576</v>
      </c>
      <c r="AH513" s="2" t="s">
        <v>61</v>
      </c>
      <c r="AI513" s="2" t="s">
        <v>61</v>
      </c>
      <c r="AJ513" s="2" t="s">
        <v>42</v>
      </c>
      <c r="AK513" s="2" t="s">
        <v>42</v>
      </c>
      <c r="AL513" s="28">
        <v>45972</v>
      </c>
      <c r="AM513" s="4" t="s">
        <v>42</v>
      </c>
      <c r="AN513" s="8" t="str">
        <f>HYPERLINK("https://my.pitchbook.com?p=384490-36P", "View People Online")</f>
        <v>View People Online</v>
      </c>
    </row>
    <row r="514" spans="1:40" x14ac:dyDescent="0.2">
      <c r="A514" s="3" t="s">
        <v>4577</v>
      </c>
      <c r="B514" s="3" t="s">
        <v>4578</v>
      </c>
      <c r="C514" s="3" t="s">
        <v>42</v>
      </c>
      <c r="D514" s="3" t="s">
        <v>42</v>
      </c>
      <c r="E514" s="3" t="s">
        <v>4577</v>
      </c>
      <c r="F514" s="3" t="s">
        <v>3858</v>
      </c>
      <c r="G514" s="3" t="s">
        <v>195</v>
      </c>
      <c r="H514" s="3" t="s">
        <v>42</v>
      </c>
      <c r="I514" s="3" t="s">
        <v>46</v>
      </c>
      <c r="J514" s="3" t="s">
        <v>47</v>
      </c>
      <c r="K514" s="3" t="s">
        <v>969</v>
      </c>
      <c r="L514" s="3" t="s">
        <v>111</v>
      </c>
      <c r="M514" s="9" t="str">
        <f>HYPERLINK("http://www.jabalomar.com.sa", "www.jabalomar.com.sa")</f>
        <v>www.jabalomar.com.sa</v>
      </c>
      <c r="N514" s="3" t="s">
        <v>534</v>
      </c>
      <c r="O514" s="3" t="s">
        <v>42</v>
      </c>
      <c r="P514" s="3" t="s">
        <v>4579</v>
      </c>
      <c r="Q514" s="3" t="s">
        <v>42</v>
      </c>
      <c r="R514" s="17" t="s">
        <v>42</v>
      </c>
      <c r="S514" s="17">
        <v>1</v>
      </c>
      <c r="T514" s="17">
        <v>1</v>
      </c>
      <c r="U514" s="17" t="s">
        <v>42</v>
      </c>
      <c r="V514" s="17" t="s">
        <v>42</v>
      </c>
      <c r="W514" s="5" t="s">
        <v>971</v>
      </c>
      <c r="X514" s="3" t="s">
        <v>4580</v>
      </c>
      <c r="Y514" s="3" t="s">
        <v>42</v>
      </c>
      <c r="Z514" s="3" t="s">
        <v>174</v>
      </c>
      <c r="AA514" s="3" t="s">
        <v>973</v>
      </c>
      <c r="AB514" s="3" t="s">
        <v>974</v>
      </c>
      <c r="AC514" s="3" t="s">
        <v>176</v>
      </c>
      <c r="AD514" s="3" t="s">
        <v>42</v>
      </c>
      <c r="AE514" s="5" t="s">
        <v>42</v>
      </c>
      <c r="AF514" s="3" t="s">
        <v>60</v>
      </c>
      <c r="AG514" s="5" t="s">
        <v>42</v>
      </c>
      <c r="AH514" s="3" t="s">
        <v>61</v>
      </c>
      <c r="AI514" s="3" t="s">
        <v>61</v>
      </c>
      <c r="AJ514" s="3" t="s">
        <v>42</v>
      </c>
      <c r="AK514" s="3" t="s">
        <v>42</v>
      </c>
      <c r="AL514" s="29">
        <v>45950</v>
      </c>
      <c r="AM514" s="5" t="s">
        <v>42</v>
      </c>
      <c r="AN514" s="9" t="str">
        <f>HYPERLINK("https://my.pitchbook.com?p=410769-46P", "View People Online")</f>
        <v>View People Online</v>
      </c>
    </row>
    <row r="515" spans="1:40" x14ac:dyDescent="0.2">
      <c r="A515" s="2" t="s">
        <v>4581</v>
      </c>
      <c r="B515" s="2" t="s">
        <v>4582</v>
      </c>
      <c r="C515" s="2" t="s">
        <v>42</v>
      </c>
      <c r="D515" s="2" t="s">
        <v>42</v>
      </c>
      <c r="E515" s="2" t="s">
        <v>4581</v>
      </c>
      <c r="F515" s="2" t="s">
        <v>1803</v>
      </c>
      <c r="G515" s="2" t="s">
        <v>4583</v>
      </c>
      <c r="H515" s="2" t="s">
        <v>42</v>
      </c>
      <c r="I515" s="2" t="s">
        <v>46</v>
      </c>
      <c r="J515" s="2" t="s">
        <v>47</v>
      </c>
      <c r="K515" s="2" t="s">
        <v>1460</v>
      </c>
      <c r="L515" s="2" t="s">
        <v>111</v>
      </c>
      <c r="M515" s="8" t="str">
        <f>HYPERLINK("http://www.enmaalrwabi.com", "www.enmaalrwabi.com")</f>
        <v>www.enmaalrwabi.com</v>
      </c>
      <c r="N515" s="2" t="s">
        <v>534</v>
      </c>
      <c r="O515" s="2" t="s">
        <v>42</v>
      </c>
      <c r="P515" s="2" t="s">
        <v>4584</v>
      </c>
      <c r="Q515" s="2" t="s">
        <v>1112</v>
      </c>
      <c r="R515" s="16" t="s">
        <v>42</v>
      </c>
      <c r="S515" s="16">
        <v>1</v>
      </c>
      <c r="T515" s="16">
        <v>1</v>
      </c>
      <c r="U515" s="16" t="s">
        <v>42</v>
      </c>
      <c r="V515" s="16" t="s">
        <v>42</v>
      </c>
      <c r="W515" s="4" t="s">
        <v>1463</v>
      </c>
      <c r="X515" s="2" t="s">
        <v>4585</v>
      </c>
      <c r="Y515" s="8" t="str">
        <f>HYPERLINK("http://linkedin.com/in/mohamed-saber-hamad-cpa-cma-cfc-cib-1226a449/?originalsubdomain=sa", "http://linkedin.com/in/mohamed-saber-hamad-cpa-cma-cfc-cib-1226a449/?originalsubdomain=sa")</f>
        <v>http://linkedin.com/in/mohamed-saber-hamad-cpa-cma-cfc-cib-1226a449/?originalsubdomain=sa</v>
      </c>
      <c r="Z515" s="2" t="s">
        <v>55</v>
      </c>
      <c r="AA515" s="2" t="s">
        <v>1465</v>
      </c>
      <c r="AB515" s="2" t="s">
        <v>1466</v>
      </c>
      <c r="AC515" s="2" t="s">
        <v>58</v>
      </c>
      <c r="AD515" s="2" t="s">
        <v>42</v>
      </c>
      <c r="AE515" s="4" t="s">
        <v>42</v>
      </c>
      <c r="AF515" s="2" t="s">
        <v>60</v>
      </c>
      <c r="AG515" s="4" t="s">
        <v>1467</v>
      </c>
      <c r="AH515" s="2" t="s">
        <v>61</v>
      </c>
      <c r="AI515" s="2" t="s">
        <v>61</v>
      </c>
      <c r="AJ515" s="2" t="s">
        <v>42</v>
      </c>
      <c r="AK515" s="2" t="s">
        <v>42</v>
      </c>
      <c r="AL515" s="28">
        <v>45838</v>
      </c>
      <c r="AM515" s="4">
        <v>1975</v>
      </c>
      <c r="AN515" s="8" t="str">
        <f>HYPERLINK("https://my.pitchbook.com?p=298090-81P", "View People Online")</f>
        <v>View People Online</v>
      </c>
    </row>
    <row r="516" spans="1:40" x14ac:dyDescent="0.2">
      <c r="A516" s="3" t="s">
        <v>4586</v>
      </c>
      <c r="B516" s="3" t="s">
        <v>4587</v>
      </c>
      <c r="C516" s="3" t="s">
        <v>42</v>
      </c>
      <c r="D516" s="3" t="s">
        <v>42</v>
      </c>
      <c r="E516" s="3" t="s">
        <v>4586</v>
      </c>
      <c r="F516" s="3" t="s">
        <v>4588</v>
      </c>
      <c r="G516" s="3" t="s">
        <v>195</v>
      </c>
      <c r="H516" s="3" t="s">
        <v>42</v>
      </c>
      <c r="I516" s="3" t="s">
        <v>46</v>
      </c>
      <c r="J516" s="3" t="s">
        <v>47</v>
      </c>
      <c r="K516" s="3" t="s">
        <v>1900</v>
      </c>
      <c r="L516" s="3" t="s">
        <v>111</v>
      </c>
      <c r="M516" s="9" t="str">
        <f>HYPERLINK("http://www.saudiceramics.com", "www.saudiceramics.com")</f>
        <v>www.saudiceramics.com</v>
      </c>
      <c r="N516" s="3" t="s">
        <v>534</v>
      </c>
      <c r="O516" s="3" t="s">
        <v>42</v>
      </c>
      <c r="P516" s="3" t="s">
        <v>4589</v>
      </c>
      <c r="Q516" s="3" t="s">
        <v>42</v>
      </c>
      <c r="R516" s="17" t="s">
        <v>42</v>
      </c>
      <c r="S516" s="17">
        <v>1</v>
      </c>
      <c r="T516" s="17">
        <v>1</v>
      </c>
      <c r="U516" s="17" t="s">
        <v>42</v>
      </c>
      <c r="V516" s="17" t="s">
        <v>42</v>
      </c>
      <c r="W516" s="5" t="s">
        <v>1902</v>
      </c>
      <c r="X516" s="3" t="s">
        <v>4590</v>
      </c>
      <c r="Y516" s="9" t="str">
        <f>HYPERLINK("http://sa.linkedin.com/in/mohamed-shabaan-shehata-467ab141", "http://sa.linkedin.com/in/mohamed-shabaan-shehata-467ab141")</f>
        <v>http://sa.linkedin.com/in/mohamed-shabaan-shehata-467ab141</v>
      </c>
      <c r="Z516" s="3" t="s">
        <v>55</v>
      </c>
      <c r="AA516" s="3" t="s">
        <v>1904</v>
      </c>
      <c r="AB516" s="3" t="s">
        <v>1905</v>
      </c>
      <c r="AC516" s="3" t="s">
        <v>58</v>
      </c>
      <c r="AD516" s="3" t="s">
        <v>42</v>
      </c>
      <c r="AE516" s="5" t="s">
        <v>1906</v>
      </c>
      <c r="AF516" s="3" t="s">
        <v>60</v>
      </c>
      <c r="AG516" s="5" t="s">
        <v>1907</v>
      </c>
      <c r="AH516" s="3" t="s">
        <v>61</v>
      </c>
      <c r="AI516" s="3" t="s">
        <v>61</v>
      </c>
      <c r="AJ516" s="3" t="s">
        <v>42</v>
      </c>
      <c r="AK516" s="3" t="s">
        <v>42</v>
      </c>
      <c r="AL516" s="29">
        <v>45743</v>
      </c>
      <c r="AM516" s="5" t="s">
        <v>42</v>
      </c>
      <c r="AN516" s="9" t="str">
        <f>HYPERLINK("https://my.pitchbook.com?p=440020-09P", "View People Online")</f>
        <v>View People Online</v>
      </c>
    </row>
    <row r="517" spans="1:40" x14ac:dyDescent="0.2">
      <c r="A517" s="2" t="s">
        <v>4591</v>
      </c>
      <c r="B517" s="2" t="s">
        <v>4592</v>
      </c>
      <c r="C517" s="2" t="s">
        <v>42</v>
      </c>
      <c r="D517" s="2" t="s">
        <v>42</v>
      </c>
      <c r="E517" s="2" t="s">
        <v>4591</v>
      </c>
      <c r="F517" s="2" t="s">
        <v>4593</v>
      </c>
      <c r="G517" s="2" t="s">
        <v>195</v>
      </c>
      <c r="H517" s="2" t="s">
        <v>4594</v>
      </c>
      <c r="I517" s="2" t="s">
        <v>46</v>
      </c>
      <c r="J517" s="2" t="s">
        <v>47</v>
      </c>
      <c r="K517" s="2" t="s">
        <v>209</v>
      </c>
      <c r="L517" s="2" t="s">
        <v>111</v>
      </c>
      <c r="M517" s="8" t="str">
        <f>HYPERLINK("http://www.obic.com.sa", "www.obic.com.sa")</f>
        <v>www.obic.com.sa</v>
      </c>
      <c r="N517" s="2" t="s">
        <v>370</v>
      </c>
      <c r="O517" s="2" t="s">
        <v>42</v>
      </c>
      <c r="P517" s="2" t="s">
        <v>4595</v>
      </c>
      <c r="Q517" s="2" t="s">
        <v>42</v>
      </c>
      <c r="R517" s="16" t="s">
        <v>42</v>
      </c>
      <c r="S517" s="16">
        <v>1</v>
      </c>
      <c r="T517" s="16">
        <v>1</v>
      </c>
      <c r="U517" s="16" t="s">
        <v>42</v>
      </c>
      <c r="V517" s="16" t="s">
        <v>42</v>
      </c>
      <c r="W517" s="4" t="s">
        <v>213</v>
      </c>
      <c r="X517" s="2" t="s">
        <v>4596</v>
      </c>
      <c r="Y517" s="8" t="str">
        <f>HYPERLINK("http://linkedin.com/in/mohammedzakaria", "http://linkedin.com/in/mohammedzakaria")</f>
        <v>http://linkedin.com/in/mohammedzakaria</v>
      </c>
      <c r="Z517" s="2" t="s">
        <v>55</v>
      </c>
      <c r="AA517" s="2" t="s">
        <v>215</v>
      </c>
      <c r="AB517" s="2" t="s">
        <v>216</v>
      </c>
      <c r="AC517" s="2" t="s">
        <v>58</v>
      </c>
      <c r="AD517" s="2" t="s">
        <v>42</v>
      </c>
      <c r="AE517" s="4" t="s">
        <v>217</v>
      </c>
      <c r="AF517" s="2" t="s">
        <v>60</v>
      </c>
      <c r="AG517" s="4" t="s">
        <v>218</v>
      </c>
      <c r="AH517" s="2" t="s">
        <v>61</v>
      </c>
      <c r="AI517" s="2" t="s">
        <v>61</v>
      </c>
      <c r="AJ517" s="2" t="s">
        <v>42</v>
      </c>
      <c r="AK517" s="2" t="s">
        <v>42</v>
      </c>
      <c r="AL517" s="28">
        <v>45734</v>
      </c>
      <c r="AM517" s="4" t="s">
        <v>42</v>
      </c>
      <c r="AN517" s="8" t="str">
        <f>HYPERLINK("https://my.pitchbook.com?p=404603-47P", "View People Online")</f>
        <v>View People Online</v>
      </c>
    </row>
    <row r="518" spans="1:40" x14ac:dyDescent="0.2">
      <c r="A518" s="3" t="s">
        <v>4597</v>
      </c>
      <c r="B518" s="3" t="s">
        <v>4598</v>
      </c>
      <c r="C518" s="3" t="s">
        <v>42</v>
      </c>
      <c r="D518" s="3" t="s">
        <v>42</v>
      </c>
      <c r="E518" s="3" t="s">
        <v>4597</v>
      </c>
      <c r="F518" s="3" t="s">
        <v>4599</v>
      </c>
      <c r="G518" s="3" t="s">
        <v>271</v>
      </c>
      <c r="H518" s="3" t="s">
        <v>4600</v>
      </c>
      <c r="I518" s="3" t="s">
        <v>46</v>
      </c>
      <c r="J518" s="3" t="s">
        <v>47</v>
      </c>
      <c r="K518" s="3" t="s">
        <v>4601</v>
      </c>
      <c r="L518" s="3" t="s">
        <v>111</v>
      </c>
      <c r="M518" s="9" t="str">
        <f>HYPERLINK("http://www.yamsteel.com", "www.yamsteel.com")</f>
        <v>www.yamsteel.com</v>
      </c>
      <c r="N518" s="3" t="s">
        <v>534</v>
      </c>
      <c r="O518" s="3" t="s">
        <v>42</v>
      </c>
      <c r="P518" s="3" t="s">
        <v>4602</v>
      </c>
      <c r="Q518" s="3" t="s">
        <v>42</v>
      </c>
      <c r="R518" s="17" t="s">
        <v>42</v>
      </c>
      <c r="S518" s="17">
        <v>1</v>
      </c>
      <c r="T518" s="17">
        <v>1</v>
      </c>
      <c r="U518" s="17" t="s">
        <v>42</v>
      </c>
      <c r="V518" s="17" t="s">
        <v>42</v>
      </c>
      <c r="W518" s="5" t="s">
        <v>4603</v>
      </c>
      <c r="X518" s="3" t="s">
        <v>4604</v>
      </c>
      <c r="Y518" s="3" t="s">
        <v>42</v>
      </c>
      <c r="Z518" s="3" t="s">
        <v>55</v>
      </c>
      <c r="AA518" s="3" t="s">
        <v>4605</v>
      </c>
      <c r="AB518" s="3" t="s">
        <v>4606</v>
      </c>
      <c r="AC518" s="3" t="s">
        <v>58</v>
      </c>
      <c r="AD518" s="3" t="s">
        <v>42</v>
      </c>
      <c r="AE518" s="5" t="s">
        <v>454</v>
      </c>
      <c r="AF518" s="3" t="s">
        <v>60</v>
      </c>
      <c r="AG518" s="5" t="s">
        <v>4607</v>
      </c>
      <c r="AH518" s="3" t="s">
        <v>61</v>
      </c>
      <c r="AI518" s="3" t="s">
        <v>61</v>
      </c>
      <c r="AJ518" s="3" t="s">
        <v>42</v>
      </c>
      <c r="AK518" s="3" t="s">
        <v>42</v>
      </c>
      <c r="AL518" s="29">
        <v>45693</v>
      </c>
      <c r="AM518" s="5" t="s">
        <v>42</v>
      </c>
      <c r="AN518" s="9" t="str">
        <f>HYPERLINK("https://my.pitchbook.com?p=329891-41P", "View People Online")</f>
        <v>View People Online</v>
      </c>
    </row>
    <row r="519" spans="1:40" x14ac:dyDescent="0.2">
      <c r="A519" s="2" t="s">
        <v>4608</v>
      </c>
      <c r="B519" s="2" t="s">
        <v>4609</v>
      </c>
      <c r="C519" s="2" t="s">
        <v>42</v>
      </c>
      <c r="D519" s="2" t="s">
        <v>42</v>
      </c>
      <c r="E519" s="2" t="s">
        <v>4608</v>
      </c>
      <c r="F519" s="2" t="s">
        <v>4610</v>
      </c>
      <c r="G519" s="2" t="s">
        <v>271</v>
      </c>
      <c r="H519" s="2" t="s">
        <v>42</v>
      </c>
      <c r="I519" s="2" t="s">
        <v>46</v>
      </c>
      <c r="J519" s="2" t="s">
        <v>47</v>
      </c>
      <c r="K519" s="2" t="s">
        <v>3034</v>
      </c>
      <c r="L519" s="2" t="s">
        <v>111</v>
      </c>
      <c r="M519" s="8" t="str">
        <f>HYPERLINK("http://www.fadeco.com", "www.fadeco.com")</f>
        <v>www.fadeco.com</v>
      </c>
      <c r="N519" s="2" t="s">
        <v>210</v>
      </c>
      <c r="O519" s="2" t="s">
        <v>42</v>
      </c>
      <c r="P519" s="2" t="s">
        <v>4611</v>
      </c>
      <c r="Q519" s="2" t="s">
        <v>42</v>
      </c>
      <c r="R519" s="16" t="s">
        <v>42</v>
      </c>
      <c r="S519" s="16">
        <v>1</v>
      </c>
      <c r="T519" s="16">
        <v>1</v>
      </c>
      <c r="U519" s="16" t="s">
        <v>42</v>
      </c>
      <c r="V519" s="16" t="s">
        <v>42</v>
      </c>
      <c r="W519" s="4" t="s">
        <v>3036</v>
      </c>
      <c r="X519" s="2" t="s">
        <v>42</v>
      </c>
      <c r="Y519" s="2" t="s">
        <v>42</v>
      </c>
      <c r="Z519" s="2" t="s">
        <v>383</v>
      </c>
      <c r="AA519" s="2" t="s">
        <v>3038</v>
      </c>
      <c r="AB519" s="2" t="s">
        <v>42</v>
      </c>
      <c r="AC519" s="2" t="s">
        <v>385</v>
      </c>
      <c r="AD519" s="2" t="s">
        <v>42</v>
      </c>
      <c r="AE519" s="4" t="s">
        <v>3039</v>
      </c>
      <c r="AF519" s="2" t="s">
        <v>60</v>
      </c>
      <c r="AG519" s="4" t="s">
        <v>3040</v>
      </c>
      <c r="AH519" s="2" t="s">
        <v>61</v>
      </c>
      <c r="AI519" s="2" t="s">
        <v>61</v>
      </c>
      <c r="AJ519" s="2" t="s">
        <v>42</v>
      </c>
      <c r="AK519" s="2" t="s">
        <v>42</v>
      </c>
      <c r="AL519" s="28">
        <v>45638</v>
      </c>
      <c r="AM519" s="4" t="s">
        <v>42</v>
      </c>
      <c r="AN519" s="8" t="str">
        <f>HYPERLINK("https://my.pitchbook.com?p=316722-43P", "View People Online")</f>
        <v>View People Online</v>
      </c>
    </row>
    <row r="520" spans="1:40" x14ac:dyDescent="0.2">
      <c r="A520" s="3" t="s">
        <v>4612</v>
      </c>
      <c r="B520" s="3" t="s">
        <v>4613</v>
      </c>
      <c r="C520" s="3" t="s">
        <v>42</v>
      </c>
      <c r="D520" s="3" t="s">
        <v>42</v>
      </c>
      <c r="E520" s="3" t="s">
        <v>4612</v>
      </c>
      <c r="F520" s="3" t="s">
        <v>4614</v>
      </c>
      <c r="G520" s="3" t="s">
        <v>271</v>
      </c>
      <c r="H520" s="3" t="s">
        <v>42</v>
      </c>
      <c r="I520" s="3" t="s">
        <v>46</v>
      </c>
      <c r="J520" s="3" t="s">
        <v>47</v>
      </c>
      <c r="K520" s="3" t="s">
        <v>4615</v>
      </c>
      <c r="L520" s="3" t="s">
        <v>111</v>
      </c>
      <c r="M520" s="9" t="str">
        <f>HYPERLINK("http://www.bawan.com.sa", "www.bawan.com.sa")</f>
        <v>www.bawan.com.sa</v>
      </c>
      <c r="N520" s="3" t="s">
        <v>210</v>
      </c>
      <c r="O520" s="3" t="s">
        <v>42</v>
      </c>
      <c r="P520" s="3" t="s">
        <v>4616</v>
      </c>
      <c r="Q520" s="3" t="s">
        <v>42</v>
      </c>
      <c r="R520" s="17" t="s">
        <v>42</v>
      </c>
      <c r="S520" s="17">
        <v>1</v>
      </c>
      <c r="T520" s="17">
        <v>1</v>
      </c>
      <c r="U520" s="17" t="s">
        <v>42</v>
      </c>
      <c r="V520" s="17" t="s">
        <v>42</v>
      </c>
      <c r="W520" s="5" t="s">
        <v>4617</v>
      </c>
      <c r="X520" s="3" t="s">
        <v>4618</v>
      </c>
      <c r="Y520" s="9" t="str">
        <f>HYPERLINK("http://linkedin.com/in/mohammed-al-balawi-mba-cpa-b4b12432/", "http://linkedin.com/in/mohammed-al-balawi-mba-cpa-b4b12432/")</f>
        <v>http://linkedin.com/in/mohammed-al-balawi-mba-cpa-b4b12432/</v>
      </c>
      <c r="Z520" s="3" t="s">
        <v>55</v>
      </c>
      <c r="AA520" s="3" t="s">
        <v>4619</v>
      </c>
      <c r="AB520" s="3" t="s">
        <v>42</v>
      </c>
      <c r="AC520" s="3" t="s">
        <v>58</v>
      </c>
      <c r="AD520" s="3" t="s">
        <v>42</v>
      </c>
      <c r="AE520" s="5" t="s">
        <v>4620</v>
      </c>
      <c r="AF520" s="3" t="s">
        <v>60</v>
      </c>
      <c r="AG520" s="5" t="s">
        <v>4621</v>
      </c>
      <c r="AH520" s="3" t="s">
        <v>61</v>
      </c>
      <c r="AI520" s="3" t="s">
        <v>61</v>
      </c>
      <c r="AJ520" s="3" t="s">
        <v>42</v>
      </c>
      <c r="AK520" s="3" t="s">
        <v>42</v>
      </c>
      <c r="AL520" s="29">
        <v>46057</v>
      </c>
      <c r="AM520" s="5" t="s">
        <v>42</v>
      </c>
      <c r="AN520" s="9" t="str">
        <f>HYPERLINK("https://my.pitchbook.com?p=339960-70P", "View People Online")</f>
        <v>View People Online</v>
      </c>
    </row>
    <row r="521" spans="1:40" x14ac:dyDescent="0.2">
      <c r="A521" s="2" t="s">
        <v>4622</v>
      </c>
      <c r="B521" s="2" t="s">
        <v>4623</v>
      </c>
      <c r="C521" s="2" t="s">
        <v>42</v>
      </c>
      <c r="D521" s="2" t="s">
        <v>42</v>
      </c>
      <c r="E521" s="2" t="s">
        <v>4622</v>
      </c>
      <c r="F521" s="2" t="s">
        <v>4624</v>
      </c>
      <c r="G521" s="2" t="s">
        <v>271</v>
      </c>
      <c r="H521" s="2" t="s">
        <v>42</v>
      </c>
      <c r="I521" s="2" t="s">
        <v>46</v>
      </c>
      <c r="J521" s="2" t="s">
        <v>47</v>
      </c>
      <c r="K521" s="2" t="s">
        <v>720</v>
      </c>
      <c r="L521" s="2" t="s">
        <v>111</v>
      </c>
      <c r="M521" s="8" t="str">
        <f>HYPERLINK("http://www.tamkeenhr.com", "www.tamkeenhr.com")</f>
        <v>www.tamkeenhr.com</v>
      </c>
      <c r="N521" s="2" t="s">
        <v>534</v>
      </c>
      <c r="O521" s="2" t="s">
        <v>42</v>
      </c>
      <c r="P521" s="2" t="s">
        <v>4625</v>
      </c>
      <c r="Q521" s="2" t="s">
        <v>4626</v>
      </c>
      <c r="R521" s="16" t="s">
        <v>42</v>
      </c>
      <c r="S521" s="16">
        <v>1</v>
      </c>
      <c r="T521" s="16">
        <v>1</v>
      </c>
      <c r="U521" s="16" t="s">
        <v>42</v>
      </c>
      <c r="V521" s="16" t="s">
        <v>42</v>
      </c>
      <c r="W521" s="4" t="s">
        <v>722</v>
      </c>
      <c r="X521" s="2" t="s">
        <v>4627</v>
      </c>
      <c r="Y521" s="8" t="str">
        <f>HYPERLINK("http://linkedin.com/in/mohammad-al-basha-msc-a0826837/", "http://linkedin.com/in/mohammad-al-basha-msc-a0826837/")</f>
        <v>http://linkedin.com/in/mohammad-al-basha-msc-a0826837/</v>
      </c>
      <c r="Z521" s="2" t="s">
        <v>55</v>
      </c>
      <c r="AA521" s="2" t="s">
        <v>724</v>
      </c>
      <c r="AB521" s="2" t="s">
        <v>725</v>
      </c>
      <c r="AC521" s="2" t="s">
        <v>58</v>
      </c>
      <c r="AD521" s="2" t="s">
        <v>726</v>
      </c>
      <c r="AE521" s="4" t="s">
        <v>727</v>
      </c>
      <c r="AF521" s="2" t="s">
        <v>60</v>
      </c>
      <c r="AG521" s="4" t="s">
        <v>42</v>
      </c>
      <c r="AH521" s="2" t="s">
        <v>61</v>
      </c>
      <c r="AI521" s="2" t="s">
        <v>61</v>
      </c>
      <c r="AJ521" s="2" t="s">
        <v>42</v>
      </c>
      <c r="AK521" s="2" t="s">
        <v>42</v>
      </c>
      <c r="AL521" s="28">
        <v>46055</v>
      </c>
      <c r="AM521" s="4" t="s">
        <v>42</v>
      </c>
      <c r="AN521" s="8" t="str">
        <f>HYPERLINK("https://my.pitchbook.com?p=315732-16P", "View People Online")</f>
        <v>View People Online</v>
      </c>
    </row>
    <row r="522" spans="1:40" x14ac:dyDescent="0.2">
      <c r="A522" s="3" t="s">
        <v>4628</v>
      </c>
      <c r="B522" s="3" t="s">
        <v>4629</v>
      </c>
      <c r="C522" s="3" t="s">
        <v>42</v>
      </c>
      <c r="D522" s="3" t="s">
        <v>42</v>
      </c>
      <c r="E522" s="3" t="s">
        <v>4628</v>
      </c>
      <c r="F522" s="3" t="s">
        <v>4630</v>
      </c>
      <c r="G522" s="3" t="s">
        <v>271</v>
      </c>
      <c r="H522" s="3" t="s">
        <v>42</v>
      </c>
      <c r="I522" s="3" t="s">
        <v>46</v>
      </c>
      <c r="J522" s="3" t="s">
        <v>47</v>
      </c>
      <c r="K522" s="3" t="s">
        <v>4631</v>
      </c>
      <c r="L522" s="3" t="s">
        <v>111</v>
      </c>
      <c r="M522" s="9" t="str">
        <f>HYPERLINK("http://www.madinahkec.com", "www.madinahkec.com")</f>
        <v>www.madinahkec.com</v>
      </c>
      <c r="N522" s="3" t="s">
        <v>210</v>
      </c>
      <c r="O522" s="3" t="s">
        <v>42</v>
      </c>
      <c r="P522" s="3" t="s">
        <v>4632</v>
      </c>
      <c r="Q522" s="3" t="s">
        <v>42</v>
      </c>
      <c r="R522" s="17" t="s">
        <v>42</v>
      </c>
      <c r="S522" s="17">
        <v>1</v>
      </c>
      <c r="T522" s="17">
        <v>1</v>
      </c>
      <c r="U522" s="17" t="s">
        <v>42</v>
      </c>
      <c r="V522" s="17" t="s">
        <v>42</v>
      </c>
      <c r="W522" s="5" t="s">
        <v>4633</v>
      </c>
      <c r="X522" s="3" t="s">
        <v>4634</v>
      </c>
      <c r="Y522" s="9" t="str">
        <f>HYPERLINK("http://linkedin.com/in/mohammad-al-mubarak-1b612411/?originalsubdomain=sa", "http://linkedin.com/in/mohammad-al-mubarak-1b612411/?originalsubdomain=sa")</f>
        <v>http://linkedin.com/in/mohammad-al-mubarak-1b612411/?originalsubdomain=sa</v>
      </c>
      <c r="Z522" s="3" t="s">
        <v>4635</v>
      </c>
      <c r="AA522" s="3" t="s">
        <v>4636</v>
      </c>
      <c r="AB522" s="3" t="s">
        <v>1226</v>
      </c>
      <c r="AC522" s="3" t="s">
        <v>4637</v>
      </c>
      <c r="AD522" s="3" t="s">
        <v>42</v>
      </c>
      <c r="AE522" s="5" t="s">
        <v>4638</v>
      </c>
      <c r="AF522" s="3" t="s">
        <v>60</v>
      </c>
      <c r="AG522" s="5" t="s">
        <v>4639</v>
      </c>
      <c r="AH522" s="3" t="s">
        <v>61</v>
      </c>
      <c r="AI522" s="3" t="s">
        <v>61</v>
      </c>
      <c r="AJ522" s="3" t="s">
        <v>42</v>
      </c>
      <c r="AK522" s="3" t="s">
        <v>42</v>
      </c>
      <c r="AL522" s="29">
        <v>45383</v>
      </c>
      <c r="AM522" s="5" t="s">
        <v>42</v>
      </c>
      <c r="AN522" s="9" t="str">
        <f>HYPERLINK("https://my.pitchbook.com?p=286703-29P", "View People Online")</f>
        <v>View People Online</v>
      </c>
    </row>
    <row r="523" spans="1:40" x14ac:dyDescent="0.2">
      <c r="A523" s="2" t="s">
        <v>4640</v>
      </c>
      <c r="B523" s="2" t="s">
        <v>4641</v>
      </c>
      <c r="C523" s="2" t="s">
        <v>42</v>
      </c>
      <c r="D523" s="2" t="s">
        <v>42</v>
      </c>
      <c r="E523" s="2" t="s">
        <v>4640</v>
      </c>
      <c r="F523" s="2" t="s">
        <v>4642</v>
      </c>
      <c r="G523" s="2" t="s">
        <v>271</v>
      </c>
      <c r="H523" s="2" t="s">
        <v>42</v>
      </c>
      <c r="I523" s="2" t="s">
        <v>46</v>
      </c>
      <c r="J523" s="2" t="s">
        <v>47</v>
      </c>
      <c r="K523" s="2" t="s">
        <v>1255</v>
      </c>
      <c r="L523" s="2" t="s">
        <v>111</v>
      </c>
      <c r="M523" s="8" t="str">
        <f>HYPERLINK("http://www.alsaifgallery.com", "www.alsaifgallery.com")</f>
        <v>www.alsaifgallery.com</v>
      </c>
      <c r="N523" s="2" t="s">
        <v>112</v>
      </c>
      <c r="O523" s="2" t="s">
        <v>42</v>
      </c>
      <c r="P523" s="2" t="s">
        <v>4643</v>
      </c>
      <c r="Q523" s="2" t="s">
        <v>42</v>
      </c>
      <c r="R523" s="16">
        <v>1</v>
      </c>
      <c r="S523" s="16">
        <v>1</v>
      </c>
      <c r="T523" s="16">
        <v>1</v>
      </c>
      <c r="U523" s="16" t="s">
        <v>42</v>
      </c>
      <c r="V523" s="16" t="s">
        <v>42</v>
      </c>
      <c r="W523" s="4" t="s">
        <v>1258</v>
      </c>
      <c r="X523" s="2" t="s">
        <v>4644</v>
      </c>
      <c r="Y523" s="8" t="str">
        <f>HYPERLINK("http://linkedin.com/in/mohammad-alsaif-75a114b3/", "http://linkedin.com/in/mohammad-alsaif-75a114b3/")</f>
        <v>http://linkedin.com/in/mohammad-alsaif-75a114b3/</v>
      </c>
      <c r="Z523" s="2" t="s">
        <v>55</v>
      </c>
      <c r="AA523" s="2" t="s">
        <v>1260</v>
      </c>
      <c r="AB523" s="2" t="s">
        <v>1261</v>
      </c>
      <c r="AC523" s="2" t="s">
        <v>58</v>
      </c>
      <c r="AD523" s="2" t="s">
        <v>42</v>
      </c>
      <c r="AE523" s="4" t="s">
        <v>1262</v>
      </c>
      <c r="AF523" s="2" t="s">
        <v>60</v>
      </c>
      <c r="AG523" s="4" t="s">
        <v>1263</v>
      </c>
      <c r="AH523" s="2" t="s">
        <v>61</v>
      </c>
      <c r="AI523" s="2" t="s">
        <v>61</v>
      </c>
      <c r="AJ523" s="2" t="s">
        <v>42</v>
      </c>
      <c r="AK523" s="2" t="s">
        <v>42</v>
      </c>
      <c r="AL523" s="28">
        <v>45448</v>
      </c>
      <c r="AM523" s="4" t="s">
        <v>42</v>
      </c>
      <c r="AN523" s="8" t="str">
        <f>HYPERLINK("https://my.pitchbook.com?p=322842-88P", "View People Online")</f>
        <v>View People Online</v>
      </c>
    </row>
    <row r="524" spans="1:40" x14ac:dyDescent="0.2">
      <c r="A524" s="3" t="s">
        <v>4645</v>
      </c>
      <c r="B524" s="3" t="s">
        <v>4646</v>
      </c>
      <c r="C524" s="3" t="s">
        <v>42</v>
      </c>
      <c r="D524" s="3" t="s">
        <v>42</v>
      </c>
      <c r="E524" s="3" t="s">
        <v>4645</v>
      </c>
      <c r="F524" s="3" t="s">
        <v>4647</v>
      </c>
      <c r="G524" s="3" t="s">
        <v>271</v>
      </c>
      <c r="H524" s="3" t="s">
        <v>42</v>
      </c>
      <c r="I524" s="3" t="s">
        <v>46</v>
      </c>
      <c r="J524" s="3" t="s">
        <v>47</v>
      </c>
      <c r="K524" s="3" t="s">
        <v>4648</v>
      </c>
      <c r="L524" s="3" t="s">
        <v>111</v>
      </c>
      <c r="M524" s="9" t="str">
        <f>HYPERLINK("http://kn-it.com", "kn-it.com")</f>
        <v>kn-it.com</v>
      </c>
      <c r="N524" s="3" t="s">
        <v>4649</v>
      </c>
      <c r="O524" s="3" t="s">
        <v>42</v>
      </c>
      <c r="P524" s="3" t="s">
        <v>4650</v>
      </c>
      <c r="Q524" s="3" t="s">
        <v>42</v>
      </c>
      <c r="R524" s="17" t="s">
        <v>42</v>
      </c>
      <c r="S524" s="17">
        <v>1</v>
      </c>
      <c r="T524" s="17">
        <v>1</v>
      </c>
      <c r="U524" s="17" t="s">
        <v>42</v>
      </c>
      <c r="V524" s="17" t="s">
        <v>42</v>
      </c>
      <c r="W524" s="5" t="s">
        <v>42</v>
      </c>
      <c r="X524" s="3" t="s">
        <v>4651</v>
      </c>
      <c r="Y524" s="3" t="s">
        <v>42</v>
      </c>
      <c r="Z524" s="3" t="s">
        <v>55</v>
      </c>
      <c r="AA524" s="3" t="s">
        <v>4652</v>
      </c>
      <c r="AB524" s="3" t="s">
        <v>42</v>
      </c>
      <c r="AC524" s="3" t="s">
        <v>58</v>
      </c>
      <c r="AD524" s="3" t="s">
        <v>4653</v>
      </c>
      <c r="AE524" s="5" t="s">
        <v>4654</v>
      </c>
      <c r="AF524" s="3" t="s">
        <v>60</v>
      </c>
      <c r="AG524" s="5" t="s">
        <v>42</v>
      </c>
      <c r="AH524" s="3" t="s">
        <v>61</v>
      </c>
      <c r="AI524" s="3" t="s">
        <v>61</v>
      </c>
      <c r="AJ524" s="3" t="s">
        <v>42</v>
      </c>
      <c r="AK524" s="3" t="s">
        <v>42</v>
      </c>
      <c r="AL524" s="29">
        <v>45925</v>
      </c>
      <c r="AM524" s="5" t="s">
        <v>42</v>
      </c>
      <c r="AN524" s="9" t="str">
        <f>HYPERLINK("https://my.pitchbook.com?p=340896-79P", "View People Online")</f>
        <v>View People Online</v>
      </c>
    </row>
    <row r="525" spans="1:40" x14ac:dyDescent="0.2">
      <c r="A525" s="2" t="s">
        <v>4655</v>
      </c>
      <c r="B525" s="2" t="s">
        <v>4656</v>
      </c>
      <c r="C525" s="2" t="s">
        <v>42</v>
      </c>
      <c r="D525" s="2" t="s">
        <v>42</v>
      </c>
      <c r="E525" s="2" t="s">
        <v>4655</v>
      </c>
      <c r="F525" s="2" t="s">
        <v>4657</v>
      </c>
      <c r="G525" s="2" t="s">
        <v>271</v>
      </c>
      <c r="H525" s="2" t="s">
        <v>42</v>
      </c>
      <c r="I525" s="2" t="s">
        <v>46</v>
      </c>
      <c r="J525" s="2" t="s">
        <v>47</v>
      </c>
      <c r="K525" s="2" t="s">
        <v>4615</v>
      </c>
      <c r="L525" s="2" t="s">
        <v>111</v>
      </c>
      <c r="M525" s="8" t="str">
        <f>HYPERLINK("http://www.bawan.com.sa", "www.bawan.com.sa")</f>
        <v>www.bawan.com.sa</v>
      </c>
      <c r="N525" s="2" t="s">
        <v>210</v>
      </c>
      <c r="O525" s="2" t="s">
        <v>42</v>
      </c>
      <c r="P525" s="2" t="s">
        <v>4658</v>
      </c>
      <c r="Q525" s="2" t="s">
        <v>42</v>
      </c>
      <c r="R525" s="16" t="s">
        <v>42</v>
      </c>
      <c r="S525" s="16">
        <v>1</v>
      </c>
      <c r="T525" s="16">
        <v>1</v>
      </c>
      <c r="U525" s="16" t="s">
        <v>42</v>
      </c>
      <c r="V525" s="16" t="s">
        <v>42</v>
      </c>
      <c r="W525" s="4" t="s">
        <v>4617</v>
      </c>
      <c r="X525" s="2" t="s">
        <v>42</v>
      </c>
      <c r="Y525" s="2" t="s">
        <v>42</v>
      </c>
      <c r="Z525" s="2" t="s">
        <v>55</v>
      </c>
      <c r="AA525" s="2" t="s">
        <v>4619</v>
      </c>
      <c r="AB525" s="2" t="s">
        <v>42</v>
      </c>
      <c r="AC525" s="2" t="s">
        <v>58</v>
      </c>
      <c r="AD525" s="2" t="s">
        <v>42</v>
      </c>
      <c r="AE525" s="4" t="s">
        <v>4620</v>
      </c>
      <c r="AF525" s="2" t="s">
        <v>60</v>
      </c>
      <c r="AG525" s="4" t="s">
        <v>4621</v>
      </c>
      <c r="AH525" s="2" t="s">
        <v>61</v>
      </c>
      <c r="AI525" s="2" t="s">
        <v>61</v>
      </c>
      <c r="AJ525" s="2" t="s">
        <v>42</v>
      </c>
      <c r="AK525" s="2" t="s">
        <v>42</v>
      </c>
      <c r="AL525" s="28">
        <v>46057</v>
      </c>
      <c r="AM525" s="4" t="s">
        <v>42</v>
      </c>
      <c r="AN525" s="8" t="str">
        <f>HYPERLINK("https://my.pitchbook.com?p=305290-45P", "View People Online")</f>
        <v>View People Online</v>
      </c>
    </row>
    <row r="526" spans="1:40" x14ac:dyDescent="0.2">
      <c r="A526" s="3" t="s">
        <v>4659</v>
      </c>
      <c r="B526" s="3" t="s">
        <v>4660</v>
      </c>
      <c r="C526" s="3" t="s">
        <v>42</v>
      </c>
      <c r="D526" s="3" t="s">
        <v>42</v>
      </c>
      <c r="E526" s="3" t="s">
        <v>4659</v>
      </c>
      <c r="F526" s="3" t="s">
        <v>650</v>
      </c>
      <c r="G526" s="3" t="s">
        <v>271</v>
      </c>
      <c r="H526" s="3" t="s">
        <v>4661</v>
      </c>
      <c r="I526" s="3" t="s">
        <v>46</v>
      </c>
      <c r="J526" s="3" t="s">
        <v>47</v>
      </c>
      <c r="K526" s="3" t="s">
        <v>2165</v>
      </c>
      <c r="L526" s="3" t="s">
        <v>111</v>
      </c>
      <c r="M526" s="9" t="str">
        <f>HYPERLINK("http://www.riyadhsteel.com.sa", "www.riyadhsteel.com.sa")</f>
        <v>www.riyadhsteel.com.sa</v>
      </c>
      <c r="N526" s="3" t="s">
        <v>534</v>
      </c>
      <c r="O526" s="3" t="s">
        <v>42</v>
      </c>
      <c r="P526" s="3" t="s">
        <v>4662</v>
      </c>
      <c r="Q526" s="3" t="s">
        <v>42</v>
      </c>
      <c r="R526" s="17" t="s">
        <v>42</v>
      </c>
      <c r="S526" s="17">
        <v>1</v>
      </c>
      <c r="T526" s="17">
        <v>1</v>
      </c>
      <c r="U526" s="17" t="s">
        <v>42</v>
      </c>
      <c r="V526" s="17" t="s">
        <v>42</v>
      </c>
      <c r="W526" s="5" t="s">
        <v>2168</v>
      </c>
      <c r="X526" s="3" t="s">
        <v>4663</v>
      </c>
      <c r="Y526" s="9" t="str">
        <f>HYPERLINK("http://sa.linkedin.com/in/mohammad-usman-khan-9a033020", "http://sa.linkedin.com/in/mohammad-usman-khan-9a033020")</f>
        <v>http://sa.linkedin.com/in/mohammad-usman-khan-9a033020</v>
      </c>
      <c r="Z526" s="3" t="s">
        <v>55</v>
      </c>
      <c r="AA526" s="3" t="s">
        <v>2170</v>
      </c>
      <c r="AB526" s="3" t="s">
        <v>2171</v>
      </c>
      <c r="AC526" s="3" t="s">
        <v>58</v>
      </c>
      <c r="AD526" s="3" t="s">
        <v>42</v>
      </c>
      <c r="AE526" s="5" t="s">
        <v>2172</v>
      </c>
      <c r="AF526" s="3" t="s">
        <v>60</v>
      </c>
      <c r="AG526" s="5" t="s">
        <v>42</v>
      </c>
      <c r="AH526" s="3" t="s">
        <v>61</v>
      </c>
      <c r="AI526" s="3" t="s">
        <v>61</v>
      </c>
      <c r="AJ526" s="3" t="s">
        <v>42</v>
      </c>
      <c r="AK526" s="3" t="s">
        <v>42</v>
      </c>
      <c r="AL526" s="29">
        <v>45839</v>
      </c>
      <c r="AM526" s="5">
        <v>1985</v>
      </c>
      <c r="AN526" s="9" t="str">
        <f>HYPERLINK("https://my.pitchbook.com?p=404587-63P", "View People Online")</f>
        <v>View People Online</v>
      </c>
    </row>
    <row r="527" spans="1:40" x14ac:dyDescent="0.2">
      <c r="A527" s="2" t="s">
        <v>4664</v>
      </c>
      <c r="B527" s="2" t="s">
        <v>4665</v>
      </c>
      <c r="C527" s="2" t="s">
        <v>42</v>
      </c>
      <c r="D527" s="2" t="s">
        <v>42</v>
      </c>
      <c r="E527" s="2" t="s">
        <v>4664</v>
      </c>
      <c r="F527" s="2" t="s">
        <v>4666</v>
      </c>
      <c r="G527" s="2" t="s">
        <v>271</v>
      </c>
      <c r="H527" s="2" t="s">
        <v>622</v>
      </c>
      <c r="I527" s="2" t="s">
        <v>46</v>
      </c>
      <c r="J527" s="2" t="s">
        <v>47</v>
      </c>
      <c r="K527" s="2" t="s">
        <v>935</v>
      </c>
      <c r="L527" s="2" t="s">
        <v>111</v>
      </c>
      <c r="M527" s="8" t="str">
        <f>HYPERLINK("http://www.saudiags.com", "www.saudiags.com")</f>
        <v>www.saudiags.com</v>
      </c>
      <c r="N527" s="2" t="s">
        <v>210</v>
      </c>
      <c r="O527" s="2" t="s">
        <v>42</v>
      </c>
      <c r="P527" s="2" t="s">
        <v>4667</v>
      </c>
      <c r="Q527" s="2" t="s">
        <v>4668</v>
      </c>
      <c r="R527" s="16" t="s">
        <v>42</v>
      </c>
      <c r="S527" s="16">
        <v>1</v>
      </c>
      <c r="T527" s="16">
        <v>1</v>
      </c>
      <c r="U527" s="16" t="s">
        <v>42</v>
      </c>
      <c r="V527" s="16" t="s">
        <v>42</v>
      </c>
      <c r="W527" s="4" t="s">
        <v>937</v>
      </c>
      <c r="X527" s="2" t="s">
        <v>4669</v>
      </c>
      <c r="Y527" s="8" t="str">
        <f>HYPERLINK("http://linkedin.com/in/mohammedmazi/", "http://linkedin.com/in/mohammedmazi/")</f>
        <v>http://linkedin.com/in/mohammedmazi/</v>
      </c>
      <c r="Z527" s="2" t="s">
        <v>174</v>
      </c>
      <c r="AA527" s="2" t="s">
        <v>939</v>
      </c>
      <c r="AB527" s="2" t="s">
        <v>940</v>
      </c>
      <c r="AC527" s="2" t="s">
        <v>176</v>
      </c>
      <c r="AD527" s="2" t="s">
        <v>42</v>
      </c>
      <c r="AE527" s="4" t="s">
        <v>433</v>
      </c>
      <c r="AF527" s="2" t="s">
        <v>60</v>
      </c>
      <c r="AG527" s="4" t="s">
        <v>941</v>
      </c>
      <c r="AH527" s="2" t="s">
        <v>61</v>
      </c>
      <c r="AI527" s="2" t="s">
        <v>61</v>
      </c>
      <c r="AJ527" s="2" t="s">
        <v>42</v>
      </c>
      <c r="AK527" s="2" t="s">
        <v>42</v>
      </c>
      <c r="AL527" s="28">
        <v>45805</v>
      </c>
      <c r="AM527" s="4" t="s">
        <v>42</v>
      </c>
      <c r="AN527" s="8" t="str">
        <f>HYPERLINK("https://my.pitchbook.com?p=331403-32P", "View People Online")</f>
        <v>View People Online</v>
      </c>
    </row>
    <row r="528" spans="1:40" x14ac:dyDescent="0.2">
      <c r="A528" s="3" t="s">
        <v>4670</v>
      </c>
      <c r="B528" s="3" t="s">
        <v>4671</v>
      </c>
      <c r="C528" s="3" t="s">
        <v>42</v>
      </c>
      <c r="D528" s="3" t="s">
        <v>42</v>
      </c>
      <c r="E528" s="3" t="s">
        <v>4670</v>
      </c>
      <c r="F528" s="3" t="s">
        <v>1352</v>
      </c>
      <c r="G528" s="3" t="s">
        <v>271</v>
      </c>
      <c r="H528" s="3" t="s">
        <v>4672</v>
      </c>
      <c r="I528" s="3" t="s">
        <v>46</v>
      </c>
      <c r="J528" s="3" t="s">
        <v>47</v>
      </c>
      <c r="K528" s="3" t="s">
        <v>446</v>
      </c>
      <c r="L528" s="3" t="s">
        <v>111</v>
      </c>
      <c r="M528" s="9" t="str">
        <f>HYPERLINK("http://www.alhammadi.com", "www.alhammadi.com")</f>
        <v>www.alhammadi.com</v>
      </c>
      <c r="N528" s="3" t="s">
        <v>447</v>
      </c>
      <c r="O528" s="3" t="s">
        <v>42</v>
      </c>
      <c r="P528" s="3" t="s">
        <v>4673</v>
      </c>
      <c r="Q528" s="3" t="s">
        <v>42</v>
      </c>
      <c r="R528" s="17" t="s">
        <v>42</v>
      </c>
      <c r="S528" s="17">
        <v>1</v>
      </c>
      <c r="T528" s="17">
        <v>1</v>
      </c>
      <c r="U528" s="17" t="s">
        <v>42</v>
      </c>
      <c r="V528" s="17" t="s">
        <v>42</v>
      </c>
      <c r="W528" s="5" t="s">
        <v>449</v>
      </c>
      <c r="X528" s="3" t="s">
        <v>4674</v>
      </c>
      <c r="Y528" s="3" t="s">
        <v>42</v>
      </c>
      <c r="Z528" s="3" t="s">
        <v>55</v>
      </c>
      <c r="AA528" s="3" t="s">
        <v>451</v>
      </c>
      <c r="AB528" s="3" t="s">
        <v>452</v>
      </c>
      <c r="AC528" s="3" t="s">
        <v>58</v>
      </c>
      <c r="AD528" s="3" t="s">
        <v>453</v>
      </c>
      <c r="AE528" s="5" t="s">
        <v>454</v>
      </c>
      <c r="AF528" s="3" t="s">
        <v>60</v>
      </c>
      <c r="AG528" s="5" t="s">
        <v>455</v>
      </c>
      <c r="AH528" s="3" t="s">
        <v>61</v>
      </c>
      <c r="AI528" s="3" t="s">
        <v>61</v>
      </c>
      <c r="AJ528" s="3" t="s">
        <v>42</v>
      </c>
      <c r="AK528" s="3" t="s">
        <v>42</v>
      </c>
      <c r="AL528" s="29">
        <v>45666</v>
      </c>
      <c r="AM528" s="5" t="s">
        <v>42</v>
      </c>
      <c r="AN528" s="9" t="str">
        <f>HYPERLINK("https://my.pitchbook.com?p=181434-97P", "View People Online")</f>
        <v>View People Online</v>
      </c>
    </row>
    <row r="529" spans="1:40" x14ac:dyDescent="0.2">
      <c r="A529" s="2" t="s">
        <v>4675</v>
      </c>
      <c r="B529" s="2" t="s">
        <v>4676</v>
      </c>
      <c r="C529" s="2" t="s">
        <v>42</v>
      </c>
      <c r="D529" s="2" t="s">
        <v>42</v>
      </c>
      <c r="E529" s="2" t="s">
        <v>4675</v>
      </c>
      <c r="F529" s="2" t="s">
        <v>4677</v>
      </c>
      <c r="G529" s="2" t="s">
        <v>284</v>
      </c>
      <c r="H529" s="2" t="s">
        <v>223</v>
      </c>
      <c r="I529" s="2" t="s">
        <v>46</v>
      </c>
      <c r="J529" s="2" t="s">
        <v>47</v>
      </c>
      <c r="K529" s="2" t="s">
        <v>2923</v>
      </c>
      <c r="L529" s="2" t="s">
        <v>111</v>
      </c>
      <c r="M529" s="8" t="str">
        <f>HYPERLINK("http://www.amak.com.sa", "www.amak.com.sa")</f>
        <v>www.amak.com.sa</v>
      </c>
      <c r="N529" s="2" t="s">
        <v>2004</v>
      </c>
      <c r="O529" s="2" t="s">
        <v>42</v>
      </c>
      <c r="P529" s="2" t="s">
        <v>4678</v>
      </c>
      <c r="Q529" s="2" t="s">
        <v>4679</v>
      </c>
      <c r="R529" s="16">
        <v>1</v>
      </c>
      <c r="S529" s="16">
        <v>1</v>
      </c>
      <c r="T529" s="16">
        <v>1</v>
      </c>
      <c r="U529" s="16" t="s">
        <v>42</v>
      </c>
      <c r="V529" s="16" t="s">
        <v>42</v>
      </c>
      <c r="W529" s="4" t="s">
        <v>2925</v>
      </c>
      <c r="X529" s="2" t="s">
        <v>4680</v>
      </c>
      <c r="Y529" s="2" t="s">
        <v>42</v>
      </c>
      <c r="Z529" s="2" t="s">
        <v>1168</v>
      </c>
      <c r="AA529" s="2" t="s">
        <v>2927</v>
      </c>
      <c r="AB529" s="2" t="s">
        <v>2928</v>
      </c>
      <c r="AC529" s="2" t="s">
        <v>1171</v>
      </c>
      <c r="AD529" s="2" t="s">
        <v>42</v>
      </c>
      <c r="AE529" s="4" t="s">
        <v>2929</v>
      </c>
      <c r="AF529" s="2" t="s">
        <v>60</v>
      </c>
      <c r="AG529" s="4" t="s">
        <v>2930</v>
      </c>
      <c r="AH529" s="2" t="s">
        <v>61</v>
      </c>
      <c r="AI529" s="2" t="s">
        <v>61</v>
      </c>
      <c r="AJ529" s="2" t="s">
        <v>42</v>
      </c>
      <c r="AK529" s="2" t="s">
        <v>42</v>
      </c>
      <c r="AL529" s="28">
        <v>46052</v>
      </c>
      <c r="AM529" s="4" t="s">
        <v>42</v>
      </c>
      <c r="AN529" s="8" t="str">
        <f>HYPERLINK("https://my.pitchbook.com?p=80562-43P", "View People Online")</f>
        <v>View People Online</v>
      </c>
    </row>
    <row r="530" spans="1:40" x14ac:dyDescent="0.2">
      <c r="A530" s="3" t="s">
        <v>4681</v>
      </c>
      <c r="B530" s="3" t="s">
        <v>4682</v>
      </c>
      <c r="C530" s="3" t="s">
        <v>42</v>
      </c>
      <c r="D530" s="3" t="s">
        <v>42</v>
      </c>
      <c r="E530" s="3" t="s">
        <v>4681</v>
      </c>
      <c r="F530" s="3" t="s">
        <v>4683</v>
      </c>
      <c r="G530" s="3" t="s">
        <v>4684</v>
      </c>
      <c r="H530" s="3" t="s">
        <v>467</v>
      </c>
      <c r="I530" s="3" t="s">
        <v>46</v>
      </c>
      <c r="J530" s="3" t="s">
        <v>47</v>
      </c>
      <c r="K530" s="3" t="s">
        <v>3287</v>
      </c>
      <c r="L530" s="3" t="s">
        <v>111</v>
      </c>
      <c r="M530" s="9" t="str">
        <f>HYPERLINK("http://www.smilecare.com.sa", "www.smilecare.com.sa")</f>
        <v>www.smilecare.com.sa</v>
      </c>
      <c r="N530" s="3" t="s">
        <v>447</v>
      </c>
      <c r="O530" s="3" t="s">
        <v>42</v>
      </c>
      <c r="P530" s="3" t="s">
        <v>4685</v>
      </c>
      <c r="Q530" s="3" t="s">
        <v>42</v>
      </c>
      <c r="R530" s="17" t="s">
        <v>42</v>
      </c>
      <c r="S530" s="17">
        <v>1</v>
      </c>
      <c r="T530" s="17">
        <v>1</v>
      </c>
      <c r="U530" s="17" t="s">
        <v>42</v>
      </c>
      <c r="V530" s="17" t="s">
        <v>42</v>
      </c>
      <c r="W530" s="5" t="s">
        <v>3289</v>
      </c>
      <c r="X530" s="3" t="s">
        <v>42</v>
      </c>
      <c r="Y530" s="3" t="s">
        <v>42</v>
      </c>
      <c r="Z530" s="3" t="s">
        <v>55</v>
      </c>
      <c r="AA530" s="3" t="s">
        <v>3291</v>
      </c>
      <c r="AB530" s="3" t="s">
        <v>3292</v>
      </c>
      <c r="AC530" s="3" t="s">
        <v>58</v>
      </c>
      <c r="AD530" s="3" t="s">
        <v>42</v>
      </c>
      <c r="AE530" s="5" t="s">
        <v>3002</v>
      </c>
      <c r="AF530" s="3" t="s">
        <v>60</v>
      </c>
      <c r="AG530" s="5" t="s">
        <v>42</v>
      </c>
      <c r="AH530" s="3" t="s">
        <v>61</v>
      </c>
      <c r="AI530" s="3" t="s">
        <v>61</v>
      </c>
      <c r="AJ530" s="3" t="s">
        <v>42</v>
      </c>
      <c r="AK530" s="3" t="s">
        <v>42</v>
      </c>
      <c r="AL530" s="29">
        <v>45652</v>
      </c>
      <c r="AM530" s="5" t="s">
        <v>42</v>
      </c>
      <c r="AN530" s="9" t="str">
        <f>HYPERLINK("https://my.pitchbook.com?p=426511-90P", "View People Online")</f>
        <v>View People Online</v>
      </c>
    </row>
    <row r="531" spans="1:40" x14ac:dyDescent="0.2">
      <c r="A531" s="2" t="s">
        <v>4686</v>
      </c>
      <c r="B531" s="2" t="s">
        <v>4687</v>
      </c>
      <c r="C531" s="2" t="s">
        <v>42</v>
      </c>
      <c r="D531" s="2" t="s">
        <v>42</v>
      </c>
      <c r="E531" s="2" t="s">
        <v>4686</v>
      </c>
      <c r="F531" s="2" t="s">
        <v>4688</v>
      </c>
      <c r="G531" s="2" t="s">
        <v>284</v>
      </c>
      <c r="H531" s="2" t="s">
        <v>4689</v>
      </c>
      <c r="I531" s="2" t="s">
        <v>46</v>
      </c>
      <c r="J531" s="2" t="s">
        <v>47</v>
      </c>
      <c r="K531" s="2" t="s">
        <v>4690</v>
      </c>
      <c r="L531" s="2" t="s">
        <v>111</v>
      </c>
      <c r="M531" s="8" t="str">
        <f>HYPERLINK("http://www.theebonline.com", "www.theebonline.com")</f>
        <v>www.theebonline.com</v>
      </c>
      <c r="N531" s="2" t="s">
        <v>246</v>
      </c>
      <c r="O531" s="2" t="s">
        <v>42</v>
      </c>
      <c r="P531" s="2" t="s">
        <v>4691</v>
      </c>
      <c r="Q531" s="2" t="s">
        <v>42</v>
      </c>
      <c r="R531" s="16">
        <v>1</v>
      </c>
      <c r="S531" s="16">
        <v>1</v>
      </c>
      <c r="T531" s="16" t="s">
        <v>42</v>
      </c>
      <c r="U531" s="16" t="s">
        <v>42</v>
      </c>
      <c r="V531" s="16" t="s">
        <v>42</v>
      </c>
      <c r="W531" s="4" t="s">
        <v>4692</v>
      </c>
      <c r="X531" s="2" t="s">
        <v>42</v>
      </c>
      <c r="Y531" s="2" t="s">
        <v>42</v>
      </c>
      <c r="Z531" s="2" t="s">
        <v>55</v>
      </c>
      <c r="AA531" s="2" t="s">
        <v>4693</v>
      </c>
      <c r="AB531" s="2" t="s">
        <v>42</v>
      </c>
      <c r="AC531" s="2" t="s">
        <v>58</v>
      </c>
      <c r="AD531" s="2" t="s">
        <v>42</v>
      </c>
      <c r="AE531" s="4" t="s">
        <v>3854</v>
      </c>
      <c r="AF531" s="2" t="s">
        <v>60</v>
      </c>
      <c r="AG531" s="4" t="s">
        <v>4694</v>
      </c>
      <c r="AH531" s="2" t="s">
        <v>61</v>
      </c>
      <c r="AI531" s="2" t="s">
        <v>61</v>
      </c>
      <c r="AJ531" s="2" t="s">
        <v>42</v>
      </c>
      <c r="AK531" s="2" t="s">
        <v>42</v>
      </c>
      <c r="AL531" s="28">
        <v>45379</v>
      </c>
      <c r="AM531" s="4" t="s">
        <v>42</v>
      </c>
      <c r="AN531" s="8" t="str">
        <f>HYPERLINK("https://my.pitchbook.com?p=54207-73P", "View People Online")</f>
        <v>View People Online</v>
      </c>
    </row>
    <row r="532" spans="1:40" x14ac:dyDescent="0.2">
      <c r="A532" s="3" t="s">
        <v>4695</v>
      </c>
      <c r="B532" s="3" t="s">
        <v>4696</v>
      </c>
      <c r="C532" s="3" t="s">
        <v>42</v>
      </c>
      <c r="D532" s="3" t="s">
        <v>42</v>
      </c>
      <c r="E532" s="3" t="s">
        <v>4695</v>
      </c>
      <c r="F532" s="3" t="s">
        <v>4697</v>
      </c>
      <c r="G532" s="3" t="s">
        <v>284</v>
      </c>
      <c r="H532" s="3" t="s">
        <v>4698</v>
      </c>
      <c r="I532" s="3" t="s">
        <v>46</v>
      </c>
      <c r="J532" s="3" t="s">
        <v>47</v>
      </c>
      <c r="K532" s="3" t="s">
        <v>4699</v>
      </c>
      <c r="L532" s="3" t="s">
        <v>111</v>
      </c>
      <c r="M532" s="9" t="str">
        <f>HYPERLINK("http://www.almuneef.com", "www.almuneef.com")</f>
        <v>www.almuneef.com</v>
      </c>
      <c r="N532" s="3" t="s">
        <v>210</v>
      </c>
      <c r="O532" s="3" t="s">
        <v>42</v>
      </c>
      <c r="P532" s="3" t="s">
        <v>4700</v>
      </c>
      <c r="Q532" s="3" t="s">
        <v>42</v>
      </c>
      <c r="R532" s="17" t="s">
        <v>42</v>
      </c>
      <c r="S532" s="17">
        <v>1</v>
      </c>
      <c r="T532" s="17">
        <v>1</v>
      </c>
      <c r="U532" s="17" t="s">
        <v>42</v>
      </c>
      <c r="V532" s="17" t="s">
        <v>42</v>
      </c>
      <c r="W532" s="5" t="s">
        <v>4701</v>
      </c>
      <c r="X532" s="3" t="s">
        <v>42</v>
      </c>
      <c r="Y532" s="3" t="s">
        <v>42</v>
      </c>
      <c r="Z532" s="3" t="s">
        <v>55</v>
      </c>
      <c r="AA532" s="3" t="s">
        <v>42</v>
      </c>
      <c r="AB532" s="3" t="s">
        <v>42</v>
      </c>
      <c r="AC532" s="3" t="s">
        <v>58</v>
      </c>
      <c r="AD532" s="3" t="s">
        <v>42</v>
      </c>
      <c r="AE532" s="5" t="s">
        <v>42</v>
      </c>
      <c r="AF532" s="3" t="s">
        <v>60</v>
      </c>
      <c r="AG532" s="5" t="s">
        <v>4702</v>
      </c>
      <c r="AH532" s="3" t="s">
        <v>61</v>
      </c>
      <c r="AI532" s="3" t="s">
        <v>61</v>
      </c>
      <c r="AJ532" s="3" t="s">
        <v>42</v>
      </c>
      <c r="AK532" s="3" t="s">
        <v>42</v>
      </c>
      <c r="AL532" s="29">
        <v>45757</v>
      </c>
      <c r="AM532" s="5" t="s">
        <v>42</v>
      </c>
      <c r="AN532" s="9" t="str">
        <f>HYPERLINK("https://my.pitchbook.com?p=343469-62P", "View People Online")</f>
        <v>View People Online</v>
      </c>
    </row>
    <row r="533" spans="1:40" x14ac:dyDescent="0.2">
      <c r="A533" s="2" t="s">
        <v>4703</v>
      </c>
      <c r="B533" s="2" t="s">
        <v>4704</v>
      </c>
      <c r="C533" s="2" t="s">
        <v>42</v>
      </c>
      <c r="D533" s="2" t="s">
        <v>42</v>
      </c>
      <c r="E533" s="2" t="s">
        <v>4703</v>
      </c>
      <c r="F533" s="2" t="s">
        <v>4705</v>
      </c>
      <c r="G533" s="2" t="s">
        <v>284</v>
      </c>
      <c r="H533" s="2" t="s">
        <v>4706</v>
      </c>
      <c r="I533" s="2" t="s">
        <v>46</v>
      </c>
      <c r="J533" s="2" t="s">
        <v>47</v>
      </c>
      <c r="K533" s="2" t="s">
        <v>4707</v>
      </c>
      <c r="L533" s="2" t="s">
        <v>111</v>
      </c>
      <c r="M533" s="8" t="str">
        <f>HYPERLINK("http://www.al-dawaa.com", "www.al-dawaa.com")</f>
        <v>www.al-dawaa.com</v>
      </c>
      <c r="N533" s="2" t="s">
        <v>112</v>
      </c>
      <c r="O533" s="2" t="s">
        <v>42</v>
      </c>
      <c r="P533" s="2" t="s">
        <v>4708</v>
      </c>
      <c r="Q533" s="2" t="s">
        <v>42</v>
      </c>
      <c r="R533" s="16">
        <v>1</v>
      </c>
      <c r="S533" s="16">
        <v>1</v>
      </c>
      <c r="T533" s="16">
        <v>1</v>
      </c>
      <c r="U533" s="16" t="s">
        <v>42</v>
      </c>
      <c r="V533" s="16" t="s">
        <v>42</v>
      </c>
      <c r="W533" s="4" t="s">
        <v>4709</v>
      </c>
      <c r="X533" s="2" t="s">
        <v>42</v>
      </c>
      <c r="Y533" s="8" t="str">
        <f>HYPERLINK("http://sa.linkedin.com/in/mohammed-al-farraj-5a657223", "http://sa.linkedin.com/in/mohammed-al-farraj-5a657223")</f>
        <v>http://sa.linkedin.com/in/mohammed-al-farraj-5a657223</v>
      </c>
      <c r="Z533" s="2" t="s">
        <v>2882</v>
      </c>
      <c r="AA533" s="2" t="s">
        <v>4710</v>
      </c>
      <c r="AB533" s="2" t="s">
        <v>42</v>
      </c>
      <c r="AC533" s="2" t="s">
        <v>2884</v>
      </c>
      <c r="AD533" s="2" t="s">
        <v>42</v>
      </c>
      <c r="AE533" s="4" t="s">
        <v>599</v>
      </c>
      <c r="AF533" s="2" t="s">
        <v>60</v>
      </c>
      <c r="AG533" s="4" t="s">
        <v>4711</v>
      </c>
      <c r="AH533" s="2" t="s">
        <v>61</v>
      </c>
      <c r="AI533" s="2" t="s">
        <v>61</v>
      </c>
      <c r="AJ533" s="2" t="s">
        <v>42</v>
      </c>
      <c r="AK533" s="2" t="s">
        <v>42</v>
      </c>
      <c r="AL533" s="28">
        <v>45921</v>
      </c>
      <c r="AM533" s="4">
        <v>1972</v>
      </c>
      <c r="AN533" s="8" t="str">
        <f>HYPERLINK("https://my.pitchbook.com?p=295494-40P", "View People Online")</f>
        <v>View People Online</v>
      </c>
    </row>
    <row r="534" spans="1:40" x14ac:dyDescent="0.2">
      <c r="A534" s="3" t="s">
        <v>4712</v>
      </c>
      <c r="B534" s="3" t="s">
        <v>4713</v>
      </c>
      <c r="C534" s="3" t="s">
        <v>42</v>
      </c>
      <c r="D534" s="3" t="s">
        <v>42</v>
      </c>
      <c r="E534" s="3" t="s">
        <v>4712</v>
      </c>
      <c r="F534" s="3" t="s">
        <v>740</v>
      </c>
      <c r="G534" s="3" t="s">
        <v>284</v>
      </c>
      <c r="H534" s="3" t="s">
        <v>4167</v>
      </c>
      <c r="I534" s="3" t="s">
        <v>46</v>
      </c>
      <c r="J534" s="3" t="s">
        <v>47</v>
      </c>
      <c r="K534" s="3" t="s">
        <v>4490</v>
      </c>
      <c r="L534" s="3" t="s">
        <v>111</v>
      </c>
      <c r="M534" s="9" t="str">
        <f>HYPERLINK("http://www.avalonpharmaceutical.com", "www.avalonpharmaceutical.com")</f>
        <v>www.avalonpharmaceutical.com</v>
      </c>
      <c r="N534" s="3" t="s">
        <v>112</v>
      </c>
      <c r="O534" s="3" t="s">
        <v>42</v>
      </c>
      <c r="P534" s="3" t="s">
        <v>4714</v>
      </c>
      <c r="Q534" s="3" t="s">
        <v>4715</v>
      </c>
      <c r="R534" s="17">
        <v>1</v>
      </c>
      <c r="S534" s="17">
        <v>1</v>
      </c>
      <c r="T534" s="17">
        <v>1</v>
      </c>
      <c r="U534" s="17" t="s">
        <v>42</v>
      </c>
      <c r="V534" s="17" t="s">
        <v>42</v>
      </c>
      <c r="W534" s="5" t="s">
        <v>4492</v>
      </c>
      <c r="X534" s="3" t="s">
        <v>42</v>
      </c>
      <c r="Y534" s="9" t="str">
        <f>HYPERLINK("http://linkedin.com/in/mohamed-maher-al-ghannam-2ba557262/", "http://linkedin.com/in/mohamed-maher-al-ghannam-2ba557262/")</f>
        <v>http://linkedin.com/in/mohamed-maher-al-ghannam-2ba557262/</v>
      </c>
      <c r="Z534" s="3" t="s">
        <v>55</v>
      </c>
      <c r="AA534" s="3" t="s">
        <v>4494</v>
      </c>
      <c r="AB534" s="3" t="s">
        <v>4495</v>
      </c>
      <c r="AC534" s="3" t="s">
        <v>58</v>
      </c>
      <c r="AD534" s="3" t="s">
        <v>42</v>
      </c>
      <c r="AE534" s="5" t="s">
        <v>4496</v>
      </c>
      <c r="AF534" s="3" t="s">
        <v>60</v>
      </c>
      <c r="AG534" s="5" t="s">
        <v>42</v>
      </c>
      <c r="AH534" s="3" t="s">
        <v>61</v>
      </c>
      <c r="AI534" s="3" t="s">
        <v>61</v>
      </c>
      <c r="AJ534" s="3" t="s">
        <v>42</v>
      </c>
      <c r="AK534" s="3" t="s">
        <v>42</v>
      </c>
      <c r="AL534" s="29">
        <v>45842</v>
      </c>
      <c r="AM534" s="5" t="s">
        <v>42</v>
      </c>
      <c r="AN534" s="9" t="str">
        <f>HYPERLINK("https://my.pitchbook.com?p=379626-94P", "View People Online")</f>
        <v>View People Online</v>
      </c>
    </row>
    <row r="535" spans="1:40" x14ac:dyDescent="0.2">
      <c r="A535" s="2" t="s">
        <v>4716</v>
      </c>
      <c r="B535" s="2" t="s">
        <v>4717</v>
      </c>
      <c r="C535" s="2" t="s">
        <v>42</v>
      </c>
      <c r="D535" s="2" t="s">
        <v>42</v>
      </c>
      <c r="E535" s="2" t="s">
        <v>4716</v>
      </c>
      <c r="F535" s="2" t="s">
        <v>4718</v>
      </c>
      <c r="G535" s="2" t="s">
        <v>284</v>
      </c>
      <c r="H535" s="2" t="s">
        <v>4719</v>
      </c>
      <c r="I535" s="2" t="s">
        <v>46</v>
      </c>
      <c r="J535" s="2" t="s">
        <v>47</v>
      </c>
      <c r="K535" s="2" t="s">
        <v>2954</v>
      </c>
      <c r="L535" s="2" t="s">
        <v>111</v>
      </c>
      <c r="M535" s="8" t="str">
        <f>HYPERLINK("http://www.jazadco.com.sa", "www.jazadco.com.sa")</f>
        <v>www.jazadco.com.sa</v>
      </c>
      <c r="N535" s="2" t="s">
        <v>2079</v>
      </c>
      <c r="O535" s="2" t="s">
        <v>42</v>
      </c>
      <c r="P535" s="2" t="s">
        <v>4720</v>
      </c>
      <c r="Q535" s="2" t="s">
        <v>4721</v>
      </c>
      <c r="R535" s="16" t="s">
        <v>42</v>
      </c>
      <c r="S535" s="16">
        <v>1</v>
      </c>
      <c r="T535" s="16">
        <v>1</v>
      </c>
      <c r="U535" s="16" t="s">
        <v>42</v>
      </c>
      <c r="V535" s="16" t="s">
        <v>42</v>
      </c>
      <c r="W535" s="4" t="s">
        <v>2956</v>
      </c>
      <c r="X535" s="2" t="s">
        <v>42</v>
      </c>
      <c r="Y535" s="8" t="str">
        <f>HYPERLINK("http://linkedin.com/in/mohammed-alresheid-568009162", "http://linkedin.com/in/mohammed-alresheid-568009162")</f>
        <v>http://linkedin.com/in/mohammed-alresheid-568009162</v>
      </c>
      <c r="Z535" s="2" t="s">
        <v>2958</v>
      </c>
      <c r="AA535" s="2" t="s">
        <v>2959</v>
      </c>
      <c r="AB535" s="2" t="s">
        <v>2960</v>
      </c>
      <c r="AC535" s="2" t="s">
        <v>2961</v>
      </c>
      <c r="AD535" s="2" t="s">
        <v>42</v>
      </c>
      <c r="AE535" s="4" t="s">
        <v>42</v>
      </c>
      <c r="AF535" s="2" t="s">
        <v>60</v>
      </c>
      <c r="AG535" s="4" t="s">
        <v>2962</v>
      </c>
      <c r="AH535" s="2" t="s">
        <v>61</v>
      </c>
      <c r="AI535" s="2" t="s">
        <v>61</v>
      </c>
      <c r="AJ535" s="2" t="s">
        <v>42</v>
      </c>
      <c r="AK535" s="2" t="s">
        <v>42</v>
      </c>
      <c r="AL535" s="28">
        <v>45736</v>
      </c>
      <c r="AM535" s="4" t="s">
        <v>42</v>
      </c>
      <c r="AN535" s="8" t="str">
        <f>HYPERLINK("https://my.pitchbook.com?p=350141-32P", "View People Online")</f>
        <v>View People Online</v>
      </c>
    </row>
    <row r="536" spans="1:40" x14ac:dyDescent="0.2">
      <c r="A536" s="3" t="s">
        <v>4722</v>
      </c>
      <c r="B536" s="3" t="s">
        <v>4723</v>
      </c>
      <c r="C536" s="3" t="s">
        <v>42</v>
      </c>
      <c r="D536" s="3" t="s">
        <v>42</v>
      </c>
      <c r="E536" s="3" t="s">
        <v>4722</v>
      </c>
      <c r="F536" s="3" t="s">
        <v>2606</v>
      </c>
      <c r="G536" s="3" t="s">
        <v>284</v>
      </c>
      <c r="H536" s="3" t="s">
        <v>42</v>
      </c>
      <c r="I536" s="3" t="s">
        <v>46</v>
      </c>
      <c r="J536" s="3" t="s">
        <v>47</v>
      </c>
      <c r="K536" s="3" t="s">
        <v>1291</v>
      </c>
      <c r="L536" s="3" t="s">
        <v>111</v>
      </c>
      <c r="M536" s="9" t="str">
        <f>HYPERLINK("http://www.molansteel.com", "www.molansteel.com")</f>
        <v>www.molansteel.com</v>
      </c>
      <c r="N536" s="3" t="s">
        <v>534</v>
      </c>
      <c r="O536" s="3" t="s">
        <v>42</v>
      </c>
      <c r="P536" s="3" t="s">
        <v>4724</v>
      </c>
      <c r="Q536" s="3" t="s">
        <v>42</v>
      </c>
      <c r="R536" s="17" t="s">
        <v>42</v>
      </c>
      <c r="S536" s="17">
        <v>1</v>
      </c>
      <c r="T536" s="17">
        <v>1</v>
      </c>
      <c r="U536" s="17" t="s">
        <v>42</v>
      </c>
      <c r="V536" s="17" t="s">
        <v>42</v>
      </c>
      <c r="W536" s="5" t="s">
        <v>1293</v>
      </c>
      <c r="X536" s="3" t="s">
        <v>42</v>
      </c>
      <c r="Y536" s="3" t="s">
        <v>42</v>
      </c>
      <c r="Z536" s="3" t="s">
        <v>55</v>
      </c>
      <c r="AA536" s="3" t="s">
        <v>1294</v>
      </c>
      <c r="AB536" s="3" t="s">
        <v>1295</v>
      </c>
      <c r="AC536" s="3" t="s">
        <v>58</v>
      </c>
      <c r="AD536" s="3" t="s">
        <v>42</v>
      </c>
      <c r="AE536" s="5" t="s">
        <v>1296</v>
      </c>
      <c r="AF536" s="3" t="s">
        <v>60</v>
      </c>
      <c r="AG536" s="5" t="s">
        <v>1297</v>
      </c>
      <c r="AH536" s="3" t="s">
        <v>61</v>
      </c>
      <c r="AI536" s="3" t="s">
        <v>61</v>
      </c>
      <c r="AJ536" s="3" t="s">
        <v>42</v>
      </c>
      <c r="AK536" s="3" t="s">
        <v>42</v>
      </c>
      <c r="AL536" s="29">
        <v>45685</v>
      </c>
      <c r="AM536" s="5" t="s">
        <v>42</v>
      </c>
      <c r="AN536" s="9" t="str">
        <f>HYPERLINK("https://my.pitchbook.com?p=329116-78P", "View People Online")</f>
        <v>View People Online</v>
      </c>
    </row>
    <row r="537" spans="1:40" x14ac:dyDescent="0.2">
      <c r="A537" s="2" t="s">
        <v>4725</v>
      </c>
      <c r="B537" s="2" t="s">
        <v>4726</v>
      </c>
      <c r="C537" s="2" t="s">
        <v>42</v>
      </c>
      <c r="D537" s="2" t="s">
        <v>42</v>
      </c>
      <c r="E537" s="2" t="s">
        <v>4725</v>
      </c>
      <c r="F537" s="2" t="s">
        <v>4727</v>
      </c>
      <c r="G537" s="2" t="s">
        <v>284</v>
      </c>
      <c r="H537" s="2" t="s">
        <v>1720</v>
      </c>
      <c r="I537" s="2" t="s">
        <v>46</v>
      </c>
      <c r="J537" s="2" t="s">
        <v>47</v>
      </c>
      <c r="K537" s="2" t="s">
        <v>4728</v>
      </c>
      <c r="L537" s="2" t="s">
        <v>111</v>
      </c>
      <c r="M537" s="8" t="str">
        <f>HYPERLINK("http://www.eastpipes.com", "www.eastpipes.com")</f>
        <v>www.eastpipes.com</v>
      </c>
      <c r="N537" s="2" t="s">
        <v>210</v>
      </c>
      <c r="O537" s="2" t="s">
        <v>42</v>
      </c>
      <c r="P537" s="2" t="s">
        <v>4729</v>
      </c>
      <c r="Q537" s="2" t="s">
        <v>42</v>
      </c>
      <c r="R537" s="16" t="s">
        <v>42</v>
      </c>
      <c r="S537" s="16">
        <v>1</v>
      </c>
      <c r="T537" s="16">
        <v>1</v>
      </c>
      <c r="U537" s="16" t="s">
        <v>42</v>
      </c>
      <c r="V537" s="16" t="s">
        <v>42</v>
      </c>
      <c r="W537" s="4" t="s">
        <v>4730</v>
      </c>
      <c r="X537" s="2" t="s">
        <v>4731</v>
      </c>
      <c r="Y537" s="8" t="str">
        <f>HYPERLINK("http://linkedin.com/in/mohammed-al-shaheen-42219526/", "http://linkedin.com/in/mohammed-al-shaheen-42219526/")</f>
        <v>http://linkedin.com/in/mohammed-al-shaheen-42219526/</v>
      </c>
      <c r="Z537" s="2" t="s">
        <v>383</v>
      </c>
      <c r="AA537" s="2" t="s">
        <v>4732</v>
      </c>
      <c r="AB537" s="2" t="s">
        <v>4733</v>
      </c>
      <c r="AC537" s="2" t="s">
        <v>385</v>
      </c>
      <c r="AD537" s="2" t="s">
        <v>42</v>
      </c>
      <c r="AE537" s="4" t="s">
        <v>4734</v>
      </c>
      <c r="AF537" s="2" t="s">
        <v>60</v>
      </c>
      <c r="AG537" s="4" t="s">
        <v>4735</v>
      </c>
      <c r="AH537" s="2" t="s">
        <v>61</v>
      </c>
      <c r="AI537" s="2" t="s">
        <v>61</v>
      </c>
      <c r="AJ537" s="2" t="s">
        <v>42</v>
      </c>
      <c r="AK537" s="2" t="s">
        <v>42</v>
      </c>
      <c r="AL537" s="28">
        <v>45464</v>
      </c>
      <c r="AM537" s="4" t="s">
        <v>42</v>
      </c>
      <c r="AN537" s="8" t="str">
        <f>HYPERLINK("https://my.pitchbook.com?p=325988-20P", "View People Online")</f>
        <v>View People Online</v>
      </c>
    </row>
    <row r="538" spans="1:40" x14ac:dyDescent="0.2">
      <c r="A538" s="3" t="s">
        <v>4736</v>
      </c>
      <c r="B538" s="3" t="s">
        <v>4737</v>
      </c>
      <c r="C538" s="3" t="s">
        <v>42</v>
      </c>
      <c r="D538" s="3" t="s">
        <v>42</v>
      </c>
      <c r="E538" s="3" t="s">
        <v>4736</v>
      </c>
      <c r="F538" s="3" t="s">
        <v>4738</v>
      </c>
      <c r="G538" s="3" t="s">
        <v>284</v>
      </c>
      <c r="H538" s="3" t="s">
        <v>1352</v>
      </c>
      <c r="I538" s="3" t="s">
        <v>46</v>
      </c>
      <c r="J538" s="3" t="s">
        <v>47</v>
      </c>
      <c r="K538" s="3" t="s">
        <v>2647</v>
      </c>
      <c r="L538" s="3" t="s">
        <v>111</v>
      </c>
      <c r="M538" s="9" t="str">
        <f>HYPERLINK("http://www.amiantit.com", "www.amiantit.com")</f>
        <v>www.amiantit.com</v>
      </c>
      <c r="N538" s="3" t="s">
        <v>4739</v>
      </c>
      <c r="O538" s="3" t="s">
        <v>42</v>
      </c>
      <c r="P538" s="3" t="s">
        <v>4740</v>
      </c>
      <c r="Q538" s="3" t="s">
        <v>42</v>
      </c>
      <c r="R538" s="17" t="s">
        <v>42</v>
      </c>
      <c r="S538" s="17">
        <v>1</v>
      </c>
      <c r="T538" s="17">
        <v>1</v>
      </c>
      <c r="U538" s="17" t="s">
        <v>42</v>
      </c>
      <c r="V538" s="17" t="s">
        <v>42</v>
      </c>
      <c r="W538" s="5" t="s">
        <v>2650</v>
      </c>
      <c r="X538" s="3" t="s">
        <v>4741</v>
      </c>
      <c r="Y538" s="3" t="s">
        <v>42</v>
      </c>
      <c r="Z538" s="3" t="s">
        <v>383</v>
      </c>
      <c r="AA538" s="3" t="s">
        <v>2652</v>
      </c>
      <c r="AB538" s="3" t="s">
        <v>42</v>
      </c>
      <c r="AC538" s="3" t="s">
        <v>385</v>
      </c>
      <c r="AD538" s="3" t="s">
        <v>2653</v>
      </c>
      <c r="AE538" s="5" t="s">
        <v>2654</v>
      </c>
      <c r="AF538" s="3" t="s">
        <v>60</v>
      </c>
      <c r="AG538" s="5" t="s">
        <v>2655</v>
      </c>
      <c r="AH538" s="3" t="s">
        <v>61</v>
      </c>
      <c r="AI538" s="3" t="s">
        <v>61</v>
      </c>
      <c r="AJ538" s="3" t="s">
        <v>42</v>
      </c>
      <c r="AK538" s="3" t="s">
        <v>42</v>
      </c>
      <c r="AL538" s="29">
        <v>45777</v>
      </c>
      <c r="AM538" s="5" t="s">
        <v>42</v>
      </c>
      <c r="AN538" s="9" t="str">
        <f>HYPERLINK("https://my.pitchbook.com?p=385685-11P", "View People Online")</f>
        <v>View People Online</v>
      </c>
    </row>
    <row r="539" spans="1:40" x14ac:dyDescent="0.2">
      <c r="A539" s="2" t="s">
        <v>4742</v>
      </c>
      <c r="B539" s="2" t="s">
        <v>4743</v>
      </c>
      <c r="C539" s="2" t="s">
        <v>42</v>
      </c>
      <c r="D539" s="2" t="s">
        <v>42</v>
      </c>
      <c r="E539" s="2" t="s">
        <v>4742</v>
      </c>
      <c r="F539" s="2" t="s">
        <v>4744</v>
      </c>
      <c r="G539" s="2" t="s">
        <v>284</v>
      </c>
      <c r="H539" s="2" t="s">
        <v>42</v>
      </c>
      <c r="I539" s="2" t="s">
        <v>46</v>
      </c>
      <c r="J539" s="2" t="s">
        <v>47</v>
      </c>
      <c r="K539" s="2" t="s">
        <v>1951</v>
      </c>
      <c r="L539" s="2" t="s">
        <v>111</v>
      </c>
      <c r="M539" s="8" t="str">
        <f>HYPERLINK("http://www.lazurde.com", "www.lazurde.com")</f>
        <v>www.lazurde.com</v>
      </c>
      <c r="N539" s="2" t="s">
        <v>4745</v>
      </c>
      <c r="O539" s="2" t="s">
        <v>42</v>
      </c>
      <c r="P539" s="2" t="s">
        <v>4746</v>
      </c>
      <c r="Q539" s="2" t="s">
        <v>4747</v>
      </c>
      <c r="R539" s="16">
        <v>1</v>
      </c>
      <c r="S539" s="16">
        <v>1</v>
      </c>
      <c r="T539" s="16" t="s">
        <v>42</v>
      </c>
      <c r="U539" s="16" t="s">
        <v>42</v>
      </c>
      <c r="V539" s="16" t="s">
        <v>42</v>
      </c>
      <c r="W539" s="4" t="s">
        <v>1953</v>
      </c>
      <c r="X539" s="2" t="s">
        <v>42</v>
      </c>
      <c r="Y539" s="2" t="s">
        <v>42</v>
      </c>
      <c r="Z539" s="2" t="s">
        <v>55</v>
      </c>
      <c r="AA539" s="2" t="s">
        <v>1955</v>
      </c>
      <c r="AB539" s="2" t="s">
        <v>1956</v>
      </c>
      <c r="AC539" s="2" t="s">
        <v>58</v>
      </c>
      <c r="AD539" s="2" t="s">
        <v>42</v>
      </c>
      <c r="AE539" s="4" t="s">
        <v>1957</v>
      </c>
      <c r="AF539" s="2" t="s">
        <v>60</v>
      </c>
      <c r="AG539" s="4" t="s">
        <v>1958</v>
      </c>
      <c r="AH539" s="2" t="s">
        <v>61</v>
      </c>
      <c r="AI539" s="2" t="s">
        <v>61</v>
      </c>
      <c r="AJ539" s="2" t="s">
        <v>42</v>
      </c>
      <c r="AK539" s="2" t="s">
        <v>42</v>
      </c>
      <c r="AL539" s="28">
        <v>45891</v>
      </c>
      <c r="AM539" s="4" t="s">
        <v>42</v>
      </c>
      <c r="AN539" s="8" t="str">
        <f>HYPERLINK("https://my.pitchbook.com?p=151895-89P", "View People Online")</f>
        <v>View People Online</v>
      </c>
    </row>
    <row r="540" spans="1:40" x14ac:dyDescent="0.2">
      <c r="A540" s="3" t="s">
        <v>4748</v>
      </c>
      <c r="B540" s="3" t="s">
        <v>4749</v>
      </c>
      <c r="C540" s="3" t="s">
        <v>42</v>
      </c>
      <c r="D540" s="3" t="s">
        <v>42</v>
      </c>
      <c r="E540" s="3" t="s">
        <v>4748</v>
      </c>
      <c r="F540" s="3" t="s">
        <v>4750</v>
      </c>
      <c r="G540" s="3" t="s">
        <v>284</v>
      </c>
      <c r="H540" s="3" t="s">
        <v>4751</v>
      </c>
      <c r="I540" s="3" t="s">
        <v>46</v>
      </c>
      <c r="J540" s="3" t="s">
        <v>47</v>
      </c>
      <c r="K540" s="3" t="s">
        <v>4752</v>
      </c>
      <c r="L540" s="3" t="s">
        <v>111</v>
      </c>
      <c r="M540" s="9" t="str">
        <f>HYPERLINK("http://www.marafiq.com.sa", "www.marafiq.com.sa")</f>
        <v>www.marafiq.com.sa</v>
      </c>
      <c r="N540" s="3" t="s">
        <v>4753</v>
      </c>
      <c r="O540" s="3" t="s">
        <v>42</v>
      </c>
      <c r="P540" s="3" t="s">
        <v>4754</v>
      </c>
      <c r="Q540" s="3" t="s">
        <v>4755</v>
      </c>
      <c r="R540" s="17" t="s">
        <v>42</v>
      </c>
      <c r="S540" s="17">
        <v>1</v>
      </c>
      <c r="T540" s="17">
        <v>1</v>
      </c>
      <c r="U540" s="17" t="s">
        <v>42</v>
      </c>
      <c r="V540" s="17" t="s">
        <v>42</v>
      </c>
      <c r="W540" s="5" t="s">
        <v>4756</v>
      </c>
      <c r="X540" s="3" t="s">
        <v>42</v>
      </c>
      <c r="Y540" s="9" t="str">
        <f>HYPERLINK("http://linkedin.com/in/mohammed-al-zuabi-852a5091", "http://linkedin.com/in/mohammed-al-zuabi-852a5091")</f>
        <v>http://linkedin.com/in/mohammed-al-zuabi-852a5091</v>
      </c>
      <c r="Z540" s="3" t="s">
        <v>396</v>
      </c>
      <c r="AA540" s="3" t="s">
        <v>4757</v>
      </c>
      <c r="AB540" s="3" t="s">
        <v>2305</v>
      </c>
      <c r="AC540" s="3" t="s">
        <v>398</v>
      </c>
      <c r="AD540" s="3" t="s">
        <v>42</v>
      </c>
      <c r="AE540" s="5" t="s">
        <v>399</v>
      </c>
      <c r="AF540" s="3" t="s">
        <v>60</v>
      </c>
      <c r="AG540" s="5" t="s">
        <v>4758</v>
      </c>
      <c r="AH540" s="3" t="s">
        <v>61</v>
      </c>
      <c r="AI540" s="3" t="s">
        <v>61</v>
      </c>
      <c r="AJ540" s="3" t="s">
        <v>42</v>
      </c>
      <c r="AK540" s="3" t="s">
        <v>42</v>
      </c>
      <c r="AL540" s="29">
        <v>45908</v>
      </c>
      <c r="AM540" s="5" t="s">
        <v>42</v>
      </c>
      <c r="AN540" s="9" t="str">
        <f>HYPERLINK("https://my.pitchbook.com?p=307619-11P", "View People Online")</f>
        <v>View People Online</v>
      </c>
    </row>
    <row r="541" spans="1:40" x14ac:dyDescent="0.2">
      <c r="A541" s="2" t="s">
        <v>4759</v>
      </c>
      <c r="B541" s="2" t="s">
        <v>4760</v>
      </c>
      <c r="C541" s="2" t="s">
        <v>42</v>
      </c>
      <c r="D541" s="2" t="s">
        <v>42</v>
      </c>
      <c r="E541" s="2" t="s">
        <v>4759</v>
      </c>
      <c r="F541" s="2" t="s">
        <v>4761</v>
      </c>
      <c r="G541" s="2" t="s">
        <v>284</v>
      </c>
      <c r="H541" s="2" t="s">
        <v>4762</v>
      </c>
      <c r="I541" s="2" t="s">
        <v>46</v>
      </c>
      <c r="J541" s="2" t="s">
        <v>47</v>
      </c>
      <c r="K541" s="2" t="s">
        <v>224</v>
      </c>
      <c r="L541" s="2" t="s">
        <v>111</v>
      </c>
      <c r="M541" s="8" t="str">
        <f>HYPERLINK("http://www.stc.com.sa", "www.stc.com.sa")</f>
        <v>www.stc.com.sa</v>
      </c>
      <c r="N541" s="2" t="s">
        <v>1058</v>
      </c>
      <c r="O541" s="2" t="s">
        <v>42</v>
      </c>
      <c r="P541" s="2" t="s">
        <v>4763</v>
      </c>
      <c r="Q541" s="2" t="s">
        <v>42</v>
      </c>
      <c r="R541" s="16">
        <v>1</v>
      </c>
      <c r="S541" s="16">
        <v>1</v>
      </c>
      <c r="T541" s="16">
        <v>1</v>
      </c>
      <c r="U541" s="16" t="s">
        <v>42</v>
      </c>
      <c r="V541" s="16" t="s">
        <v>42</v>
      </c>
      <c r="W541" s="4" t="s">
        <v>227</v>
      </c>
      <c r="X541" s="2" t="s">
        <v>42</v>
      </c>
      <c r="Y541" s="2" t="s">
        <v>42</v>
      </c>
      <c r="Z541" s="2" t="s">
        <v>55</v>
      </c>
      <c r="AA541" s="2" t="s">
        <v>229</v>
      </c>
      <c r="AB541" s="2" t="s">
        <v>230</v>
      </c>
      <c r="AC541" s="2" t="s">
        <v>58</v>
      </c>
      <c r="AD541" s="2" t="s">
        <v>42</v>
      </c>
      <c r="AE541" s="4" t="s">
        <v>231</v>
      </c>
      <c r="AF541" s="2" t="s">
        <v>60</v>
      </c>
      <c r="AG541" s="4" t="s">
        <v>232</v>
      </c>
      <c r="AH541" s="2" t="s">
        <v>61</v>
      </c>
      <c r="AI541" s="2" t="s">
        <v>61</v>
      </c>
      <c r="AJ541" s="2" t="s">
        <v>42</v>
      </c>
      <c r="AK541" s="2" t="s">
        <v>42</v>
      </c>
      <c r="AL541" s="28">
        <v>45993</v>
      </c>
      <c r="AM541" s="4" t="s">
        <v>42</v>
      </c>
      <c r="AN541" s="8" t="str">
        <f>HYPERLINK("https://my.pitchbook.com?p=201828-07P", "View People Online")</f>
        <v>View People Online</v>
      </c>
    </row>
    <row r="542" spans="1:40" x14ac:dyDescent="0.2">
      <c r="A542" s="3" t="s">
        <v>4764</v>
      </c>
      <c r="B542" s="3" t="s">
        <v>4765</v>
      </c>
      <c r="C542" s="3" t="s">
        <v>42</v>
      </c>
      <c r="D542" s="3" t="s">
        <v>42</v>
      </c>
      <c r="E542" s="3" t="s">
        <v>4764</v>
      </c>
      <c r="F542" s="3" t="s">
        <v>356</v>
      </c>
      <c r="G542" s="3" t="s">
        <v>284</v>
      </c>
      <c r="H542" s="3" t="s">
        <v>811</v>
      </c>
      <c r="I542" s="3" t="s">
        <v>46</v>
      </c>
      <c r="J542" s="3" t="s">
        <v>47</v>
      </c>
      <c r="K542" s="3" t="s">
        <v>4766</v>
      </c>
      <c r="L542" s="3" t="s">
        <v>111</v>
      </c>
      <c r="M542" s="9" t="str">
        <f>HYPERLINK("http://www.aufgc.com", "www.aufgc.com")</f>
        <v>www.aufgc.com</v>
      </c>
      <c r="N542" s="3" t="s">
        <v>210</v>
      </c>
      <c r="O542" s="3" t="s">
        <v>42</v>
      </c>
      <c r="P542" s="3" t="s">
        <v>4767</v>
      </c>
      <c r="Q542" s="3" t="s">
        <v>42</v>
      </c>
      <c r="R542" s="17" t="s">
        <v>42</v>
      </c>
      <c r="S542" s="17">
        <v>1</v>
      </c>
      <c r="T542" s="17">
        <v>1</v>
      </c>
      <c r="U542" s="17" t="s">
        <v>42</v>
      </c>
      <c r="V542" s="17" t="s">
        <v>42</v>
      </c>
      <c r="W542" s="5" t="s">
        <v>42</v>
      </c>
      <c r="X542" s="3" t="s">
        <v>4768</v>
      </c>
      <c r="Y542" s="9" t="str">
        <f>HYPERLINK("http://sa.linkedin.com/in/mohammed-al-ali-6a8b3618?trk=org-employees", "http://sa.linkedin.com/in/mohammed-al-ali-6a8b3618?trk=org-employees")</f>
        <v>http://sa.linkedin.com/in/mohammed-al-ali-6a8b3618?trk=org-employees</v>
      </c>
      <c r="Z542" s="3" t="s">
        <v>55</v>
      </c>
      <c r="AA542" s="3" t="s">
        <v>4769</v>
      </c>
      <c r="AB542" s="3" t="s">
        <v>4770</v>
      </c>
      <c r="AC542" s="3" t="s">
        <v>58</v>
      </c>
      <c r="AD542" s="3" t="s">
        <v>42</v>
      </c>
      <c r="AE542" s="5" t="s">
        <v>42</v>
      </c>
      <c r="AF542" s="3" t="s">
        <v>60</v>
      </c>
      <c r="AG542" s="5" t="s">
        <v>42</v>
      </c>
      <c r="AH542" s="3" t="s">
        <v>61</v>
      </c>
      <c r="AI542" s="3" t="s">
        <v>61</v>
      </c>
      <c r="AJ542" s="3" t="s">
        <v>42</v>
      </c>
      <c r="AK542" s="3" t="s">
        <v>42</v>
      </c>
      <c r="AL542" s="29">
        <v>45838</v>
      </c>
      <c r="AM542" s="5">
        <v>1970</v>
      </c>
      <c r="AN542" s="9" t="str">
        <f>HYPERLINK("https://my.pitchbook.com?p=413771-77P", "View People Online")</f>
        <v>View People Online</v>
      </c>
    </row>
    <row r="543" spans="1:40" x14ac:dyDescent="0.2">
      <c r="A543" s="2" t="s">
        <v>4771</v>
      </c>
      <c r="B543" s="2" t="s">
        <v>4772</v>
      </c>
      <c r="C543" s="2" t="s">
        <v>42</v>
      </c>
      <c r="D543" s="2" t="s">
        <v>42</v>
      </c>
      <c r="E543" s="2" t="s">
        <v>4771</v>
      </c>
      <c r="F543" s="2" t="s">
        <v>4773</v>
      </c>
      <c r="G543" s="2" t="s">
        <v>284</v>
      </c>
      <c r="H543" s="2" t="s">
        <v>1352</v>
      </c>
      <c r="I543" s="2" t="s">
        <v>46</v>
      </c>
      <c r="J543" s="2" t="s">
        <v>47</v>
      </c>
      <c r="K543" s="2" t="s">
        <v>4728</v>
      </c>
      <c r="L543" s="2" t="s">
        <v>111</v>
      </c>
      <c r="M543" s="8" t="str">
        <f>HYPERLINK("http://www.eastpipes.com", "www.eastpipes.com")</f>
        <v>www.eastpipes.com</v>
      </c>
      <c r="N543" s="2" t="s">
        <v>534</v>
      </c>
      <c r="O543" s="2" t="s">
        <v>42</v>
      </c>
      <c r="P543" s="2" t="s">
        <v>4774</v>
      </c>
      <c r="Q543" s="2" t="s">
        <v>42</v>
      </c>
      <c r="R543" s="16" t="s">
        <v>42</v>
      </c>
      <c r="S543" s="16">
        <v>1</v>
      </c>
      <c r="T543" s="16">
        <v>1</v>
      </c>
      <c r="U543" s="16" t="s">
        <v>42</v>
      </c>
      <c r="V543" s="16" t="s">
        <v>42</v>
      </c>
      <c r="W543" s="4" t="s">
        <v>4775</v>
      </c>
      <c r="X543" s="2" t="s">
        <v>42</v>
      </c>
      <c r="Y543" s="8" t="str">
        <f>HYPERLINK("http://linkedin.com/in/dr-mohamed-saleh-darweesh-cpa-96703427/", "http://linkedin.com/in/dr-mohamed-saleh-darweesh-cpa-96703427/")</f>
        <v>http://linkedin.com/in/dr-mohamed-saleh-darweesh-cpa-96703427/</v>
      </c>
      <c r="Z543" s="2" t="s">
        <v>383</v>
      </c>
      <c r="AA543" s="2" t="s">
        <v>4732</v>
      </c>
      <c r="AB543" s="2" t="s">
        <v>4733</v>
      </c>
      <c r="AC543" s="2" t="s">
        <v>385</v>
      </c>
      <c r="AD543" s="2" t="s">
        <v>42</v>
      </c>
      <c r="AE543" s="4" t="s">
        <v>4734</v>
      </c>
      <c r="AF543" s="2" t="s">
        <v>60</v>
      </c>
      <c r="AG543" s="4" t="s">
        <v>4735</v>
      </c>
      <c r="AH543" s="2" t="s">
        <v>61</v>
      </c>
      <c r="AI543" s="2" t="s">
        <v>61</v>
      </c>
      <c r="AJ543" s="2" t="s">
        <v>42</v>
      </c>
      <c r="AK543" s="2" t="s">
        <v>42</v>
      </c>
      <c r="AL543" s="28">
        <v>45670</v>
      </c>
      <c r="AM543" s="4" t="s">
        <v>42</v>
      </c>
      <c r="AN543" s="8" t="str">
        <f>HYPERLINK("https://my.pitchbook.com?p=325987-93P", "View People Online")</f>
        <v>View People Online</v>
      </c>
    </row>
    <row r="544" spans="1:40" x14ac:dyDescent="0.2">
      <c r="A544" s="3" t="s">
        <v>4776</v>
      </c>
      <c r="B544" s="3" t="s">
        <v>4777</v>
      </c>
      <c r="C544" s="3" t="s">
        <v>42</v>
      </c>
      <c r="D544" s="3" t="s">
        <v>42</v>
      </c>
      <c r="E544" s="3" t="s">
        <v>4776</v>
      </c>
      <c r="F544" s="3" t="s">
        <v>4778</v>
      </c>
      <c r="G544" s="3" t="s">
        <v>284</v>
      </c>
      <c r="H544" s="3" t="s">
        <v>42</v>
      </c>
      <c r="I544" s="3" t="s">
        <v>46</v>
      </c>
      <c r="J544" s="3" t="s">
        <v>47</v>
      </c>
      <c r="K544" s="3" t="s">
        <v>4779</v>
      </c>
      <c r="L544" s="3" t="s">
        <v>111</v>
      </c>
      <c r="M544" s="9" t="str">
        <f>HYPERLINK("http://www.nahdi.sa", "www.nahdi.sa")</f>
        <v>www.nahdi.sa</v>
      </c>
      <c r="N544" s="3" t="s">
        <v>534</v>
      </c>
      <c r="O544" s="3" t="s">
        <v>42</v>
      </c>
      <c r="P544" s="3" t="s">
        <v>4780</v>
      </c>
      <c r="Q544" s="3" t="s">
        <v>42</v>
      </c>
      <c r="R544" s="17" t="s">
        <v>42</v>
      </c>
      <c r="S544" s="17">
        <v>1</v>
      </c>
      <c r="T544" s="17">
        <v>1</v>
      </c>
      <c r="U544" s="17" t="s">
        <v>42</v>
      </c>
      <c r="V544" s="17" t="s">
        <v>42</v>
      </c>
      <c r="W544" s="5" t="s">
        <v>42</v>
      </c>
      <c r="X544" s="3" t="s">
        <v>4781</v>
      </c>
      <c r="Y544" s="9" t="str">
        <f>HYPERLINK("http://linkedin.com/in/mohammed-alkhubani-cma-4687b62/?originalsubdomain=sa", "http://linkedin.com/in/mohammed-alkhubani-cma-4687b62/?originalsubdomain=sa")</f>
        <v>http://linkedin.com/in/mohammed-alkhubani-cma-4687b62/?originalsubdomain=sa</v>
      </c>
      <c r="Z544" s="3" t="s">
        <v>174</v>
      </c>
      <c r="AA544" s="3" t="s">
        <v>4782</v>
      </c>
      <c r="AB544" s="3" t="s">
        <v>4783</v>
      </c>
      <c r="AC544" s="3" t="s">
        <v>176</v>
      </c>
      <c r="AD544" s="3" t="s">
        <v>42</v>
      </c>
      <c r="AE544" s="5" t="s">
        <v>4784</v>
      </c>
      <c r="AF544" s="3" t="s">
        <v>60</v>
      </c>
      <c r="AG544" s="5" t="s">
        <v>42</v>
      </c>
      <c r="AH544" s="3" t="s">
        <v>61</v>
      </c>
      <c r="AI544" s="3" t="s">
        <v>61</v>
      </c>
      <c r="AJ544" s="3" t="s">
        <v>42</v>
      </c>
      <c r="AK544" s="3" t="s">
        <v>42</v>
      </c>
      <c r="AL544" s="29">
        <v>45838</v>
      </c>
      <c r="AM544" s="5">
        <v>1972</v>
      </c>
      <c r="AN544" s="9" t="str">
        <f>HYPERLINK("https://my.pitchbook.com?p=297570-52P", "View People Online")</f>
        <v>View People Online</v>
      </c>
    </row>
    <row r="545" spans="1:40" x14ac:dyDescent="0.2">
      <c r="A545" s="2" t="s">
        <v>4785</v>
      </c>
      <c r="B545" s="2" t="s">
        <v>4786</v>
      </c>
      <c r="C545" s="2" t="s">
        <v>42</v>
      </c>
      <c r="D545" s="2" t="s">
        <v>42</v>
      </c>
      <c r="E545" s="2" t="s">
        <v>4785</v>
      </c>
      <c r="F545" s="2" t="s">
        <v>4787</v>
      </c>
      <c r="G545" s="2" t="s">
        <v>284</v>
      </c>
      <c r="H545" s="2" t="s">
        <v>42</v>
      </c>
      <c r="I545" s="2" t="s">
        <v>46</v>
      </c>
      <c r="J545" s="2" t="s">
        <v>47</v>
      </c>
      <c r="K545" s="2" t="s">
        <v>3871</v>
      </c>
      <c r="L545" s="2" t="s">
        <v>111</v>
      </c>
      <c r="M545" s="8" t="str">
        <f>HYPERLINK("http://riyadh.dev", "riyadh.dev")</f>
        <v>riyadh.dev</v>
      </c>
      <c r="N545" s="2" t="s">
        <v>534</v>
      </c>
      <c r="O545" s="2" t="s">
        <v>42</v>
      </c>
      <c r="P545" s="2" t="s">
        <v>4788</v>
      </c>
      <c r="Q545" s="2" t="s">
        <v>4789</v>
      </c>
      <c r="R545" s="16" t="s">
        <v>42</v>
      </c>
      <c r="S545" s="16">
        <v>1</v>
      </c>
      <c r="T545" s="16">
        <v>1</v>
      </c>
      <c r="U545" s="16" t="s">
        <v>42</v>
      </c>
      <c r="V545" s="16" t="s">
        <v>42</v>
      </c>
      <c r="W545" s="4" t="s">
        <v>3874</v>
      </c>
      <c r="X545" s="2" t="s">
        <v>4790</v>
      </c>
      <c r="Y545" s="8" t="str">
        <f>HYPERLINK("http://sa.linkedin.com/in/mohammed-alkulaib-cma-mba-70a22a10a?original_referer=", "http://sa.linkedin.com/in/mohammed-alkulaib-cma-mba-70a22a10a?original_referer=")</f>
        <v>http://sa.linkedin.com/in/mohammed-alkulaib-cma-mba-70a22a10a?original_referer=</v>
      </c>
      <c r="Z545" s="2" t="s">
        <v>55</v>
      </c>
      <c r="AA545" s="2" t="s">
        <v>3876</v>
      </c>
      <c r="AB545" s="2" t="s">
        <v>3877</v>
      </c>
      <c r="AC545" s="2" t="s">
        <v>58</v>
      </c>
      <c r="AD545" s="2" t="s">
        <v>42</v>
      </c>
      <c r="AE545" s="4" t="s">
        <v>3878</v>
      </c>
      <c r="AF545" s="2" t="s">
        <v>60</v>
      </c>
      <c r="AG545" s="4" t="s">
        <v>3879</v>
      </c>
      <c r="AH545" s="2" t="s">
        <v>61</v>
      </c>
      <c r="AI545" s="2" t="s">
        <v>61</v>
      </c>
      <c r="AJ545" s="2" t="s">
        <v>42</v>
      </c>
      <c r="AK545" s="2" t="s">
        <v>42</v>
      </c>
      <c r="AL545" s="28">
        <v>45749</v>
      </c>
      <c r="AM545" s="4" t="s">
        <v>42</v>
      </c>
      <c r="AN545" s="8" t="str">
        <f>HYPERLINK("https://my.pitchbook.com?p=339734-98P", "View People Online")</f>
        <v>View People Online</v>
      </c>
    </row>
    <row r="546" spans="1:40" x14ac:dyDescent="0.2">
      <c r="A546" s="3" t="s">
        <v>4791</v>
      </c>
      <c r="B546" s="3" t="s">
        <v>4792</v>
      </c>
      <c r="C546" s="3" t="s">
        <v>42</v>
      </c>
      <c r="D546" s="3" t="s">
        <v>42</v>
      </c>
      <c r="E546" s="3" t="s">
        <v>4791</v>
      </c>
      <c r="F546" s="3" t="s">
        <v>4793</v>
      </c>
      <c r="G546" s="3" t="s">
        <v>284</v>
      </c>
      <c r="H546" s="3" t="s">
        <v>42</v>
      </c>
      <c r="I546" s="3" t="s">
        <v>46</v>
      </c>
      <c r="J546" s="3" t="s">
        <v>47</v>
      </c>
      <c r="K546" s="3" t="s">
        <v>2273</v>
      </c>
      <c r="L546" s="3" t="s">
        <v>111</v>
      </c>
      <c r="M546" s="9" t="str">
        <f>HYPERLINK("http://www.siec.com.sa", "www.siec.com.sa")</f>
        <v>www.siec.com.sa</v>
      </c>
      <c r="N546" s="3" t="s">
        <v>370</v>
      </c>
      <c r="O546" s="3" t="s">
        <v>42</v>
      </c>
      <c r="P546" s="3" t="s">
        <v>4794</v>
      </c>
      <c r="Q546" s="3" t="s">
        <v>42</v>
      </c>
      <c r="R546" s="17" t="s">
        <v>42</v>
      </c>
      <c r="S546" s="17">
        <v>1</v>
      </c>
      <c r="T546" s="17">
        <v>1</v>
      </c>
      <c r="U546" s="17" t="s">
        <v>42</v>
      </c>
      <c r="V546" s="17" t="s">
        <v>42</v>
      </c>
      <c r="W546" s="5" t="s">
        <v>2275</v>
      </c>
      <c r="X546" s="3" t="s">
        <v>4795</v>
      </c>
      <c r="Y546" s="3" t="s">
        <v>42</v>
      </c>
      <c r="Z546" s="3" t="s">
        <v>55</v>
      </c>
      <c r="AA546" s="3" t="s">
        <v>2277</v>
      </c>
      <c r="AB546" s="3" t="s">
        <v>42</v>
      </c>
      <c r="AC546" s="3" t="s">
        <v>58</v>
      </c>
      <c r="AD546" s="3" t="s">
        <v>42</v>
      </c>
      <c r="AE546" s="5" t="s">
        <v>2278</v>
      </c>
      <c r="AF546" s="3" t="s">
        <v>60</v>
      </c>
      <c r="AG546" s="5" t="s">
        <v>2279</v>
      </c>
      <c r="AH546" s="3" t="s">
        <v>61</v>
      </c>
      <c r="AI546" s="3" t="s">
        <v>61</v>
      </c>
      <c r="AJ546" s="3" t="s">
        <v>42</v>
      </c>
      <c r="AK546" s="3" t="s">
        <v>42</v>
      </c>
      <c r="AL546" s="29">
        <v>45945</v>
      </c>
      <c r="AM546" s="5" t="s">
        <v>42</v>
      </c>
      <c r="AN546" s="9" t="str">
        <f>HYPERLINK("https://my.pitchbook.com?p=382780-81P", "View People Online")</f>
        <v>View People Online</v>
      </c>
    </row>
    <row r="547" spans="1:40" x14ac:dyDescent="0.2">
      <c r="A547" s="2" t="s">
        <v>4796</v>
      </c>
      <c r="B547" s="2" t="s">
        <v>4797</v>
      </c>
      <c r="C547" s="2" t="s">
        <v>42</v>
      </c>
      <c r="D547" s="2" t="s">
        <v>42</v>
      </c>
      <c r="E547" s="2" t="s">
        <v>4796</v>
      </c>
      <c r="F547" s="2" t="s">
        <v>4798</v>
      </c>
      <c r="G547" s="2" t="s">
        <v>284</v>
      </c>
      <c r="H547" s="2" t="s">
        <v>42</v>
      </c>
      <c r="I547" s="2" t="s">
        <v>46</v>
      </c>
      <c r="J547" s="2" t="s">
        <v>47</v>
      </c>
      <c r="K547" s="2" t="s">
        <v>4209</v>
      </c>
      <c r="L547" s="2" t="s">
        <v>111</v>
      </c>
      <c r="M547" s="8" t="str">
        <f>HYPERLINK("http://www.catrion.com", "www.catrion.com")</f>
        <v>www.catrion.com</v>
      </c>
      <c r="N547" s="2" t="s">
        <v>210</v>
      </c>
      <c r="O547" s="2" t="s">
        <v>42</v>
      </c>
      <c r="P547" s="2" t="s">
        <v>4799</v>
      </c>
      <c r="Q547" s="2" t="s">
        <v>3344</v>
      </c>
      <c r="R547" s="16" t="s">
        <v>42</v>
      </c>
      <c r="S547" s="16">
        <v>1</v>
      </c>
      <c r="T547" s="16">
        <v>1</v>
      </c>
      <c r="U547" s="16" t="s">
        <v>42</v>
      </c>
      <c r="V547" s="16" t="s">
        <v>42</v>
      </c>
      <c r="W547" s="4" t="s">
        <v>4213</v>
      </c>
      <c r="X547" s="2" t="s">
        <v>4800</v>
      </c>
      <c r="Y547" s="8" t="str">
        <f>HYPERLINK("http://linkedin.com/in/mohammed-al-shuhail-485309b/", "http://linkedin.com/in/mohammed-al-shuhail-485309b/")</f>
        <v>http://linkedin.com/in/mohammed-al-shuhail-485309b/</v>
      </c>
      <c r="Z547" s="2" t="s">
        <v>174</v>
      </c>
      <c r="AA547" s="2" t="s">
        <v>4215</v>
      </c>
      <c r="AB547" s="2" t="s">
        <v>4216</v>
      </c>
      <c r="AC547" s="2" t="s">
        <v>176</v>
      </c>
      <c r="AD547" s="2" t="s">
        <v>42</v>
      </c>
      <c r="AE547" s="4" t="s">
        <v>4217</v>
      </c>
      <c r="AF547" s="2" t="s">
        <v>60</v>
      </c>
      <c r="AG547" s="4" t="s">
        <v>4218</v>
      </c>
      <c r="AH547" s="2" t="s">
        <v>61</v>
      </c>
      <c r="AI547" s="2" t="s">
        <v>61</v>
      </c>
      <c r="AJ547" s="2" t="s">
        <v>42</v>
      </c>
      <c r="AK547" s="2" t="s">
        <v>2073</v>
      </c>
      <c r="AL547" s="28">
        <v>46052</v>
      </c>
      <c r="AM547" s="4" t="s">
        <v>42</v>
      </c>
      <c r="AN547" s="8" t="str">
        <f>HYPERLINK("https://my.pitchbook.com?p=484423-12P", "View People Online")</f>
        <v>View People Online</v>
      </c>
    </row>
    <row r="548" spans="1:40" x14ac:dyDescent="0.2">
      <c r="A548" s="3" t="s">
        <v>4801</v>
      </c>
      <c r="B548" s="3" t="s">
        <v>4802</v>
      </c>
      <c r="C548" s="3" t="s">
        <v>42</v>
      </c>
      <c r="D548" s="3" t="s">
        <v>42</v>
      </c>
      <c r="E548" s="3" t="s">
        <v>4801</v>
      </c>
      <c r="F548" s="3" t="s">
        <v>4803</v>
      </c>
      <c r="G548" s="3" t="s">
        <v>284</v>
      </c>
      <c r="H548" s="3" t="s">
        <v>4804</v>
      </c>
      <c r="I548" s="3" t="s">
        <v>46</v>
      </c>
      <c r="J548" s="3" t="s">
        <v>47</v>
      </c>
      <c r="K548" s="3" t="s">
        <v>4805</v>
      </c>
      <c r="L548" s="3" t="s">
        <v>111</v>
      </c>
      <c r="M548" s="9" t="str">
        <f>HYPERLINK("http://www.keir.com.sa", "www.keir.com.sa")</f>
        <v>www.keir.com.sa</v>
      </c>
      <c r="N548" s="3" t="s">
        <v>2004</v>
      </c>
      <c r="O548" s="3" t="s">
        <v>42</v>
      </c>
      <c r="P548" s="3" t="s">
        <v>4806</v>
      </c>
      <c r="Q548" s="3" t="s">
        <v>42</v>
      </c>
      <c r="R548" s="17">
        <v>1</v>
      </c>
      <c r="S548" s="17">
        <v>1</v>
      </c>
      <c r="T548" s="17">
        <v>1</v>
      </c>
      <c r="U548" s="17" t="s">
        <v>42</v>
      </c>
      <c r="V548" s="17" t="s">
        <v>42</v>
      </c>
      <c r="W548" s="5" t="s">
        <v>4807</v>
      </c>
      <c r="X548" s="3" t="s">
        <v>4808</v>
      </c>
      <c r="Y548" s="9" t="str">
        <f>HYPERLINK("http://linkedin.com/in/mohammed-al-dhalaan-82365934/", "http://linkedin.com/in/mohammed-al-dhalaan-82365934/")</f>
        <v>http://linkedin.com/in/mohammed-al-dhalaan-82365934/</v>
      </c>
      <c r="Z548" s="3" t="s">
        <v>55</v>
      </c>
      <c r="AA548" s="3" t="s">
        <v>4809</v>
      </c>
      <c r="AB548" s="3" t="s">
        <v>4810</v>
      </c>
      <c r="AC548" s="3" t="s">
        <v>58</v>
      </c>
      <c r="AD548" s="3" t="s">
        <v>42</v>
      </c>
      <c r="AE548" s="5" t="s">
        <v>4811</v>
      </c>
      <c r="AF548" s="3" t="s">
        <v>60</v>
      </c>
      <c r="AG548" s="5" t="s">
        <v>42</v>
      </c>
      <c r="AH548" s="3" t="s">
        <v>61</v>
      </c>
      <c r="AI548" s="3" t="s">
        <v>61</v>
      </c>
      <c r="AJ548" s="3" t="s">
        <v>42</v>
      </c>
      <c r="AK548" s="3" t="s">
        <v>42</v>
      </c>
      <c r="AL548" s="29">
        <v>45804</v>
      </c>
      <c r="AM548" s="5" t="s">
        <v>42</v>
      </c>
      <c r="AN548" s="9" t="str">
        <f>HYPERLINK("https://my.pitchbook.com?p=340453-72P", "View People Online")</f>
        <v>View People Online</v>
      </c>
    </row>
    <row r="549" spans="1:40" x14ac:dyDescent="0.2">
      <c r="A549" s="2" t="s">
        <v>4812</v>
      </c>
      <c r="B549" s="2" t="s">
        <v>4813</v>
      </c>
      <c r="C549" s="2" t="s">
        <v>42</v>
      </c>
      <c r="D549" s="2" t="s">
        <v>42</v>
      </c>
      <c r="E549" s="2" t="s">
        <v>4812</v>
      </c>
      <c r="F549" s="2" t="s">
        <v>4814</v>
      </c>
      <c r="G549" s="2" t="s">
        <v>284</v>
      </c>
      <c r="H549" s="2" t="s">
        <v>4815</v>
      </c>
      <c r="I549" s="2" t="s">
        <v>46</v>
      </c>
      <c r="J549" s="2" t="s">
        <v>47</v>
      </c>
      <c r="K549" s="2" t="s">
        <v>3045</v>
      </c>
      <c r="L549" s="2" t="s">
        <v>111</v>
      </c>
      <c r="M549" s="8" t="str">
        <f>HYPERLINK("http://www.mesccables.com", "www.mesccables.com")</f>
        <v>www.mesccables.com</v>
      </c>
      <c r="N549" s="2" t="s">
        <v>4816</v>
      </c>
      <c r="O549" s="2" t="s">
        <v>42</v>
      </c>
      <c r="P549" s="2" t="s">
        <v>4817</v>
      </c>
      <c r="Q549" s="2" t="s">
        <v>42</v>
      </c>
      <c r="R549" s="16" t="s">
        <v>42</v>
      </c>
      <c r="S549" s="16">
        <v>1</v>
      </c>
      <c r="T549" s="16">
        <v>1</v>
      </c>
      <c r="U549" s="16" t="s">
        <v>42</v>
      </c>
      <c r="V549" s="16" t="s">
        <v>42</v>
      </c>
      <c r="W549" s="4" t="s">
        <v>3047</v>
      </c>
      <c r="X549" s="2" t="s">
        <v>42</v>
      </c>
      <c r="Y549" s="8" t="str">
        <f>HYPERLINK("http://linkedin.com/in/mohammed-en-nunu-433726103/", "http://linkedin.com/in/mohammed-en-nunu-433726103/")</f>
        <v>http://linkedin.com/in/mohammed-en-nunu-433726103/</v>
      </c>
      <c r="Z549" s="2" t="s">
        <v>55</v>
      </c>
      <c r="AA549" s="2" t="s">
        <v>3048</v>
      </c>
      <c r="AB549" s="2" t="s">
        <v>3049</v>
      </c>
      <c r="AC549" s="2" t="s">
        <v>58</v>
      </c>
      <c r="AD549" s="2" t="s">
        <v>42</v>
      </c>
      <c r="AE549" s="4" t="s">
        <v>89</v>
      </c>
      <c r="AF549" s="2" t="s">
        <v>60</v>
      </c>
      <c r="AG549" s="4" t="s">
        <v>3050</v>
      </c>
      <c r="AH549" s="2" t="s">
        <v>61</v>
      </c>
      <c r="AI549" s="2" t="s">
        <v>61</v>
      </c>
      <c r="AJ549" s="2" t="s">
        <v>42</v>
      </c>
      <c r="AK549" s="2" t="s">
        <v>42</v>
      </c>
      <c r="AL549" s="28">
        <v>45820</v>
      </c>
      <c r="AM549" s="4" t="s">
        <v>42</v>
      </c>
      <c r="AN549" s="8" t="str">
        <f>HYPERLINK("https://my.pitchbook.com?p=385550-56P", "View People Online")</f>
        <v>View People Online</v>
      </c>
    </row>
    <row r="550" spans="1:40" x14ac:dyDescent="0.2">
      <c r="A550" s="3" t="s">
        <v>4818</v>
      </c>
      <c r="B550" s="3" t="s">
        <v>4819</v>
      </c>
      <c r="C550" s="3" t="s">
        <v>42</v>
      </c>
      <c r="D550" s="3" t="s">
        <v>42</v>
      </c>
      <c r="E550" s="3" t="s">
        <v>4818</v>
      </c>
      <c r="F550" s="3" t="s">
        <v>4820</v>
      </c>
      <c r="G550" s="3" t="s">
        <v>284</v>
      </c>
      <c r="H550" s="3" t="s">
        <v>42</v>
      </c>
      <c r="I550" s="3" t="s">
        <v>46</v>
      </c>
      <c r="J550" s="3" t="s">
        <v>47</v>
      </c>
      <c r="K550" s="3" t="s">
        <v>4821</v>
      </c>
      <c r="L550" s="3" t="s">
        <v>111</v>
      </c>
      <c r="M550" s="9" t="str">
        <f>HYPERLINK("http://www.alshehili.com", "www.alshehili.com")</f>
        <v>www.alshehili.com</v>
      </c>
      <c r="N550" s="3" t="s">
        <v>4822</v>
      </c>
      <c r="O550" s="3" t="s">
        <v>42</v>
      </c>
      <c r="P550" s="3" t="s">
        <v>4823</v>
      </c>
      <c r="Q550" s="3" t="s">
        <v>42</v>
      </c>
      <c r="R550" s="17">
        <v>1</v>
      </c>
      <c r="S550" s="17">
        <v>1</v>
      </c>
      <c r="T550" s="17">
        <v>1</v>
      </c>
      <c r="U550" s="17" t="s">
        <v>42</v>
      </c>
      <c r="V550" s="17" t="s">
        <v>42</v>
      </c>
      <c r="W550" s="5" t="s">
        <v>4824</v>
      </c>
      <c r="X550" s="3" t="s">
        <v>42</v>
      </c>
      <c r="Y550" s="9" t="str">
        <f>HYPERLINK("http://linkedin.com/in/mohammed-alshahili-5648bb14b", "http://linkedin.com/in/mohammed-alshahili-5648bb14b")</f>
        <v>http://linkedin.com/in/mohammed-alshahili-5648bb14b</v>
      </c>
      <c r="Z550" s="3" t="s">
        <v>55</v>
      </c>
      <c r="AA550" s="3" t="s">
        <v>4825</v>
      </c>
      <c r="AB550" s="3" t="s">
        <v>4826</v>
      </c>
      <c r="AC550" s="3" t="s">
        <v>58</v>
      </c>
      <c r="AD550" s="3" t="s">
        <v>42</v>
      </c>
      <c r="AE550" s="5" t="s">
        <v>4827</v>
      </c>
      <c r="AF550" s="3" t="s">
        <v>60</v>
      </c>
      <c r="AG550" s="5" t="s">
        <v>42</v>
      </c>
      <c r="AH550" s="3" t="s">
        <v>61</v>
      </c>
      <c r="AI550" s="3" t="s">
        <v>61</v>
      </c>
      <c r="AJ550" s="3" t="s">
        <v>42</v>
      </c>
      <c r="AK550" s="3" t="s">
        <v>42</v>
      </c>
      <c r="AL550" s="29">
        <v>45637</v>
      </c>
      <c r="AM550" s="5" t="s">
        <v>42</v>
      </c>
      <c r="AN550" s="9" t="str">
        <f>HYPERLINK("https://my.pitchbook.com?p=424442-98P", "View People Online")</f>
        <v>View People Online</v>
      </c>
    </row>
    <row r="551" spans="1:40" x14ac:dyDescent="0.2">
      <c r="A551" s="2" t="s">
        <v>4828</v>
      </c>
      <c r="B551" s="2" t="s">
        <v>4829</v>
      </c>
      <c r="C551" s="2" t="s">
        <v>42</v>
      </c>
      <c r="D551" s="2" t="s">
        <v>42</v>
      </c>
      <c r="E551" s="2" t="s">
        <v>4828</v>
      </c>
      <c r="F551" s="2" t="s">
        <v>4830</v>
      </c>
      <c r="G551" s="2" t="s">
        <v>284</v>
      </c>
      <c r="H551" s="2" t="s">
        <v>3608</v>
      </c>
      <c r="I551" s="2" t="s">
        <v>46</v>
      </c>
      <c r="J551" s="2" t="s">
        <v>47</v>
      </c>
      <c r="K551" s="2" t="s">
        <v>1315</v>
      </c>
      <c r="L551" s="2" t="s">
        <v>1316</v>
      </c>
      <c r="M551" s="8" t="str">
        <f>HYPERLINK("http://www.acig.com.sa", "www.acig.com.sa")</f>
        <v>www.acig.com.sa</v>
      </c>
      <c r="N551" s="2" t="s">
        <v>4533</v>
      </c>
      <c r="O551" s="2" t="s">
        <v>42</v>
      </c>
      <c r="P551" s="2" t="s">
        <v>4831</v>
      </c>
      <c r="Q551" s="2" t="s">
        <v>42</v>
      </c>
      <c r="R551" s="16" t="s">
        <v>42</v>
      </c>
      <c r="S551" s="16">
        <v>1</v>
      </c>
      <c r="T551" s="16">
        <v>1</v>
      </c>
      <c r="U551" s="16" t="s">
        <v>42</v>
      </c>
      <c r="V551" s="16" t="s">
        <v>42</v>
      </c>
      <c r="W551" s="4" t="s">
        <v>1318</v>
      </c>
      <c r="X551" s="2" t="s">
        <v>42</v>
      </c>
      <c r="Y551" s="8" t="str">
        <f>HYPERLINK("http://linkedin.com/in/mohammed-gadhi-9a941375/", "http://linkedin.com/in/mohammed-gadhi-9a941375/")</f>
        <v>http://linkedin.com/in/mohammed-gadhi-9a941375/</v>
      </c>
      <c r="Z551" s="2" t="s">
        <v>55</v>
      </c>
      <c r="AA551" s="2" t="s">
        <v>1319</v>
      </c>
      <c r="AB551" s="2" t="s">
        <v>42</v>
      </c>
      <c r="AC551" s="2" t="s">
        <v>58</v>
      </c>
      <c r="AD551" s="2" t="s">
        <v>42</v>
      </c>
      <c r="AE551" s="4" t="s">
        <v>1206</v>
      </c>
      <c r="AF551" s="2" t="s">
        <v>60</v>
      </c>
      <c r="AG551" s="4" t="s">
        <v>1320</v>
      </c>
      <c r="AH551" s="2" t="s">
        <v>61</v>
      </c>
      <c r="AI551" s="2" t="s">
        <v>61</v>
      </c>
      <c r="AJ551" s="2" t="s">
        <v>42</v>
      </c>
      <c r="AK551" s="2" t="s">
        <v>42</v>
      </c>
      <c r="AL551" s="28">
        <v>45978</v>
      </c>
      <c r="AM551" s="4" t="s">
        <v>42</v>
      </c>
      <c r="AN551" s="8" t="str">
        <f>HYPERLINK("https://my.pitchbook.com?p=273670-66P", "View People Online")</f>
        <v>View People Online</v>
      </c>
    </row>
    <row r="552" spans="1:40" x14ac:dyDescent="0.2">
      <c r="A552" s="3" t="s">
        <v>4832</v>
      </c>
      <c r="B552" s="3" t="s">
        <v>4833</v>
      </c>
      <c r="C552" s="3" t="s">
        <v>42</v>
      </c>
      <c r="D552" s="3" t="s">
        <v>42</v>
      </c>
      <c r="E552" s="3" t="s">
        <v>4832</v>
      </c>
      <c r="F552" s="3" t="s">
        <v>4834</v>
      </c>
      <c r="G552" s="3" t="s">
        <v>284</v>
      </c>
      <c r="H552" s="3" t="s">
        <v>42</v>
      </c>
      <c r="I552" s="3" t="s">
        <v>46</v>
      </c>
      <c r="J552" s="3" t="s">
        <v>47</v>
      </c>
      <c r="K552" s="3" t="s">
        <v>4835</v>
      </c>
      <c r="L552" s="3" t="s">
        <v>111</v>
      </c>
      <c r="M552" s="9" t="str">
        <f>HYPERLINK("http://www.arabicastar.com", "www.arabicastar.com")</f>
        <v>www.arabicastar.com</v>
      </c>
      <c r="N552" s="3" t="s">
        <v>447</v>
      </c>
      <c r="O552" s="3" t="s">
        <v>42</v>
      </c>
      <c r="P552" s="3" t="s">
        <v>4836</v>
      </c>
      <c r="Q552" s="3" t="s">
        <v>42</v>
      </c>
      <c r="R552" s="17" t="s">
        <v>42</v>
      </c>
      <c r="S552" s="17">
        <v>1</v>
      </c>
      <c r="T552" s="17">
        <v>1</v>
      </c>
      <c r="U552" s="17" t="s">
        <v>42</v>
      </c>
      <c r="V552" s="17" t="s">
        <v>42</v>
      </c>
      <c r="W552" s="5" t="s">
        <v>42</v>
      </c>
      <c r="X552" s="3" t="s">
        <v>4837</v>
      </c>
      <c r="Y552" s="3" t="s">
        <v>42</v>
      </c>
      <c r="Z552" s="3" t="s">
        <v>1181</v>
      </c>
      <c r="AA552" s="3" t="s">
        <v>4838</v>
      </c>
      <c r="AB552" s="3" t="s">
        <v>42</v>
      </c>
      <c r="AC552" s="3" t="s">
        <v>1184</v>
      </c>
      <c r="AD552" s="3" t="s">
        <v>42</v>
      </c>
      <c r="AE552" s="5" t="s">
        <v>42</v>
      </c>
      <c r="AF552" s="3" t="s">
        <v>60</v>
      </c>
      <c r="AG552" s="5" t="s">
        <v>42</v>
      </c>
      <c r="AH552" s="3" t="s">
        <v>61</v>
      </c>
      <c r="AI552" s="3" t="s">
        <v>61</v>
      </c>
      <c r="AJ552" s="3" t="s">
        <v>42</v>
      </c>
      <c r="AK552" s="3" t="s">
        <v>42</v>
      </c>
      <c r="AL552" s="29">
        <v>45635</v>
      </c>
      <c r="AM552" s="5" t="s">
        <v>42</v>
      </c>
      <c r="AN552" s="9" t="str">
        <f>HYPERLINK("https://my.pitchbook.com?p=424103-41P", "View People Online")</f>
        <v>View People Online</v>
      </c>
    </row>
    <row r="553" spans="1:40" x14ac:dyDescent="0.2">
      <c r="A553" s="2" t="s">
        <v>4839</v>
      </c>
      <c r="B553" s="2" t="s">
        <v>4840</v>
      </c>
      <c r="C553" s="2" t="s">
        <v>42</v>
      </c>
      <c r="D553" s="2" t="s">
        <v>42</v>
      </c>
      <c r="E553" s="2" t="s">
        <v>4839</v>
      </c>
      <c r="F553" s="2" t="s">
        <v>4841</v>
      </c>
      <c r="G553" s="2" t="s">
        <v>284</v>
      </c>
      <c r="H553" s="2" t="s">
        <v>4842</v>
      </c>
      <c r="I553" s="2" t="s">
        <v>46</v>
      </c>
      <c r="J553" s="2" t="s">
        <v>47</v>
      </c>
      <c r="K553" s="2" t="s">
        <v>844</v>
      </c>
      <c r="L553" s="2" t="s">
        <v>111</v>
      </c>
      <c r="M553" s="8" t="str">
        <f>HYPERLINK("http://www.bananrealestate.com", "www.bananrealestate.com")</f>
        <v>www.bananrealestate.com</v>
      </c>
      <c r="N553" s="2" t="s">
        <v>534</v>
      </c>
      <c r="O553" s="2" t="s">
        <v>42</v>
      </c>
      <c r="P553" s="2" t="s">
        <v>4843</v>
      </c>
      <c r="Q553" s="2" t="s">
        <v>42</v>
      </c>
      <c r="R553" s="16" t="s">
        <v>42</v>
      </c>
      <c r="S553" s="16">
        <v>1</v>
      </c>
      <c r="T553" s="16">
        <v>1</v>
      </c>
      <c r="U553" s="16" t="s">
        <v>42</v>
      </c>
      <c r="V553" s="16" t="s">
        <v>42</v>
      </c>
      <c r="W553" s="4" t="s">
        <v>846</v>
      </c>
      <c r="X553" s="2" t="s">
        <v>42</v>
      </c>
      <c r="Y553" s="8" t="str">
        <f>HYPERLINK("http://linkedin.com/in/mohamed-aboukhashaba-a74481ba/?trk=public_profile_browsemap_profile-result-card_result-card_full-click&amp;original_referer=www.google.com/&amp;originalsubdomain=sa", "http://linkedin.com/in/mohamed-aboukhashaba-a74481ba/?trk=public_profile_browsemap_profile-result-card_result-card_full-click&amp;original_referer=www.google.com/&amp;originalsubdomain=sa")</f>
        <v>http://linkedin.com/in/mohamed-aboukhashaba-a74481ba/?trk=public_profile_browsemap_profile-result-card_result-card_full-click&amp;original_referer=www.google.com/&amp;originalsubdomain=sa</v>
      </c>
      <c r="Z553" s="2" t="s">
        <v>55</v>
      </c>
      <c r="AA553" s="2" t="s">
        <v>848</v>
      </c>
      <c r="AB553" s="2" t="s">
        <v>849</v>
      </c>
      <c r="AC553" s="2" t="s">
        <v>58</v>
      </c>
      <c r="AD553" s="2" t="s">
        <v>42</v>
      </c>
      <c r="AE553" s="4" t="s">
        <v>42</v>
      </c>
      <c r="AF553" s="2" t="s">
        <v>60</v>
      </c>
      <c r="AG553" s="4" t="s">
        <v>850</v>
      </c>
      <c r="AH553" s="2" t="s">
        <v>61</v>
      </c>
      <c r="AI553" s="2" t="s">
        <v>61</v>
      </c>
      <c r="AJ553" s="2" t="s">
        <v>42</v>
      </c>
      <c r="AK553" s="2" t="s">
        <v>42</v>
      </c>
      <c r="AL553" s="28">
        <v>45670</v>
      </c>
      <c r="AM553" s="4" t="s">
        <v>42</v>
      </c>
      <c r="AN553" s="8" t="str">
        <f>HYPERLINK("https://my.pitchbook.com?p=326158-03P", "View People Online")</f>
        <v>View People Online</v>
      </c>
    </row>
    <row r="554" spans="1:40" x14ac:dyDescent="0.2">
      <c r="A554" s="3" t="s">
        <v>4844</v>
      </c>
      <c r="B554" s="3" t="s">
        <v>4845</v>
      </c>
      <c r="C554" s="3" t="s">
        <v>42</v>
      </c>
      <c r="D554" s="3" t="s">
        <v>42</v>
      </c>
      <c r="E554" s="3" t="s">
        <v>4844</v>
      </c>
      <c r="F554" s="3" t="s">
        <v>4846</v>
      </c>
      <c r="G554" s="3" t="s">
        <v>284</v>
      </c>
      <c r="H554" s="3" t="s">
        <v>4847</v>
      </c>
      <c r="I554" s="3" t="s">
        <v>46</v>
      </c>
      <c r="J554" s="3" t="s">
        <v>47</v>
      </c>
      <c r="K554" s="3" t="s">
        <v>3934</v>
      </c>
      <c r="L554" s="3" t="s">
        <v>111</v>
      </c>
      <c r="M554" s="9" t="str">
        <f>HYPERLINK("http://abomoati.com", "abomoati.com")</f>
        <v>abomoati.com</v>
      </c>
      <c r="N554" s="3" t="s">
        <v>3594</v>
      </c>
      <c r="O554" s="3" t="s">
        <v>42</v>
      </c>
      <c r="P554" s="3" t="s">
        <v>4848</v>
      </c>
      <c r="Q554" s="3" t="s">
        <v>42</v>
      </c>
      <c r="R554" s="17" t="s">
        <v>42</v>
      </c>
      <c r="S554" s="17">
        <v>1</v>
      </c>
      <c r="T554" s="17">
        <v>1</v>
      </c>
      <c r="U554" s="17" t="s">
        <v>42</v>
      </c>
      <c r="V554" s="17" t="s">
        <v>42</v>
      </c>
      <c r="W554" s="5" t="s">
        <v>3936</v>
      </c>
      <c r="X554" s="3" t="s">
        <v>42</v>
      </c>
      <c r="Y554" s="3" t="s">
        <v>42</v>
      </c>
      <c r="Z554" s="3" t="s">
        <v>55</v>
      </c>
      <c r="AA554" s="3" t="s">
        <v>3937</v>
      </c>
      <c r="AB554" s="3" t="s">
        <v>42</v>
      </c>
      <c r="AC554" s="3" t="s">
        <v>58</v>
      </c>
      <c r="AD554" s="3" t="s">
        <v>42</v>
      </c>
      <c r="AE554" s="5" t="s">
        <v>3854</v>
      </c>
      <c r="AF554" s="3" t="s">
        <v>60</v>
      </c>
      <c r="AG554" s="5" t="s">
        <v>3938</v>
      </c>
      <c r="AH554" s="3" t="s">
        <v>61</v>
      </c>
      <c r="AI554" s="3" t="s">
        <v>61</v>
      </c>
      <c r="AJ554" s="3" t="s">
        <v>42</v>
      </c>
      <c r="AK554" s="3" t="s">
        <v>42</v>
      </c>
      <c r="AL554" s="29">
        <v>45677</v>
      </c>
      <c r="AM554" s="5" t="s">
        <v>42</v>
      </c>
      <c r="AN554" s="9" t="str">
        <f>HYPERLINK("https://my.pitchbook.com?p=328182-94P", "View People Online")</f>
        <v>View People Online</v>
      </c>
    </row>
    <row r="555" spans="1:40" x14ac:dyDescent="0.2">
      <c r="A555" s="2" t="s">
        <v>4849</v>
      </c>
      <c r="B555" s="2" t="s">
        <v>4850</v>
      </c>
      <c r="C555" s="2" t="s">
        <v>42</v>
      </c>
      <c r="D555" s="2" t="s">
        <v>42</v>
      </c>
      <c r="E555" s="2" t="s">
        <v>4849</v>
      </c>
      <c r="F555" s="2" t="s">
        <v>4851</v>
      </c>
      <c r="G555" s="2" t="s">
        <v>284</v>
      </c>
      <c r="H555" s="2" t="s">
        <v>4852</v>
      </c>
      <c r="I555" s="2" t="s">
        <v>46</v>
      </c>
      <c r="J555" s="2" t="s">
        <v>47</v>
      </c>
      <c r="K555" s="2" t="s">
        <v>2284</v>
      </c>
      <c r="L555" s="2" t="s">
        <v>111</v>
      </c>
      <c r="M555" s="8" t="str">
        <f>HYPERLINK("http://axs.sa", "axs.sa")</f>
        <v>axs.sa</v>
      </c>
      <c r="N555" s="2" t="s">
        <v>534</v>
      </c>
      <c r="O555" s="2" t="s">
        <v>42</v>
      </c>
      <c r="P555" s="2" t="s">
        <v>4853</v>
      </c>
      <c r="Q555" s="2" t="s">
        <v>42</v>
      </c>
      <c r="R555" s="16" t="s">
        <v>42</v>
      </c>
      <c r="S555" s="16">
        <v>1</v>
      </c>
      <c r="T555" s="16">
        <v>1</v>
      </c>
      <c r="U555" s="16" t="s">
        <v>42</v>
      </c>
      <c r="V555" s="16" t="s">
        <v>42</v>
      </c>
      <c r="W555" s="4" t="s">
        <v>42</v>
      </c>
      <c r="X555" s="2" t="s">
        <v>42</v>
      </c>
      <c r="Y555" s="2" t="s">
        <v>42</v>
      </c>
      <c r="Z555" s="2" t="s">
        <v>55</v>
      </c>
      <c r="AA555" s="2" t="s">
        <v>2287</v>
      </c>
      <c r="AB555" s="2" t="s">
        <v>1238</v>
      </c>
      <c r="AC555" s="2" t="s">
        <v>58</v>
      </c>
      <c r="AD555" s="2" t="s">
        <v>2288</v>
      </c>
      <c r="AE555" s="4" t="s">
        <v>42</v>
      </c>
      <c r="AF555" s="2" t="s">
        <v>60</v>
      </c>
      <c r="AG555" s="4" t="s">
        <v>42</v>
      </c>
      <c r="AH555" s="2" t="s">
        <v>61</v>
      </c>
      <c r="AI555" s="2" t="s">
        <v>61</v>
      </c>
      <c r="AJ555" s="2" t="s">
        <v>42</v>
      </c>
      <c r="AK555" s="2" t="s">
        <v>42</v>
      </c>
      <c r="AL555" s="28">
        <v>45790</v>
      </c>
      <c r="AM555" s="4" t="s">
        <v>42</v>
      </c>
      <c r="AN555" s="8" t="str">
        <f>HYPERLINK("https://my.pitchbook.com?p=446258-35P", "View People Online")</f>
        <v>View People Online</v>
      </c>
    </row>
    <row r="556" spans="1:40" x14ac:dyDescent="0.2">
      <c r="A556" s="3" t="s">
        <v>4854</v>
      </c>
      <c r="B556" s="3" t="s">
        <v>4855</v>
      </c>
      <c r="C556" s="3" t="s">
        <v>42</v>
      </c>
      <c r="D556" s="3" t="s">
        <v>42</v>
      </c>
      <c r="E556" s="3" t="s">
        <v>4854</v>
      </c>
      <c r="F556" s="3" t="s">
        <v>4856</v>
      </c>
      <c r="G556" s="3" t="s">
        <v>284</v>
      </c>
      <c r="H556" s="3" t="s">
        <v>543</v>
      </c>
      <c r="I556" s="3" t="s">
        <v>46</v>
      </c>
      <c r="J556" s="3" t="s">
        <v>47</v>
      </c>
      <c r="K556" s="3" t="s">
        <v>4857</v>
      </c>
      <c r="L556" s="3" t="s">
        <v>111</v>
      </c>
      <c r="M556" s="9" t="str">
        <f>HYPERLINK("http://www.sspipe.com", "www.sspipe.com")</f>
        <v>www.sspipe.com</v>
      </c>
      <c r="N556" s="3" t="s">
        <v>4858</v>
      </c>
      <c r="O556" s="3" t="s">
        <v>42</v>
      </c>
      <c r="P556" s="3" t="s">
        <v>4859</v>
      </c>
      <c r="Q556" s="3" t="s">
        <v>42</v>
      </c>
      <c r="R556" s="17" t="s">
        <v>42</v>
      </c>
      <c r="S556" s="17">
        <v>1</v>
      </c>
      <c r="T556" s="17">
        <v>1</v>
      </c>
      <c r="U556" s="17" t="s">
        <v>42</v>
      </c>
      <c r="V556" s="17" t="s">
        <v>42</v>
      </c>
      <c r="W556" s="5" t="s">
        <v>4860</v>
      </c>
      <c r="X556" s="3" t="s">
        <v>4861</v>
      </c>
      <c r="Y556" s="9" t="str">
        <f>HYPERLINK("http://linkedin.com/in/mohammed-al-shakhouri-cpa-1579973b", "http://linkedin.com/in/mohammed-al-shakhouri-cpa-1579973b")</f>
        <v>http://linkedin.com/in/mohammed-al-shakhouri-cpa-1579973b</v>
      </c>
      <c r="Z556" s="3" t="s">
        <v>383</v>
      </c>
      <c r="AA556" s="3" t="s">
        <v>4862</v>
      </c>
      <c r="AB556" s="3" t="s">
        <v>4863</v>
      </c>
      <c r="AC556" s="3" t="s">
        <v>385</v>
      </c>
      <c r="AD556" s="3" t="s">
        <v>42</v>
      </c>
      <c r="AE556" s="5" t="s">
        <v>4864</v>
      </c>
      <c r="AF556" s="3" t="s">
        <v>60</v>
      </c>
      <c r="AG556" s="5" t="s">
        <v>4730</v>
      </c>
      <c r="AH556" s="3" t="s">
        <v>61</v>
      </c>
      <c r="AI556" s="3" t="s">
        <v>61</v>
      </c>
      <c r="AJ556" s="3" t="s">
        <v>42</v>
      </c>
      <c r="AK556" s="3" t="s">
        <v>42</v>
      </c>
      <c r="AL556" s="29">
        <v>45744</v>
      </c>
      <c r="AM556" s="5" t="s">
        <v>42</v>
      </c>
      <c r="AN556" s="9" t="str">
        <f>HYPERLINK("https://my.pitchbook.com?p=385711-66P", "View People Online")</f>
        <v>View People Online</v>
      </c>
    </row>
    <row r="557" spans="1:40" x14ac:dyDescent="0.2">
      <c r="A557" s="2" t="s">
        <v>4865</v>
      </c>
      <c r="B557" s="2" t="s">
        <v>4866</v>
      </c>
      <c r="C557" s="2" t="s">
        <v>42</v>
      </c>
      <c r="D557" s="2" t="s">
        <v>42</v>
      </c>
      <c r="E557" s="2" t="s">
        <v>4865</v>
      </c>
      <c r="F557" s="2" t="s">
        <v>4867</v>
      </c>
      <c r="G557" s="2" t="s">
        <v>4868</v>
      </c>
      <c r="H557" s="2" t="s">
        <v>42</v>
      </c>
      <c r="I557" s="2" t="s">
        <v>46</v>
      </c>
      <c r="J557" s="2" t="s">
        <v>47</v>
      </c>
      <c r="K557" s="2" t="s">
        <v>4869</v>
      </c>
      <c r="L557" s="2" t="s">
        <v>111</v>
      </c>
      <c r="M557" s="8" t="str">
        <f>HYPERLINK("http://www.mouwasat.com", "www.mouwasat.com")</f>
        <v>www.mouwasat.com</v>
      </c>
      <c r="N557" s="2" t="s">
        <v>69</v>
      </c>
      <c r="O557" s="2" t="s">
        <v>42</v>
      </c>
      <c r="P557" s="2" t="s">
        <v>4870</v>
      </c>
      <c r="Q557" s="2" t="s">
        <v>42</v>
      </c>
      <c r="R557" s="16">
        <v>1</v>
      </c>
      <c r="S557" s="16">
        <v>1</v>
      </c>
      <c r="T557" s="16" t="s">
        <v>42</v>
      </c>
      <c r="U557" s="16" t="s">
        <v>42</v>
      </c>
      <c r="V557" s="16" t="s">
        <v>42</v>
      </c>
      <c r="W557" s="4" t="s">
        <v>4871</v>
      </c>
      <c r="X557" s="2" t="s">
        <v>42</v>
      </c>
      <c r="Y557" s="2" t="s">
        <v>42</v>
      </c>
      <c r="Z557" s="2" t="s">
        <v>383</v>
      </c>
      <c r="AA557" s="2" t="s">
        <v>4872</v>
      </c>
      <c r="AB557" s="2" t="s">
        <v>4873</v>
      </c>
      <c r="AC557" s="2" t="s">
        <v>385</v>
      </c>
      <c r="AD557" s="2" t="s">
        <v>42</v>
      </c>
      <c r="AE557" s="4" t="s">
        <v>1691</v>
      </c>
      <c r="AF557" s="2" t="s">
        <v>60</v>
      </c>
      <c r="AG557" s="4" t="s">
        <v>4874</v>
      </c>
      <c r="AH557" s="2" t="s">
        <v>61</v>
      </c>
      <c r="AI557" s="2" t="s">
        <v>61</v>
      </c>
      <c r="AJ557" s="2" t="s">
        <v>42</v>
      </c>
      <c r="AK557" s="2" t="s">
        <v>42</v>
      </c>
      <c r="AL557" s="28">
        <v>45870</v>
      </c>
      <c r="AM557" s="4" t="s">
        <v>42</v>
      </c>
      <c r="AN557" s="8" t="str">
        <f>HYPERLINK("https://my.pitchbook.com?p=145289-80P", "View People Online")</f>
        <v>View People Online</v>
      </c>
    </row>
    <row r="558" spans="1:40" x14ac:dyDescent="0.2">
      <c r="A558" s="3" t="s">
        <v>4875</v>
      </c>
      <c r="B558" s="3" t="s">
        <v>4876</v>
      </c>
      <c r="C558" s="3" t="s">
        <v>42</v>
      </c>
      <c r="D558" s="3" t="s">
        <v>42</v>
      </c>
      <c r="E558" s="3" t="s">
        <v>4875</v>
      </c>
      <c r="F558" s="3" t="s">
        <v>4877</v>
      </c>
      <c r="G558" s="3" t="s">
        <v>284</v>
      </c>
      <c r="H558" s="3" t="s">
        <v>2077</v>
      </c>
      <c r="I558" s="3" t="s">
        <v>46</v>
      </c>
      <c r="J558" s="3" t="s">
        <v>47</v>
      </c>
      <c r="K558" s="3" t="s">
        <v>286</v>
      </c>
      <c r="L558" s="3" t="s">
        <v>111</v>
      </c>
      <c r="M558" s="9" t="str">
        <f>HYPERLINK("http://www.batic.sa", "www.batic.sa")</f>
        <v>www.batic.sa</v>
      </c>
      <c r="N558" s="3" t="s">
        <v>1281</v>
      </c>
      <c r="O558" s="3" t="s">
        <v>42</v>
      </c>
      <c r="P558" s="3" t="s">
        <v>4878</v>
      </c>
      <c r="Q558" s="3" t="s">
        <v>42</v>
      </c>
      <c r="R558" s="17" t="s">
        <v>42</v>
      </c>
      <c r="S558" s="17">
        <v>1</v>
      </c>
      <c r="T558" s="17">
        <v>1</v>
      </c>
      <c r="U558" s="17" t="s">
        <v>42</v>
      </c>
      <c r="V558" s="17" t="s">
        <v>42</v>
      </c>
      <c r="W558" s="5" t="s">
        <v>290</v>
      </c>
      <c r="X558" s="3" t="s">
        <v>42</v>
      </c>
      <c r="Y558" s="9" t="str">
        <f>HYPERLINK("http://linkedin.com/in/mohamed-m-tantawy/", "http://linkedin.com/in/mohamed-m-tantawy/")</f>
        <v>http://linkedin.com/in/mohamed-m-tantawy/</v>
      </c>
      <c r="Z558" s="3" t="s">
        <v>55</v>
      </c>
      <c r="AA558" s="3" t="s">
        <v>292</v>
      </c>
      <c r="AB558" s="3" t="s">
        <v>293</v>
      </c>
      <c r="AC558" s="3" t="s">
        <v>58</v>
      </c>
      <c r="AD558" s="3" t="s">
        <v>42</v>
      </c>
      <c r="AE558" s="5" t="s">
        <v>42</v>
      </c>
      <c r="AF558" s="3" t="s">
        <v>60</v>
      </c>
      <c r="AG558" s="5" t="s">
        <v>294</v>
      </c>
      <c r="AH558" s="3" t="s">
        <v>61</v>
      </c>
      <c r="AI558" s="3" t="s">
        <v>61</v>
      </c>
      <c r="AJ558" s="3" t="s">
        <v>42</v>
      </c>
      <c r="AK558" s="3" t="s">
        <v>42</v>
      </c>
      <c r="AL558" s="29">
        <v>45848</v>
      </c>
      <c r="AM558" s="5" t="s">
        <v>42</v>
      </c>
      <c r="AN558" s="9" t="str">
        <f>HYPERLINK("https://my.pitchbook.com?p=339957-64P", "View People Online")</f>
        <v>View People Online</v>
      </c>
    </row>
    <row r="559" spans="1:40" x14ac:dyDescent="0.2">
      <c r="A559" s="2" t="s">
        <v>4879</v>
      </c>
      <c r="B559" s="2" t="s">
        <v>4880</v>
      </c>
      <c r="C559" s="2" t="s">
        <v>42</v>
      </c>
      <c r="D559" s="2" t="s">
        <v>42</v>
      </c>
      <c r="E559" s="2" t="s">
        <v>4879</v>
      </c>
      <c r="F559" s="2" t="s">
        <v>4881</v>
      </c>
      <c r="G559" s="2" t="s">
        <v>284</v>
      </c>
      <c r="H559" s="2" t="s">
        <v>4882</v>
      </c>
      <c r="I559" s="2" t="s">
        <v>46</v>
      </c>
      <c r="J559" s="2" t="s">
        <v>47</v>
      </c>
      <c r="K559" s="2" t="s">
        <v>3859</v>
      </c>
      <c r="L559" s="2" t="s">
        <v>111</v>
      </c>
      <c r="M559" s="8" t="str">
        <f>HYPERLINK("http://www.al-babtain.com.sa", "www.al-babtain.com.sa")</f>
        <v>www.al-babtain.com.sa</v>
      </c>
      <c r="N559" s="2" t="s">
        <v>534</v>
      </c>
      <c r="O559" s="2" t="s">
        <v>42</v>
      </c>
      <c r="P559" s="2" t="s">
        <v>4883</v>
      </c>
      <c r="Q559" s="2" t="s">
        <v>42</v>
      </c>
      <c r="R559" s="16" t="s">
        <v>42</v>
      </c>
      <c r="S559" s="16">
        <v>1</v>
      </c>
      <c r="T559" s="16">
        <v>1</v>
      </c>
      <c r="U559" s="16" t="s">
        <v>42</v>
      </c>
      <c r="V559" s="16" t="s">
        <v>42</v>
      </c>
      <c r="W559" s="4" t="s">
        <v>3861</v>
      </c>
      <c r="X559" s="2" t="s">
        <v>4884</v>
      </c>
      <c r="Y559" s="2" t="s">
        <v>42</v>
      </c>
      <c r="Z559" s="2" t="s">
        <v>55</v>
      </c>
      <c r="AA559" s="2" t="s">
        <v>3863</v>
      </c>
      <c r="AB559" s="2" t="s">
        <v>42</v>
      </c>
      <c r="AC559" s="2" t="s">
        <v>58</v>
      </c>
      <c r="AD559" s="2" t="s">
        <v>42</v>
      </c>
      <c r="AE559" s="4" t="s">
        <v>3864</v>
      </c>
      <c r="AF559" s="2" t="s">
        <v>60</v>
      </c>
      <c r="AG559" s="4" t="s">
        <v>3865</v>
      </c>
      <c r="AH559" s="2" t="s">
        <v>61</v>
      </c>
      <c r="AI559" s="2" t="s">
        <v>61</v>
      </c>
      <c r="AJ559" s="2" t="s">
        <v>42</v>
      </c>
      <c r="AK559" s="2" t="s">
        <v>42</v>
      </c>
      <c r="AL559" s="28">
        <v>45727</v>
      </c>
      <c r="AM559" s="4" t="s">
        <v>42</v>
      </c>
      <c r="AN559" s="8" t="str">
        <f>HYPERLINK("https://my.pitchbook.com?p=339389-29P", "View People Online")</f>
        <v>View People Online</v>
      </c>
    </row>
    <row r="560" spans="1:40" x14ac:dyDescent="0.2">
      <c r="A560" s="3" t="s">
        <v>4885</v>
      </c>
      <c r="B560" s="3" t="s">
        <v>4886</v>
      </c>
      <c r="C560" s="3" t="s">
        <v>42</v>
      </c>
      <c r="D560" s="3" t="s">
        <v>42</v>
      </c>
      <c r="E560" s="3" t="s">
        <v>4885</v>
      </c>
      <c r="F560" s="3" t="s">
        <v>4887</v>
      </c>
      <c r="G560" s="3" t="s">
        <v>284</v>
      </c>
      <c r="H560" s="3" t="s">
        <v>42</v>
      </c>
      <c r="I560" s="3" t="s">
        <v>46</v>
      </c>
      <c r="J560" s="3" t="s">
        <v>47</v>
      </c>
      <c r="K560" s="3" t="s">
        <v>3523</v>
      </c>
      <c r="L560" s="3" t="s">
        <v>111</v>
      </c>
      <c r="M560" s="9" t="str">
        <f>HYPERLINK("http://www.canadian-mc.com", "www.canadian-mc.com")</f>
        <v>www.canadian-mc.com</v>
      </c>
      <c r="N560" s="3" t="s">
        <v>210</v>
      </c>
      <c r="O560" s="3" t="s">
        <v>42</v>
      </c>
      <c r="P560" s="3" t="s">
        <v>4888</v>
      </c>
      <c r="Q560" s="3" t="s">
        <v>42</v>
      </c>
      <c r="R560" s="17" t="s">
        <v>42</v>
      </c>
      <c r="S560" s="17">
        <v>1</v>
      </c>
      <c r="T560" s="17">
        <v>1</v>
      </c>
      <c r="U560" s="17" t="s">
        <v>42</v>
      </c>
      <c r="V560" s="17" t="s">
        <v>42</v>
      </c>
      <c r="W560" s="5" t="s">
        <v>3525</v>
      </c>
      <c r="X560" s="3" t="s">
        <v>4889</v>
      </c>
      <c r="Y560" s="3" t="s">
        <v>42</v>
      </c>
      <c r="Z560" s="3" t="s">
        <v>383</v>
      </c>
      <c r="AA560" s="3" t="s">
        <v>3527</v>
      </c>
      <c r="AB560" s="3" t="s">
        <v>3528</v>
      </c>
      <c r="AC560" s="3" t="s">
        <v>385</v>
      </c>
      <c r="AD560" s="3" t="s">
        <v>42</v>
      </c>
      <c r="AE560" s="5" t="s">
        <v>42</v>
      </c>
      <c r="AF560" s="3" t="s">
        <v>60</v>
      </c>
      <c r="AG560" s="5" t="s">
        <v>42</v>
      </c>
      <c r="AH560" s="3" t="s">
        <v>61</v>
      </c>
      <c r="AI560" s="3" t="s">
        <v>61</v>
      </c>
      <c r="AJ560" s="3" t="s">
        <v>42</v>
      </c>
      <c r="AK560" s="3" t="s">
        <v>42</v>
      </c>
      <c r="AL560" s="29">
        <v>45950</v>
      </c>
      <c r="AM560" s="5" t="s">
        <v>42</v>
      </c>
      <c r="AN560" s="9" t="str">
        <f>HYPERLINK("https://my.pitchbook.com?p=382769-83P", "View People Online")</f>
        <v>View People Online</v>
      </c>
    </row>
    <row r="561" spans="1:40" x14ac:dyDescent="0.2">
      <c r="A561" s="2" t="s">
        <v>4890</v>
      </c>
      <c r="B561" s="2" t="s">
        <v>4891</v>
      </c>
      <c r="C561" s="2" t="s">
        <v>42</v>
      </c>
      <c r="D561" s="2" t="s">
        <v>42</v>
      </c>
      <c r="E561" s="2" t="s">
        <v>4890</v>
      </c>
      <c r="F561" s="2" t="s">
        <v>4892</v>
      </c>
      <c r="G561" s="2" t="s">
        <v>4893</v>
      </c>
      <c r="H561" s="2" t="s">
        <v>65</v>
      </c>
      <c r="I561" s="2" t="s">
        <v>46</v>
      </c>
      <c r="J561" s="2" t="s">
        <v>47</v>
      </c>
      <c r="K561" s="2" t="s">
        <v>2346</v>
      </c>
      <c r="L561" s="2" t="s">
        <v>111</v>
      </c>
      <c r="M561" s="8" t="str">
        <f>HYPERLINK("http://www.bci.sa", "www.bci.sa")</f>
        <v>www.bci.sa</v>
      </c>
      <c r="N561" s="2" t="s">
        <v>2004</v>
      </c>
      <c r="O561" s="2" t="s">
        <v>42</v>
      </c>
      <c r="P561" s="2" t="s">
        <v>4894</v>
      </c>
      <c r="Q561" s="2" t="s">
        <v>42</v>
      </c>
      <c r="R561" s="16">
        <v>1</v>
      </c>
      <c r="S561" s="16">
        <v>1</v>
      </c>
      <c r="T561" s="16">
        <v>1</v>
      </c>
      <c r="U561" s="16" t="s">
        <v>42</v>
      </c>
      <c r="V561" s="16" t="s">
        <v>42</v>
      </c>
      <c r="W561" s="4" t="s">
        <v>2348</v>
      </c>
      <c r="X561" s="2" t="s">
        <v>42</v>
      </c>
      <c r="Y561" s="2" t="s">
        <v>42</v>
      </c>
      <c r="Z561" s="2" t="s">
        <v>383</v>
      </c>
      <c r="AA561" s="2" t="s">
        <v>2349</v>
      </c>
      <c r="AB561" s="2" t="s">
        <v>42</v>
      </c>
      <c r="AC561" s="2" t="s">
        <v>385</v>
      </c>
      <c r="AD561" s="2" t="s">
        <v>42</v>
      </c>
      <c r="AE561" s="4" t="s">
        <v>2350</v>
      </c>
      <c r="AF561" s="2" t="s">
        <v>60</v>
      </c>
      <c r="AG561" s="4" t="s">
        <v>42</v>
      </c>
      <c r="AH561" s="2" t="s">
        <v>61</v>
      </c>
      <c r="AI561" s="2" t="s">
        <v>61</v>
      </c>
      <c r="AJ561" s="2" t="s">
        <v>42</v>
      </c>
      <c r="AK561" s="2" t="s">
        <v>42</v>
      </c>
      <c r="AL561" s="28">
        <v>45970</v>
      </c>
      <c r="AM561" s="4" t="s">
        <v>42</v>
      </c>
      <c r="AN561" s="8" t="str">
        <f>HYPERLINK("https://my.pitchbook.com?p=385228-18P", "View People Online")</f>
        <v>View People Online</v>
      </c>
    </row>
    <row r="562" spans="1:40" x14ac:dyDescent="0.2">
      <c r="A562" s="3" t="s">
        <v>4895</v>
      </c>
      <c r="B562" s="3" t="s">
        <v>4896</v>
      </c>
      <c r="C562" s="3" t="s">
        <v>42</v>
      </c>
      <c r="D562" s="3" t="s">
        <v>42</v>
      </c>
      <c r="E562" s="3" t="s">
        <v>4895</v>
      </c>
      <c r="F562" s="3" t="s">
        <v>4897</v>
      </c>
      <c r="G562" s="3" t="s">
        <v>4898</v>
      </c>
      <c r="H562" s="3" t="s">
        <v>223</v>
      </c>
      <c r="I562" s="3" t="s">
        <v>46</v>
      </c>
      <c r="J562" s="3" t="s">
        <v>47</v>
      </c>
      <c r="K562" s="3" t="s">
        <v>3900</v>
      </c>
      <c r="L562" s="3" t="s">
        <v>111</v>
      </c>
      <c r="M562" s="9" t="str">
        <f>HYPERLINK("http://www.walaa.com", "www.walaa.com")</f>
        <v>www.walaa.com</v>
      </c>
      <c r="N562" s="3" t="s">
        <v>534</v>
      </c>
      <c r="O562" s="3" t="s">
        <v>42</v>
      </c>
      <c r="P562" s="3" t="s">
        <v>4899</v>
      </c>
      <c r="Q562" s="3" t="s">
        <v>42</v>
      </c>
      <c r="R562" s="17" t="s">
        <v>42</v>
      </c>
      <c r="S562" s="17">
        <v>1</v>
      </c>
      <c r="T562" s="17">
        <v>1</v>
      </c>
      <c r="U562" s="17" t="s">
        <v>42</v>
      </c>
      <c r="V562" s="17" t="s">
        <v>42</v>
      </c>
      <c r="W562" s="5" t="s">
        <v>3902</v>
      </c>
      <c r="X562" s="3" t="s">
        <v>4900</v>
      </c>
      <c r="Y562" s="9" t="str">
        <f>HYPERLINK("http://linkedin.com/in/mohannadaldesouki", "http://linkedin.com/in/mohannadaldesouki")</f>
        <v>http://linkedin.com/in/mohannadaldesouki</v>
      </c>
      <c r="Z562" s="3" t="s">
        <v>782</v>
      </c>
      <c r="AA562" s="3" t="s">
        <v>3904</v>
      </c>
      <c r="AB562" s="3" t="s">
        <v>3905</v>
      </c>
      <c r="AC562" s="3" t="s">
        <v>785</v>
      </c>
      <c r="AD562" s="3" t="s">
        <v>42</v>
      </c>
      <c r="AE562" s="5" t="s">
        <v>599</v>
      </c>
      <c r="AF562" s="3" t="s">
        <v>60</v>
      </c>
      <c r="AG562" s="5" t="s">
        <v>3906</v>
      </c>
      <c r="AH562" s="3" t="s">
        <v>61</v>
      </c>
      <c r="AI562" s="3" t="s">
        <v>61</v>
      </c>
      <c r="AJ562" s="3" t="s">
        <v>42</v>
      </c>
      <c r="AK562" s="3" t="s">
        <v>42</v>
      </c>
      <c r="AL562" s="29">
        <v>46056</v>
      </c>
      <c r="AM562" s="5">
        <v>1986</v>
      </c>
      <c r="AN562" s="9" t="str">
        <f>HYPERLINK("https://my.pitchbook.com?p=342023-77P", "View People Online")</f>
        <v>View People Online</v>
      </c>
    </row>
    <row r="563" spans="1:40" x14ac:dyDescent="0.2">
      <c r="A563" s="2" t="s">
        <v>4901</v>
      </c>
      <c r="B563" s="2" t="s">
        <v>4902</v>
      </c>
      <c r="C563" s="2" t="s">
        <v>42</v>
      </c>
      <c r="D563" s="2" t="s">
        <v>42</v>
      </c>
      <c r="E563" s="2" t="s">
        <v>4901</v>
      </c>
      <c r="F563" s="2" t="s">
        <v>4903</v>
      </c>
      <c r="G563" s="2" t="s">
        <v>4898</v>
      </c>
      <c r="H563" s="2" t="s">
        <v>42</v>
      </c>
      <c r="I563" s="2" t="s">
        <v>46</v>
      </c>
      <c r="J563" s="2" t="s">
        <v>47</v>
      </c>
      <c r="K563" s="2" t="s">
        <v>3486</v>
      </c>
      <c r="L563" s="2" t="s">
        <v>1316</v>
      </c>
      <c r="M563" s="8" t="str">
        <f>HYPERLINK("http://www.chubb.com.sa", "www.chubb.com.sa")</f>
        <v>www.chubb.com.sa</v>
      </c>
      <c r="N563" s="2" t="s">
        <v>370</v>
      </c>
      <c r="O563" s="2" t="s">
        <v>42</v>
      </c>
      <c r="P563" s="2" t="s">
        <v>4904</v>
      </c>
      <c r="Q563" s="2" t="s">
        <v>4905</v>
      </c>
      <c r="R563" s="16" t="s">
        <v>42</v>
      </c>
      <c r="S563" s="16">
        <v>1</v>
      </c>
      <c r="T563" s="16">
        <v>1</v>
      </c>
      <c r="U563" s="16" t="s">
        <v>42</v>
      </c>
      <c r="V563" s="16" t="s">
        <v>42</v>
      </c>
      <c r="W563" s="4" t="s">
        <v>3488</v>
      </c>
      <c r="X563" s="2" t="s">
        <v>4906</v>
      </c>
      <c r="Y563" s="8" t="str">
        <f>HYPERLINK("http://linkedin.com/in/mohannad-badkook-0143bb70/", "http://linkedin.com/in/mohannad-badkook-0143bb70/")</f>
        <v>http://linkedin.com/in/mohannad-badkook-0143bb70/</v>
      </c>
      <c r="Z563" s="2" t="s">
        <v>595</v>
      </c>
      <c r="AA563" s="2" t="s">
        <v>3490</v>
      </c>
      <c r="AB563" s="2" t="s">
        <v>3491</v>
      </c>
      <c r="AC563" s="2" t="s">
        <v>598</v>
      </c>
      <c r="AD563" s="2" t="s">
        <v>42</v>
      </c>
      <c r="AE563" s="4" t="s">
        <v>599</v>
      </c>
      <c r="AF563" s="2" t="s">
        <v>60</v>
      </c>
      <c r="AG563" s="4" t="s">
        <v>3492</v>
      </c>
      <c r="AH563" s="2" t="s">
        <v>61</v>
      </c>
      <c r="AI563" s="2" t="s">
        <v>61</v>
      </c>
      <c r="AJ563" s="2" t="s">
        <v>42</v>
      </c>
      <c r="AK563" s="2" t="s">
        <v>42</v>
      </c>
      <c r="AL563" s="28">
        <v>45922</v>
      </c>
      <c r="AM563" s="4" t="s">
        <v>42</v>
      </c>
      <c r="AN563" s="8" t="str">
        <f>HYPERLINK("https://my.pitchbook.com?p=339333-76P", "View People Online")</f>
        <v>View People Online</v>
      </c>
    </row>
    <row r="564" spans="1:40" x14ac:dyDescent="0.2">
      <c r="A564" s="3" t="s">
        <v>4907</v>
      </c>
      <c r="B564" s="3" t="s">
        <v>4908</v>
      </c>
      <c r="C564" s="3" t="s">
        <v>42</v>
      </c>
      <c r="D564" s="3" t="s">
        <v>42</v>
      </c>
      <c r="E564" s="3" t="s">
        <v>4907</v>
      </c>
      <c r="F564" s="3" t="s">
        <v>4909</v>
      </c>
      <c r="G564" s="3" t="s">
        <v>4910</v>
      </c>
      <c r="H564" s="3" t="s">
        <v>42</v>
      </c>
      <c r="I564" s="3" t="s">
        <v>46</v>
      </c>
      <c r="J564" s="3" t="s">
        <v>47</v>
      </c>
      <c r="K564" s="3" t="s">
        <v>480</v>
      </c>
      <c r="L564" s="3" t="s">
        <v>481</v>
      </c>
      <c r="M564" s="9" t="str">
        <f>HYPERLINK("http://www.alrajhibank.com.sa", "www.alrajhibank.com.sa")</f>
        <v>www.alrajhibank.com.sa</v>
      </c>
      <c r="N564" s="3" t="s">
        <v>210</v>
      </c>
      <c r="O564" s="3" t="s">
        <v>42</v>
      </c>
      <c r="P564" s="3" t="s">
        <v>4911</v>
      </c>
      <c r="Q564" s="3" t="s">
        <v>42</v>
      </c>
      <c r="R564" s="17" t="s">
        <v>42</v>
      </c>
      <c r="S564" s="17">
        <v>1</v>
      </c>
      <c r="T564" s="17">
        <v>1</v>
      </c>
      <c r="U564" s="17" t="s">
        <v>42</v>
      </c>
      <c r="V564" s="17" t="s">
        <v>42</v>
      </c>
      <c r="W564" s="5" t="s">
        <v>42</v>
      </c>
      <c r="X564" s="3" t="s">
        <v>42</v>
      </c>
      <c r="Y564" s="9" t="str">
        <f>HYPERLINK("http://linkedin.com/in/syahrul-ishak-160a6a", "http://linkedin.com/in/syahrul-ishak-160a6a")</f>
        <v>http://linkedin.com/in/syahrul-ishak-160a6a</v>
      </c>
      <c r="Z564" s="3" t="s">
        <v>55</v>
      </c>
      <c r="AA564" s="3" t="s">
        <v>484</v>
      </c>
      <c r="AB564" s="3" t="s">
        <v>485</v>
      </c>
      <c r="AC564" s="3" t="s">
        <v>58</v>
      </c>
      <c r="AD564" s="3" t="s">
        <v>42</v>
      </c>
      <c r="AE564" s="5" t="s">
        <v>486</v>
      </c>
      <c r="AF564" s="3" t="s">
        <v>60</v>
      </c>
      <c r="AG564" s="5" t="s">
        <v>42</v>
      </c>
      <c r="AH564" s="3" t="s">
        <v>61</v>
      </c>
      <c r="AI564" s="3" t="s">
        <v>61</v>
      </c>
      <c r="AJ564" s="3" t="s">
        <v>42</v>
      </c>
      <c r="AK564" s="3" t="s">
        <v>42</v>
      </c>
      <c r="AL564" s="29">
        <v>45838</v>
      </c>
      <c r="AM564" s="5">
        <v>1979</v>
      </c>
      <c r="AN564" s="9" t="str">
        <f>HYPERLINK("https://my.pitchbook.com?p=397284-13P", "View People Online")</f>
        <v>View People Online</v>
      </c>
    </row>
    <row r="565" spans="1:40" x14ac:dyDescent="0.2">
      <c r="A565" s="2" t="s">
        <v>4912</v>
      </c>
      <c r="B565" s="2" t="s">
        <v>4913</v>
      </c>
      <c r="C565" s="2" t="s">
        <v>42</v>
      </c>
      <c r="D565" s="2" t="s">
        <v>42</v>
      </c>
      <c r="E565" s="2" t="s">
        <v>4912</v>
      </c>
      <c r="F565" s="2" t="s">
        <v>4914</v>
      </c>
      <c r="G565" s="2" t="s">
        <v>4915</v>
      </c>
      <c r="H565" s="2" t="s">
        <v>42</v>
      </c>
      <c r="I565" s="2" t="s">
        <v>46</v>
      </c>
      <c r="J565" s="2" t="s">
        <v>47</v>
      </c>
      <c r="K565" s="2" t="s">
        <v>1189</v>
      </c>
      <c r="L565" s="2" t="s">
        <v>111</v>
      </c>
      <c r="M565" s="8" t="str">
        <f>HYPERLINK("http://www.ucic.com.sa", "www.ucic.com.sa")</f>
        <v>www.ucic.com.sa</v>
      </c>
      <c r="N565" s="2" t="s">
        <v>1003</v>
      </c>
      <c r="O565" s="2" t="s">
        <v>42</v>
      </c>
      <c r="P565" s="2" t="s">
        <v>4916</v>
      </c>
      <c r="Q565" s="2" t="s">
        <v>42</v>
      </c>
      <c r="R565" s="16" t="s">
        <v>42</v>
      </c>
      <c r="S565" s="16">
        <v>1</v>
      </c>
      <c r="T565" s="16">
        <v>1</v>
      </c>
      <c r="U565" s="16" t="s">
        <v>42</v>
      </c>
      <c r="V565" s="16" t="s">
        <v>42</v>
      </c>
      <c r="W565" s="4" t="s">
        <v>1192</v>
      </c>
      <c r="X565" s="2" t="s">
        <v>42</v>
      </c>
      <c r="Y565" s="8" t="str">
        <f>HYPERLINK("http://linkedin.com/in/mohnish-rikhy-2ba1131b/?original_referer=www.google.com/&amp;originalsubdomain=sa", "http://linkedin.com/in/mohnish-rikhy-2ba1131b/?original_referer=www.google.com/&amp;originalsubdomain=sa")</f>
        <v>http://linkedin.com/in/mohnish-rikhy-2ba1131b/?original_referer=www.google.com/&amp;originalsubdomain=sa</v>
      </c>
      <c r="Z565" s="2" t="s">
        <v>174</v>
      </c>
      <c r="AA565" s="2" t="s">
        <v>1193</v>
      </c>
      <c r="AB565" s="2" t="s">
        <v>1194</v>
      </c>
      <c r="AC565" s="2" t="s">
        <v>176</v>
      </c>
      <c r="AD565" s="2" t="s">
        <v>42</v>
      </c>
      <c r="AE565" s="4" t="s">
        <v>1195</v>
      </c>
      <c r="AF565" s="2" t="s">
        <v>60</v>
      </c>
      <c r="AG565" s="4" t="s">
        <v>42</v>
      </c>
      <c r="AH565" s="2" t="s">
        <v>61</v>
      </c>
      <c r="AI565" s="2" t="s">
        <v>61</v>
      </c>
      <c r="AJ565" s="2" t="s">
        <v>42</v>
      </c>
      <c r="AK565" s="2" t="s">
        <v>42</v>
      </c>
      <c r="AL565" s="28">
        <v>45764</v>
      </c>
      <c r="AM565" s="4" t="s">
        <v>42</v>
      </c>
      <c r="AN565" s="8" t="str">
        <f>HYPERLINK("https://my.pitchbook.com?p=442808-74P", "View People Online")</f>
        <v>View People Online</v>
      </c>
    </row>
    <row r="566" spans="1:40" x14ac:dyDescent="0.2">
      <c r="A566" s="3" t="s">
        <v>4917</v>
      </c>
      <c r="B566" s="3" t="s">
        <v>4918</v>
      </c>
      <c r="C566" s="3" t="s">
        <v>42</v>
      </c>
      <c r="D566" s="3" t="s">
        <v>42</v>
      </c>
      <c r="E566" s="3" t="s">
        <v>4917</v>
      </c>
      <c r="F566" s="3" t="s">
        <v>4919</v>
      </c>
      <c r="G566" s="3" t="s">
        <v>4920</v>
      </c>
      <c r="H566" s="3" t="s">
        <v>4921</v>
      </c>
      <c r="I566" s="3" t="s">
        <v>46</v>
      </c>
      <c r="J566" s="3" t="s">
        <v>47</v>
      </c>
      <c r="K566" s="3" t="s">
        <v>2680</v>
      </c>
      <c r="L566" s="3" t="s">
        <v>111</v>
      </c>
      <c r="M566" s="9" t="str">
        <f>HYPERLINK("http://www.sumou.com.sa", "www.sumou.com.sa")</f>
        <v>www.sumou.com.sa</v>
      </c>
      <c r="N566" s="3" t="s">
        <v>4922</v>
      </c>
      <c r="O566" s="3" t="s">
        <v>42</v>
      </c>
      <c r="P566" s="3" t="s">
        <v>4923</v>
      </c>
      <c r="Q566" s="3" t="s">
        <v>42</v>
      </c>
      <c r="R566" s="17" t="s">
        <v>42</v>
      </c>
      <c r="S566" s="17">
        <v>1</v>
      </c>
      <c r="T566" s="17">
        <v>1</v>
      </c>
      <c r="U566" s="17" t="s">
        <v>42</v>
      </c>
      <c r="V566" s="17" t="s">
        <v>42</v>
      </c>
      <c r="W566" s="5" t="s">
        <v>2682</v>
      </c>
      <c r="X566" s="3" t="s">
        <v>4924</v>
      </c>
      <c r="Y566" s="3" t="s">
        <v>42</v>
      </c>
      <c r="Z566" s="3" t="s">
        <v>2684</v>
      </c>
      <c r="AA566" s="3" t="s">
        <v>2685</v>
      </c>
      <c r="AB566" s="3" t="s">
        <v>2686</v>
      </c>
      <c r="AC566" s="3" t="s">
        <v>2687</v>
      </c>
      <c r="AD566" s="3" t="s">
        <v>42</v>
      </c>
      <c r="AE566" s="5" t="s">
        <v>599</v>
      </c>
      <c r="AF566" s="3" t="s">
        <v>60</v>
      </c>
      <c r="AG566" s="5" t="s">
        <v>2688</v>
      </c>
      <c r="AH566" s="3" t="s">
        <v>61</v>
      </c>
      <c r="AI566" s="3" t="s">
        <v>61</v>
      </c>
      <c r="AJ566" s="3" t="s">
        <v>42</v>
      </c>
      <c r="AK566" s="3" t="s">
        <v>42</v>
      </c>
      <c r="AL566" s="29">
        <v>45433</v>
      </c>
      <c r="AM566" s="5" t="s">
        <v>42</v>
      </c>
      <c r="AN566" s="9" t="str">
        <f>HYPERLINK("https://my.pitchbook.com?p=397846-81P", "View People Online")</f>
        <v>View People Online</v>
      </c>
    </row>
    <row r="567" spans="1:40" x14ac:dyDescent="0.2">
      <c r="A567" s="2" t="s">
        <v>4925</v>
      </c>
      <c r="B567" s="2" t="s">
        <v>4926</v>
      </c>
      <c r="C567" s="2" t="s">
        <v>42</v>
      </c>
      <c r="D567" s="2" t="s">
        <v>42</v>
      </c>
      <c r="E567" s="2" t="s">
        <v>4925</v>
      </c>
      <c r="F567" s="2" t="s">
        <v>4927</v>
      </c>
      <c r="G567" s="2" t="s">
        <v>4928</v>
      </c>
      <c r="H567" s="2" t="s">
        <v>42</v>
      </c>
      <c r="I567" s="2" t="s">
        <v>46</v>
      </c>
      <c r="J567" s="2" t="s">
        <v>47</v>
      </c>
      <c r="K567" s="2" t="s">
        <v>197</v>
      </c>
      <c r="L567" s="2" t="s">
        <v>111</v>
      </c>
      <c r="M567" s="8" t="str">
        <f>HYPERLINK("http://www.adesgroup.com", "www.adesgroup.com")</f>
        <v>www.adesgroup.com</v>
      </c>
      <c r="N567" s="2" t="s">
        <v>370</v>
      </c>
      <c r="O567" s="2" t="s">
        <v>42</v>
      </c>
      <c r="P567" s="2" t="s">
        <v>4929</v>
      </c>
      <c r="Q567" s="2" t="s">
        <v>4930</v>
      </c>
      <c r="R567" s="16" t="s">
        <v>42</v>
      </c>
      <c r="S567" s="16">
        <v>1</v>
      </c>
      <c r="T567" s="16">
        <v>1</v>
      </c>
      <c r="U567" s="16" t="s">
        <v>42</v>
      </c>
      <c r="V567" s="16" t="s">
        <v>42</v>
      </c>
      <c r="W567" s="4" t="s">
        <v>42</v>
      </c>
      <c r="X567" s="2" t="s">
        <v>4931</v>
      </c>
      <c r="Y567" s="2" t="s">
        <v>42</v>
      </c>
      <c r="Z567" s="2" t="s">
        <v>595</v>
      </c>
      <c r="AA567" s="2" t="s">
        <v>4932</v>
      </c>
      <c r="AB567" s="2" t="s">
        <v>4933</v>
      </c>
      <c r="AC567" s="2" t="s">
        <v>598</v>
      </c>
      <c r="AD567" s="2" t="s">
        <v>42</v>
      </c>
      <c r="AE567" s="4" t="s">
        <v>42</v>
      </c>
      <c r="AF567" s="2" t="s">
        <v>60</v>
      </c>
      <c r="AG567" s="4" t="s">
        <v>42</v>
      </c>
      <c r="AH567" s="2" t="s">
        <v>61</v>
      </c>
      <c r="AI567" s="2" t="s">
        <v>61</v>
      </c>
      <c r="AJ567" s="2" t="s">
        <v>42</v>
      </c>
      <c r="AK567" s="2" t="s">
        <v>42</v>
      </c>
      <c r="AL567" s="28">
        <v>45874</v>
      </c>
      <c r="AM567" s="4" t="s">
        <v>42</v>
      </c>
      <c r="AN567" s="8" t="str">
        <f>HYPERLINK("https://my.pitchbook.com?p=458718-58P", "View People Online")</f>
        <v>View People Online</v>
      </c>
    </row>
    <row r="568" spans="1:40" x14ac:dyDescent="0.2">
      <c r="A568" s="3" t="s">
        <v>4934</v>
      </c>
      <c r="B568" s="3" t="s">
        <v>4935</v>
      </c>
      <c r="C568" s="3" t="s">
        <v>42</v>
      </c>
      <c r="D568" s="3" t="s">
        <v>42</v>
      </c>
      <c r="E568" s="3" t="s">
        <v>4934</v>
      </c>
      <c r="F568" s="3" t="s">
        <v>4936</v>
      </c>
      <c r="G568" s="3" t="s">
        <v>4937</v>
      </c>
      <c r="H568" s="3" t="s">
        <v>4938</v>
      </c>
      <c r="I568" s="3" t="s">
        <v>46</v>
      </c>
      <c r="J568" s="3" t="s">
        <v>47</v>
      </c>
      <c r="K568" s="3" t="s">
        <v>2065</v>
      </c>
      <c r="L568" s="3" t="s">
        <v>111</v>
      </c>
      <c r="M568" s="9" t="str">
        <f>HYPERLINK("http://www.al-sorayai.com/en/index", "www.al-sorayai.com/en/index")</f>
        <v>www.al-sorayai.com/en/index</v>
      </c>
      <c r="N568" s="3" t="s">
        <v>210</v>
      </c>
      <c r="O568" s="3" t="s">
        <v>42</v>
      </c>
      <c r="P568" s="3" t="s">
        <v>4939</v>
      </c>
      <c r="Q568" s="3" t="s">
        <v>42</v>
      </c>
      <c r="R568" s="17" t="s">
        <v>42</v>
      </c>
      <c r="S568" s="17">
        <v>1</v>
      </c>
      <c r="T568" s="17">
        <v>1</v>
      </c>
      <c r="U568" s="17" t="s">
        <v>42</v>
      </c>
      <c r="V568" s="17" t="s">
        <v>42</v>
      </c>
      <c r="W568" s="5" t="s">
        <v>2067</v>
      </c>
      <c r="X568" s="3" t="s">
        <v>4940</v>
      </c>
      <c r="Y568" s="9" t="str">
        <f>HYPERLINK("http://linkedin.com/in/abdullah-alsorayai-400224a4/?originalsubdomain=sa", "http://linkedin.com/in/abdullah-alsorayai-400224a4/?originalsubdomain=sa")</f>
        <v>http://linkedin.com/in/abdullah-alsorayai-400224a4/?originalsubdomain=sa</v>
      </c>
      <c r="Z568" s="3" t="s">
        <v>174</v>
      </c>
      <c r="AA568" s="3" t="s">
        <v>2069</v>
      </c>
      <c r="AB568" s="3" t="s">
        <v>2070</v>
      </c>
      <c r="AC568" s="3" t="s">
        <v>176</v>
      </c>
      <c r="AD568" s="3" t="s">
        <v>42</v>
      </c>
      <c r="AE568" s="5" t="s">
        <v>2071</v>
      </c>
      <c r="AF568" s="3" t="s">
        <v>60</v>
      </c>
      <c r="AG568" s="5" t="s">
        <v>2072</v>
      </c>
      <c r="AH568" s="3" t="s">
        <v>61</v>
      </c>
      <c r="AI568" s="3" t="s">
        <v>61</v>
      </c>
      <c r="AJ568" s="3" t="s">
        <v>42</v>
      </c>
      <c r="AK568" s="3" t="s">
        <v>2073</v>
      </c>
      <c r="AL568" s="29">
        <v>46055</v>
      </c>
      <c r="AM568" s="5" t="s">
        <v>42</v>
      </c>
      <c r="AN568" s="9" t="str">
        <f>HYPERLINK("https://my.pitchbook.com?p=484585-48P", "View People Online")</f>
        <v>View People Online</v>
      </c>
    </row>
    <row r="569" spans="1:40" x14ac:dyDescent="0.2">
      <c r="A569" s="2" t="s">
        <v>4941</v>
      </c>
      <c r="B569" s="2" t="s">
        <v>4942</v>
      </c>
      <c r="C569" s="2" t="s">
        <v>42</v>
      </c>
      <c r="D569" s="2" t="s">
        <v>42</v>
      </c>
      <c r="E569" s="2" t="s">
        <v>4941</v>
      </c>
      <c r="F569" s="2" t="s">
        <v>4943</v>
      </c>
      <c r="G569" s="2" t="s">
        <v>4944</v>
      </c>
      <c r="H569" s="2" t="s">
        <v>42</v>
      </c>
      <c r="I569" s="2" t="s">
        <v>46</v>
      </c>
      <c r="J569" s="2" t="s">
        <v>47</v>
      </c>
      <c r="K569" s="2" t="s">
        <v>4945</v>
      </c>
      <c r="L569" s="2" t="s">
        <v>111</v>
      </c>
      <c r="M569" s="8" t="str">
        <f>HYPERLINK("http://www.sa.almajed4oud.com", "www.sa.almajed4oud.com")</f>
        <v>www.sa.almajed4oud.com</v>
      </c>
      <c r="N569" s="2" t="s">
        <v>4946</v>
      </c>
      <c r="O569" s="2" t="s">
        <v>42</v>
      </c>
      <c r="P569" s="2" t="s">
        <v>4947</v>
      </c>
      <c r="Q569" s="2" t="s">
        <v>42</v>
      </c>
      <c r="R569" s="16" t="s">
        <v>42</v>
      </c>
      <c r="S569" s="16">
        <v>1</v>
      </c>
      <c r="T569" s="16">
        <v>1</v>
      </c>
      <c r="U569" s="16" t="s">
        <v>42</v>
      </c>
      <c r="V569" s="16" t="s">
        <v>42</v>
      </c>
      <c r="W569" s="4" t="s">
        <v>4948</v>
      </c>
      <c r="X569" s="2" t="s">
        <v>4949</v>
      </c>
      <c r="Y569" s="8" t="str">
        <f>HYPERLINK("http://linkedin.com/in/mostafa-maghawry-7a9257206", "http://linkedin.com/in/mostafa-maghawry-7a9257206")</f>
        <v>http://linkedin.com/in/mostafa-maghawry-7a9257206</v>
      </c>
      <c r="Z569" s="2" t="s">
        <v>55</v>
      </c>
      <c r="AA569" s="2" t="s">
        <v>1204</v>
      </c>
      <c r="AB569" s="2" t="s">
        <v>42</v>
      </c>
      <c r="AC569" s="2" t="s">
        <v>58</v>
      </c>
      <c r="AD569" s="2" t="s">
        <v>4950</v>
      </c>
      <c r="AE569" s="4" t="s">
        <v>4951</v>
      </c>
      <c r="AF569" s="2" t="s">
        <v>60</v>
      </c>
      <c r="AG569" s="4" t="s">
        <v>42</v>
      </c>
      <c r="AH569" s="2" t="s">
        <v>61</v>
      </c>
      <c r="AI569" s="2" t="s">
        <v>61</v>
      </c>
      <c r="AJ569" s="2" t="s">
        <v>42</v>
      </c>
      <c r="AK569" s="2" t="s">
        <v>42</v>
      </c>
      <c r="AL569" s="28">
        <v>45995</v>
      </c>
      <c r="AM569" s="4" t="s">
        <v>42</v>
      </c>
      <c r="AN569" s="8" t="str">
        <f>HYPERLINK("https://my.pitchbook.com?p=399582-82P", "View People Online")</f>
        <v>View People Online</v>
      </c>
    </row>
    <row r="570" spans="1:40" x14ac:dyDescent="0.2">
      <c r="A570" s="3" t="s">
        <v>4952</v>
      </c>
      <c r="B570" s="3" t="s">
        <v>4953</v>
      </c>
      <c r="C570" s="3" t="s">
        <v>42</v>
      </c>
      <c r="D570" s="3" t="s">
        <v>42</v>
      </c>
      <c r="E570" s="3" t="s">
        <v>4952</v>
      </c>
      <c r="F570" s="3" t="s">
        <v>4954</v>
      </c>
      <c r="G570" s="3" t="s">
        <v>1244</v>
      </c>
      <c r="H570" s="3" t="s">
        <v>42</v>
      </c>
      <c r="I570" s="3" t="s">
        <v>46</v>
      </c>
      <c r="J570" s="3" t="s">
        <v>47</v>
      </c>
      <c r="K570" s="3" t="s">
        <v>4955</v>
      </c>
      <c r="L570" s="3" t="s">
        <v>111</v>
      </c>
      <c r="M570" s="9" t="str">
        <f>HYPERLINK("http://www.uacc.com.sa", "www.uacc.com.sa")</f>
        <v>www.uacc.com.sa</v>
      </c>
      <c r="N570" s="3" t="s">
        <v>210</v>
      </c>
      <c r="O570" s="3" t="s">
        <v>42</v>
      </c>
      <c r="P570" s="3" t="s">
        <v>4956</v>
      </c>
      <c r="Q570" s="3" t="s">
        <v>42</v>
      </c>
      <c r="R570" s="17" t="s">
        <v>42</v>
      </c>
      <c r="S570" s="17">
        <v>1</v>
      </c>
      <c r="T570" s="17">
        <v>1</v>
      </c>
      <c r="U570" s="17" t="s">
        <v>42</v>
      </c>
      <c r="V570" s="17" t="s">
        <v>42</v>
      </c>
      <c r="W570" s="5" t="s">
        <v>4957</v>
      </c>
      <c r="X570" s="3" t="s">
        <v>4958</v>
      </c>
      <c r="Y570" s="9" t="str">
        <f>HYPERLINK("http://linkedin.com/in/mohamed-alhawi-88974861/", "http://linkedin.com/in/mohamed-alhawi-88974861/")</f>
        <v>http://linkedin.com/in/mohamed-alhawi-88974861/</v>
      </c>
      <c r="Z570" s="3" t="s">
        <v>55</v>
      </c>
      <c r="AA570" s="3" t="s">
        <v>4959</v>
      </c>
      <c r="AB570" s="3" t="s">
        <v>4960</v>
      </c>
      <c r="AC570" s="3" t="s">
        <v>58</v>
      </c>
      <c r="AD570" s="3" t="s">
        <v>42</v>
      </c>
      <c r="AE570" s="5" t="s">
        <v>42</v>
      </c>
      <c r="AF570" s="3" t="s">
        <v>60</v>
      </c>
      <c r="AG570" s="5" t="s">
        <v>42</v>
      </c>
      <c r="AH570" s="3" t="s">
        <v>61</v>
      </c>
      <c r="AI570" s="3" t="s">
        <v>61</v>
      </c>
      <c r="AJ570" s="3" t="s">
        <v>42</v>
      </c>
      <c r="AK570" s="3" t="s">
        <v>42</v>
      </c>
      <c r="AL570" s="29">
        <v>46029</v>
      </c>
      <c r="AM570" s="5" t="s">
        <v>42</v>
      </c>
      <c r="AN570" s="9" t="str">
        <f>HYPERLINK("https://my.pitchbook.com?p=393243-22P", "View People Online")</f>
        <v>View People Online</v>
      </c>
    </row>
    <row r="571" spans="1:40" x14ac:dyDescent="0.2">
      <c r="A571" s="2" t="s">
        <v>4961</v>
      </c>
      <c r="B571" s="2" t="s">
        <v>4962</v>
      </c>
      <c r="C571" s="2" t="s">
        <v>42</v>
      </c>
      <c r="D571" s="2" t="s">
        <v>42</v>
      </c>
      <c r="E571" s="2" t="s">
        <v>4961</v>
      </c>
      <c r="F571" s="2" t="s">
        <v>4963</v>
      </c>
      <c r="G571" s="2" t="s">
        <v>1244</v>
      </c>
      <c r="H571" s="2" t="s">
        <v>4964</v>
      </c>
      <c r="I571" s="2" t="s">
        <v>46</v>
      </c>
      <c r="J571" s="2" t="s">
        <v>47</v>
      </c>
      <c r="K571" s="2" t="s">
        <v>4965</v>
      </c>
      <c r="L571" s="2" t="s">
        <v>111</v>
      </c>
      <c r="M571" s="8" t="str">
        <f>HYPERLINK("http://www.wataniasteel.com", "www.wataniasteel.com")</f>
        <v>www.wataniasteel.com</v>
      </c>
      <c r="N571" s="2" t="s">
        <v>534</v>
      </c>
      <c r="O571" s="2" t="s">
        <v>42</v>
      </c>
      <c r="P571" s="2" t="s">
        <v>4966</v>
      </c>
      <c r="Q571" s="2" t="s">
        <v>42</v>
      </c>
      <c r="R571" s="16" t="s">
        <v>42</v>
      </c>
      <c r="S571" s="16">
        <v>1</v>
      </c>
      <c r="T571" s="16">
        <v>1</v>
      </c>
      <c r="U571" s="16" t="s">
        <v>42</v>
      </c>
      <c r="V571" s="16" t="s">
        <v>42</v>
      </c>
      <c r="W571" s="4" t="s">
        <v>4967</v>
      </c>
      <c r="X571" s="2" t="s">
        <v>4968</v>
      </c>
      <c r="Y571" s="8" t="str">
        <f>HYPERLINK("http://linkedin.com/in/mohamed-hamdi-777a66117", "http://linkedin.com/in/mohamed-hamdi-777a66117")</f>
        <v>http://linkedin.com/in/mohamed-hamdi-777a66117</v>
      </c>
      <c r="Z571" s="2" t="s">
        <v>55</v>
      </c>
      <c r="AA571" s="2" t="s">
        <v>4969</v>
      </c>
      <c r="AB571" s="2" t="s">
        <v>42</v>
      </c>
      <c r="AC571" s="2" t="s">
        <v>58</v>
      </c>
      <c r="AD571" s="2" t="s">
        <v>42</v>
      </c>
      <c r="AE571" s="4" t="s">
        <v>4970</v>
      </c>
      <c r="AF571" s="2" t="s">
        <v>60</v>
      </c>
      <c r="AG571" s="4" t="s">
        <v>4971</v>
      </c>
      <c r="AH571" s="2" t="s">
        <v>61</v>
      </c>
      <c r="AI571" s="2" t="s">
        <v>61</v>
      </c>
      <c r="AJ571" s="2" t="s">
        <v>42</v>
      </c>
      <c r="AK571" s="2" t="s">
        <v>42</v>
      </c>
      <c r="AL571" s="28">
        <v>45671</v>
      </c>
      <c r="AM571" s="4" t="s">
        <v>42</v>
      </c>
      <c r="AN571" s="8" t="str">
        <f>HYPERLINK("https://my.pitchbook.com?p=326398-33P", "View People Online")</f>
        <v>View People Online</v>
      </c>
    </row>
    <row r="572" spans="1:40" x14ac:dyDescent="0.2">
      <c r="A572" s="3" t="s">
        <v>4972</v>
      </c>
      <c r="B572" s="3" t="s">
        <v>4973</v>
      </c>
      <c r="C572" s="3" t="s">
        <v>42</v>
      </c>
      <c r="D572" s="3" t="s">
        <v>42</v>
      </c>
      <c r="E572" s="3" t="s">
        <v>4972</v>
      </c>
      <c r="F572" s="3" t="s">
        <v>1497</v>
      </c>
      <c r="G572" s="3" t="s">
        <v>4974</v>
      </c>
      <c r="H572" s="3" t="s">
        <v>42</v>
      </c>
      <c r="I572" s="3" t="s">
        <v>46</v>
      </c>
      <c r="J572" s="3" t="s">
        <v>47</v>
      </c>
      <c r="K572" s="3" t="s">
        <v>1499</v>
      </c>
      <c r="L572" s="3" t="s">
        <v>111</v>
      </c>
      <c r="M572" s="9" t="str">
        <f>HYPERLINK("http://www.jarir.com", "www.jarir.com")</f>
        <v>www.jarir.com</v>
      </c>
      <c r="N572" s="3" t="s">
        <v>1448</v>
      </c>
      <c r="O572" s="3" t="s">
        <v>42</v>
      </c>
      <c r="P572" s="3" t="s">
        <v>4975</v>
      </c>
      <c r="Q572" s="3" t="s">
        <v>42</v>
      </c>
      <c r="R572" s="17">
        <v>1</v>
      </c>
      <c r="S572" s="17">
        <v>1</v>
      </c>
      <c r="T572" s="17" t="s">
        <v>42</v>
      </c>
      <c r="U572" s="17" t="s">
        <v>42</v>
      </c>
      <c r="V572" s="17" t="s">
        <v>42</v>
      </c>
      <c r="W572" s="5" t="s">
        <v>1502</v>
      </c>
      <c r="X572" s="3" t="s">
        <v>42</v>
      </c>
      <c r="Y572" s="9" t="str">
        <f>HYPERLINK("http://linkedin.com/in/muhammad-alagil-b1876b96/", "http://linkedin.com/in/muhammad-alagil-b1876b96/")</f>
        <v>http://linkedin.com/in/muhammad-alagil-b1876b96/</v>
      </c>
      <c r="Z572" s="3" t="s">
        <v>55</v>
      </c>
      <c r="AA572" s="3" t="s">
        <v>1504</v>
      </c>
      <c r="AB572" s="3" t="s">
        <v>42</v>
      </c>
      <c r="AC572" s="3" t="s">
        <v>58</v>
      </c>
      <c r="AD572" s="3" t="s">
        <v>42</v>
      </c>
      <c r="AE572" s="5" t="s">
        <v>1505</v>
      </c>
      <c r="AF572" s="3" t="s">
        <v>60</v>
      </c>
      <c r="AG572" s="5" t="s">
        <v>1506</v>
      </c>
      <c r="AH572" s="3" t="s">
        <v>61</v>
      </c>
      <c r="AI572" s="3" t="s">
        <v>61</v>
      </c>
      <c r="AJ572" s="3" t="s">
        <v>42</v>
      </c>
      <c r="AK572" s="3" t="s">
        <v>42</v>
      </c>
      <c r="AL572" s="29">
        <v>45757</v>
      </c>
      <c r="AM572" s="5" t="s">
        <v>42</v>
      </c>
      <c r="AN572" s="9" t="str">
        <f>HYPERLINK("https://my.pitchbook.com?p=344047-87P", "View People Online")</f>
        <v>View People Online</v>
      </c>
    </row>
    <row r="573" spans="1:40" x14ac:dyDescent="0.2">
      <c r="A573" s="2" t="s">
        <v>4976</v>
      </c>
      <c r="B573" s="2" t="s">
        <v>4977</v>
      </c>
      <c r="C573" s="2" t="s">
        <v>42</v>
      </c>
      <c r="D573" s="2" t="s">
        <v>42</v>
      </c>
      <c r="E573" s="2" t="s">
        <v>4976</v>
      </c>
      <c r="F573" s="2" t="s">
        <v>4978</v>
      </c>
      <c r="G573" s="2" t="s">
        <v>1244</v>
      </c>
      <c r="H573" s="2" t="s">
        <v>1720</v>
      </c>
      <c r="I573" s="2" t="s">
        <v>42</v>
      </c>
      <c r="J573" s="2" t="s">
        <v>42</v>
      </c>
      <c r="K573" s="2" t="s">
        <v>4022</v>
      </c>
      <c r="L573" s="2" t="s">
        <v>111</v>
      </c>
      <c r="M573" s="8" t="str">
        <f>HYPERLINK("http://www.altwijri.com", "www.altwijri.com")</f>
        <v>www.altwijri.com</v>
      </c>
      <c r="N573" s="2" t="s">
        <v>534</v>
      </c>
      <c r="O573" s="2" t="s">
        <v>42</v>
      </c>
      <c r="P573" s="2" t="s">
        <v>4979</v>
      </c>
      <c r="Q573" s="2" t="s">
        <v>42</v>
      </c>
      <c r="R573" s="16" t="s">
        <v>42</v>
      </c>
      <c r="S573" s="16">
        <v>1</v>
      </c>
      <c r="T573" s="16">
        <v>1</v>
      </c>
      <c r="U573" s="16" t="s">
        <v>42</v>
      </c>
      <c r="V573" s="16" t="s">
        <v>42</v>
      </c>
      <c r="W573" s="4" t="s">
        <v>4024</v>
      </c>
      <c r="X573" s="2" t="s">
        <v>4980</v>
      </c>
      <c r="Y573" s="2" t="s">
        <v>42</v>
      </c>
      <c r="Z573" s="2" t="s">
        <v>55</v>
      </c>
      <c r="AA573" s="2" t="s">
        <v>4026</v>
      </c>
      <c r="AB573" s="2" t="s">
        <v>4027</v>
      </c>
      <c r="AC573" s="2" t="s">
        <v>58</v>
      </c>
      <c r="AD573" s="2" t="s">
        <v>42</v>
      </c>
      <c r="AE573" s="4" t="s">
        <v>42</v>
      </c>
      <c r="AF573" s="2" t="s">
        <v>60</v>
      </c>
      <c r="AG573" s="4" t="s">
        <v>4028</v>
      </c>
      <c r="AH573" s="2" t="s">
        <v>61</v>
      </c>
      <c r="AI573" s="2" t="s">
        <v>61</v>
      </c>
      <c r="AJ573" s="2" t="s">
        <v>42</v>
      </c>
      <c r="AK573" s="2" t="s">
        <v>42</v>
      </c>
      <c r="AL573" s="28">
        <v>45960</v>
      </c>
      <c r="AM573" s="4" t="s">
        <v>42</v>
      </c>
      <c r="AN573" s="8" t="str">
        <f>HYPERLINK("https://my.pitchbook.com?p=422953-57P", "View People Online")</f>
        <v>View People Online</v>
      </c>
    </row>
    <row r="574" spans="1:40" x14ac:dyDescent="0.2">
      <c r="A574" s="3" t="s">
        <v>4981</v>
      </c>
      <c r="B574" s="3" t="s">
        <v>4982</v>
      </c>
      <c r="C574" s="3" t="s">
        <v>42</v>
      </c>
      <c r="D574" s="3" t="s">
        <v>42</v>
      </c>
      <c r="E574" s="3" t="s">
        <v>4981</v>
      </c>
      <c r="F574" s="3" t="s">
        <v>4983</v>
      </c>
      <c r="G574" s="3" t="s">
        <v>1244</v>
      </c>
      <c r="H574" s="3" t="s">
        <v>4984</v>
      </c>
      <c r="I574" s="3" t="s">
        <v>46</v>
      </c>
      <c r="J574" s="3" t="s">
        <v>47</v>
      </c>
      <c r="K574" s="3" t="s">
        <v>2248</v>
      </c>
      <c r="L574" s="3" t="s">
        <v>111</v>
      </c>
      <c r="M574" s="9" t="str">
        <f>HYPERLINK("http://www.wajdlife.com", "www.wajdlife.com")</f>
        <v>www.wajdlife.com</v>
      </c>
      <c r="N574" s="3" t="s">
        <v>112</v>
      </c>
      <c r="O574" s="3" t="s">
        <v>42</v>
      </c>
      <c r="P574" s="3" t="s">
        <v>4985</v>
      </c>
      <c r="Q574" s="3" t="s">
        <v>42</v>
      </c>
      <c r="R574" s="17">
        <v>1</v>
      </c>
      <c r="S574" s="17">
        <v>1</v>
      </c>
      <c r="T574" s="17">
        <v>1</v>
      </c>
      <c r="U574" s="17" t="s">
        <v>42</v>
      </c>
      <c r="V574" s="17" t="s">
        <v>42</v>
      </c>
      <c r="W574" s="5" t="s">
        <v>42</v>
      </c>
      <c r="X574" s="3" t="s">
        <v>42</v>
      </c>
      <c r="Y574" s="3" t="s">
        <v>42</v>
      </c>
      <c r="Z574" s="3" t="s">
        <v>55</v>
      </c>
      <c r="AA574" s="3" t="s">
        <v>2250</v>
      </c>
      <c r="AB574" s="3" t="s">
        <v>42</v>
      </c>
      <c r="AC574" s="3" t="s">
        <v>58</v>
      </c>
      <c r="AD574" s="3" t="s">
        <v>42</v>
      </c>
      <c r="AE574" s="5" t="s">
        <v>42</v>
      </c>
      <c r="AF574" s="3" t="s">
        <v>60</v>
      </c>
      <c r="AG574" s="5" t="s">
        <v>42</v>
      </c>
      <c r="AH574" s="3" t="s">
        <v>61</v>
      </c>
      <c r="AI574" s="3" t="s">
        <v>61</v>
      </c>
      <c r="AJ574" s="3" t="s">
        <v>42</v>
      </c>
      <c r="AK574" s="3" t="s">
        <v>42</v>
      </c>
      <c r="AL574" s="29">
        <v>45884</v>
      </c>
      <c r="AM574" s="5" t="s">
        <v>42</v>
      </c>
      <c r="AN574" s="9" t="str">
        <f>HYPERLINK("https://my.pitchbook.com?p=460438-39P", "View People Online")</f>
        <v>View People Online</v>
      </c>
    </row>
    <row r="575" spans="1:40" x14ac:dyDescent="0.2">
      <c r="A575" s="2" t="s">
        <v>4986</v>
      </c>
      <c r="B575" s="2" t="s">
        <v>4987</v>
      </c>
      <c r="C575" s="2" t="s">
        <v>42</v>
      </c>
      <c r="D575" s="2" t="s">
        <v>42</v>
      </c>
      <c r="E575" s="2" t="s">
        <v>4986</v>
      </c>
      <c r="F575" s="2" t="s">
        <v>1013</v>
      </c>
      <c r="G575" s="2" t="s">
        <v>1244</v>
      </c>
      <c r="H575" s="2" t="s">
        <v>4988</v>
      </c>
      <c r="I575" s="2" t="s">
        <v>46</v>
      </c>
      <c r="J575" s="2" t="s">
        <v>47</v>
      </c>
      <c r="K575" s="2" t="s">
        <v>3826</v>
      </c>
      <c r="L575" s="2" t="s">
        <v>111</v>
      </c>
      <c r="M575" s="8" t="str">
        <f>HYPERLINK("http://sinadholding.com", "sinadholding.com")</f>
        <v>sinadholding.com</v>
      </c>
      <c r="N575" s="2" t="s">
        <v>2300</v>
      </c>
      <c r="O575" s="2" t="s">
        <v>42</v>
      </c>
      <c r="P575" s="2" t="s">
        <v>4989</v>
      </c>
      <c r="Q575" s="2" t="s">
        <v>42</v>
      </c>
      <c r="R575" s="16" t="s">
        <v>42</v>
      </c>
      <c r="S575" s="16">
        <v>1</v>
      </c>
      <c r="T575" s="16">
        <v>1</v>
      </c>
      <c r="U575" s="16" t="s">
        <v>42</v>
      </c>
      <c r="V575" s="16" t="s">
        <v>42</v>
      </c>
      <c r="W575" s="4" t="s">
        <v>3828</v>
      </c>
      <c r="X575" s="2" t="s">
        <v>42</v>
      </c>
      <c r="Y575" s="2" t="s">
        <v>42</v>
      </c>
      <c r="Z575" s="2" t="s">
        <v>55</v>
      </c>
      <c r="AA575" s="2" t="s">
        <v>3830</v>
      </c>
      <c r="AB575" s="2" t="s">
        <v>3831</v>
      </c>
      <c r="AC575" s="2" t="s">
        <v>58</v>
      </c>
      <c r="AD575" s="2" t="s">
        <v>42</v>
      </c>
      <c r="AE575" s="4" t="s">
        <v>3832</v>
      </c>
      <c r="AF575" s="2" t="s">
        <v>60</v>
      </c>
      <c r="AG575" s="4" t="s">
        <v>3833</v>
      </c>
      <c r="AH575" s="2" t="s">
        <v>61</v>
      </c>
      <c r="AI575" s="2" t="s">
        <v>61</v>
      </c>
      <c r="AJ575" s="2" t="s">
        <v>42</v>
      </c>
      <c r="AK575" s="2" t="s">
        <v>42</v>
      </c>
      <c r="AL575" s="28">
        <v>45950</v>
      </c>
      <c r="AM575" s="4" t="s">
        <v>42</v>
      </c>
      <c r="AN575" s="8" t="str">
        <f>HYPERLINK("https://my.pitchbook.com?p=379212-13P", "View People Online")</f>
        <v>View People Online</v>
      </c>
    </row>
    <row r="576" spans="1:40" x14ac:dyDescent="0.2">
      <c r="A576" s="3" t="s">
        <v>4990</v>
      </c>
      <c r="B576" s="3" t="s">
        <v>4991</v>
      </c>
      <c r="C576" s="3" t="s">
        <v>42</v>
      </c>
      <c r="D576" s="3" t="s">
        <v>42</v>
      </c>
      <c r="E576" s="3" t="s">
        <v>4990</v>
      </c>
      <c r="F576" s="3" t="s">
        <v>4992</v>
      </c>
      <c r="G576" s="3" t="s">
        <v>4993</v>
      </c>
      <c r="H576" s="3" t="s">
        <v>3203</v>
      </c>
      <c r="I576" s="3" t="s">
        <v>46</v>
      </c>
      <c r="J576" s="3" t="s">
        <v>47</v>
      </c>
      <c r="K576" s="3" t="s">
        <v>2472</v>
      </c>
      <c r="L576" s="3" t="s">
        <v>111</v>
      </c>
      <c r="M576" s="9" t="str">
        <f>HYPERLINK("http://www.almunajemfoods.com", "www.almunajemfoods.com")</f>
        <v>www.almunajemfoods.com</v>
      </c>
      <c r="N576" s="3" t="s">
        <v>534</v>
      </c>
      <c r="O576" s="3" t="s">
        <v>42</v>
      </c>
      <c r="P576" s="3" t="s">
        <v>4994</v>
      </c>
      <c r="Q576" s="3" t="s">
        <v>42</v>
      </c>
      <c r="R576" s="17" t="s">
        <v>42</v>
      </c>
      <c r="S576" s="17">
        <v>1</v>
      </c>
      <c r="T576" s="17">
        <v>1</v>
      </c>
      <c r="U576" s="17" t="s">
        <v>42</v>
      </c>
      <c r="V576" s="17" t="s">
        <v>42</v>
      </c>
      <c r="W576" s="5" t="s">
        <v>2474</v>
      </c>
      <c r="X576" s="3" t="s">
        <v>4995</v>
      </c>
      <c r="Y576" s="9" t="str">
        <f>HYPERLINK("http://linkedin.com/in/muhammad-salman-530484152/", "http://linkedin.com/in/muhammad-salman-530484152/")</f>
        <v>http://linkedin.com/in/muhammad-salman-530484152/</v>
      </c>
      <c r="Z576" s="3" t="s">
        <v>55</v>
      </c>
      <c r="AA576" s="3" t="s">
        <v>2476</v>
      </c>
      <c r="AB576" s="3" t="s">
        <v>2477</v>
      </c>
      <c r="AC576" s="3" t="s">
        <v>58</v>
      </c>
      <c r="AD576" s="3" t="s">
        <v>42</v>
      </c>
      <c r="AE576" s="5" t="s">
        <v>2478</v>
      </c>
      <c r="AF576" s="3" t="s">
        <v>60</v>
      </c>
      <c r="AG576" s="5" t="s">
        <v>42</v>
      </c>
      <c r="AH576" s="3" t="s">
        <v>61</v>
      </c>
      <c r="AI576" s="3" t="s">
        <v>61</v>
      </c>
      <c r="AJ576" s="3" t="s">
        <v>42</v>
      </c>
      <c r="AK576" s="3" t="s">
        <v>2073</v>
      </c>
      <c r="AL576" s="29">
        <v>46056</v>
      </c>
      <c r="AM576" s="5" t="s">
        <v>42</v>
      </c>
      <c r="AN576" s="9" t="str">
        <f>HYPERLINK("https://my.pitchbook.com?p=484723-72P", "View People Online")</f>
        <v>View People Online</v>
      </c>
    </row>
    <row r="577" spans="1:40" x14ac:dyDescent="0.2">
      <c r="A577" s="2" t="s">
        <v>4996</v>
      </c>
      <c r="B577" s="2" t="s">
        <v>4997</v>
      </c>
      <c r="C577" s="2" t="s">
        <v>42</v>
      </c>
      <c r="D577" s="2" t="s">
        <v>42</v>
      </c>
      <c r="E577" s="2" t="s">
        <v>4996</v>
      </c>
      <c r="F577" s="2" t="s">
        <v>4998</v>
      </c>
      <c r="G577" s="2" t="s">
        <v>4999</v>
      </c>
      <c r="H577" s="2" t="s">
        <v>2264</v>
      </c>
      <c r="I577" s="2" t="s">
        <v>46</v>
      </c>
      <c r="J577" s="2" t="s">
        <v>47</v>
      </c>
      <c r="K577" s="2" t="s">
        <v>560</v>
      </c>
      <c r="L577" s="2" t="s">
        <v>111</v>
      </c>
      <c r="M577" s="8" t="str">
        <f>HYPERLINK("http://www.saic.com.sa", "www.saic.com.sa")</f>
        <v>www.saic.com.sa</v>
      </c>
      <c r="N577" s="2" t="s">
        <v>5000</v>
      </c>
      <c r="O577" s="2" t="s">
        <v>42</v>
      </c>
      <c r="P577" s="2" t="s">
        <v>5001</v>
      </c>
      <c r="Q577" s="2" t="s">
        <v>42</v>
      </c>
      <c r="R577" s="16" t="s">
        <v>42</v>
      </c>
      <c r="S577" s="16">
        <v>1</v>
      </c>
      <c r="T577" s="16">
        <v>1</v>
      </c>
      <c r="U577" s="16" t="s">
        <v>42</v>
      </c>
      <c r="V577" s="16" t="s">
        <v>42</v>
      </c>
      <c r="W577" s="4" t="s">
        <v>42</v>
      </c>
      <c r="X577" s="2" t="s">
        <v>42</v>
      </c>
      <c r="Y577" s="8" t="str">
        <f>HYPERLINK("http://linkedin.com/in/muhannad-alashqar-b3a19288/", "http://linkedin.com/in/muhannad-alashqar-b3a19288/")</f>
        <v>http://linkedin.com/in/muhannad-alashqar-b3a19288/</v>
      </c>
      <c r="Z577" s="2" t="s">
        <v>55</v>
      </c>
      <c r="AA577" s="2" t="s">
        <v>562</v>
      </c>
      <c r="AB577" s="2" t="s">
        <v>563</v>
      </c>
      <c r="AC577" s="2" t="s">
        <v>58</v>
      </c>
      <c r="AD577" s="2" t="s">
        <v>42</v>
      </c>
      <c r="AE577" s="4" t="s">
        <v>564</v>
      </c>
      <c r="AF577" s="2" t="s">
        <v>60</v>
      </c>
      <c r="AG577" s="4" t="s">
        <v>42</v>
      </c>
      <c r="AH577" s="2" t="s">
        <v>61</v>
      </c>
      <c r="AI577" s="2" t="s">
        <v>61</v>
      </c>
      <c r="AJ577" s="2" t="s">
        <v>42</v>
      </c>
      <c r="AK577" s="2" t="s">
        <v>42</v>
      </c>
      <c r="AL577" s="28">
        <v>45838</v>
      </c>
      <c r="AM577" s="4">
        <v>1966</v>
      </c>
      <c r="AN577" s="8" t="str">
        <f>HYPERLINK("https://my.pitchbook.com?p=341620-57P", "View People Online")</f>
        <v>View People Online</v>
      </c>
    </row>
    <row r="578" spans="1:40" x14ac:dyDescent="0.2">
      <c r="A578" s="3" t="s">
        <v>5002</v>
      </c>
      <c r="B578" s="3" t="s">
        <v>5003</v>
      </c>
      <c r="C578" s="3" t="s">
        <v>42</v>
      </c>
      <c r="D578" s="3" t="s">
        <v>42</v>
      </c>
      <c r="E578" s="3" t="s">
        <v>5002</v>
      </c>
      <c r="F578" s="3" t="s">
        <v>5004</v>
      </c>
      <c r="G578" s="3" t="s">
        <v>5005</v>
      </c>
      <c r="H578" s="3" t="s">
        <v>5006</v>
      </c>
      <c r="I578" s="3" t="s">
        <v>46</v>
      </c>
      <c r="J578" s="3" t="s">
        <v>47</v>
      </c>
      <c r="K578" s="3" t="s">
        <v>1221</v>
      </c>
      <c r="L578" s="3" t="s">
        <v>111</v>
      </c>
      <c r="M578" s="9" t="str">
        <f>HYPERLINK("http://www.ashamco.net.sa", "www.ashamco.net.sa")</f>
        <v>www.ashamco.net.sa</v>
      </c>
      <c r="N578" s="3" t="s">
        <v>534</v>
      </c>
      <c r="O578" s="3" t="s">
        <v>42</v>
      </c>
      <c r="P578" s="3" t="s">
        <v>5007</v>
      </c>
      <c r="Q578" s="3" t="s">
        <v>42</v>
      </c>
      <c r="R578" s="17" t="s">
        <v>42</v>
      </c>
      <c r="S578" s="17">
        <v>1</v>
      </c>
      <c r="T578" s="17">
        <v>1</v>
      </c>
      <c r="U578" s="17" t="s">
        <v>42</v>
      </c>
      <c r="V578" s="17" t="s">
        <v>42</v>
      </c>
      <c r="W578" s="5" t="s">
        <v>1223</v>
      </c>
      <c r="X578" s="3" t="s">
        <v>5008</v>
      </c>
      <c r="Y578" s="3" t="s">
        <v>42</v>
      </c>
      <c r="Z578" s="3" t="s">
        <v>1225</v>
      </c>
      <c r="AA578" s="3" t="s">
        <v>1226</v>
      </c>
      <c r="AB578" s="3" t="s">
        <v>1227</v>
      </c>
      <c r="AC578" s="3" t="s">
        <v>1228</v>
      </c>
      <c r="AD578" s="3" t="s">
        <v>1229</v>
      </c>
      <c r="AE578" s="5" t="s">
        <v>1230</v>
      </c>
      <c r="AF578" s="3" t="s">
        <v>60</v>
      </c>
      <c r="AG578" s="5" t="s">
        <v>1231</v>
      </c>
      <c r="AH578" s="3" t="s">
        <v>61</v>
      </c>
      <c r="AI578" s="3" t="s">
        <v>61</v>
      </c>
      <c r="AJ578" s="3" t="s">
        <v>42</v>
      </c>
      <c r="AK578" s="3" t="s">
        <v>42</v>
      </c>
      <c r="AL578" s="29">
        <v>45757</v>
      </c>
      <c r="AM578" s="5" t="s">
        <v>42</v>
      </c>
      <c r="AN578" s="9" t="str">
        <f>HYPERLINK("https://my.pitchbook.com?p=442167-40P", "View People Online")</f>
        <v>View People Online</v>
      </c>
    </row>
    <row r="579" spans="1:40" x14ac:dyDescent="0.2">
      <c r="A579" s="2" t="s">
        <v>5009</v>
      </c>
      <c r="B579" s="2" t="s">
        <v>5010</v>
      </c>
      <c r="C579" s="2" t="s">
        <v>42</v>
      </c>
      <c r="D579" s="2" t="s">
        <v>42</v>
      </c>
      <c r="E579" s="2" t="s">
        <v>5009</v>
      </c>
      <c r="F579" s="2" t="s">
        <v>5011</v>
      </c>
      <c r="G579" s="2" t="s">
        <v>5012</v>
      </c>
      <c r="H579" s="2" t="s">
        <v>42</v>
      </c>
      <c r="I579" s="2" t="s">
        <v>46</v>
      </c>
      <c r="J579" s="2" t="s">
        <v>47</v>
      </c>
      <c r="K579" s="2" t="s">
        <v>2255</v>
      </c>
      <c r="L579" s="2" t="s">
        <v>111</v>
      </c>
      <c r="M579" s="8" t="str">
        <f>HYPERLINK("http://www.aictec.com", "www.aictec.com")</f>
        <v>www.aictec.com</v>
      </c>
      <c r="N579" s="2" t="s">
        <v>2300</v>
      </c>
      <c r="O579" s="2" t="s">
        <v>42</v>
      </c>
      <c r="P579" s="2" t="s">
        <v>5013</v>
      </c>
      <c r="Q579" s="2" t="s">
        <v>42</v>
      </c>
      <c r="R579" s="16" t="s">
        <v>42</v>
      </c>
      <c r="S579" s="16">
        <v>1</v>
      </c>
      <c r="T579" s="16">
        <v>1</v>
      </c>
      <c r="U579" s="16" t="s">
        <v>42</v>
      </c>
      <c r="V579" s="16" t="s">
        <v>42</v>
      </c>
      <c r="W579" s="4" t="s">
        <v>42</v>
      </c>
      <c r="X579" s="2" t="s">
        <v>42</v>
      </c>
      <c r="Y579" s="2" t="s">
        <v>42</v>
      </c>
      <c r="Z579" s="2" t="s">
        <v>55</v>
      </c>
      <c r="AA579" s="2" t="s">
        <v>2258</v>
      </c>
      <c r="AB579" s="2" t="s">
        <v>2259</v>
      </c>
      <c r="AC579" s="2" t="s">
        <v>58</v>
      </c>
      <c r="AD579" s="2" t="s">
        <v>42</v>
      </c>
      <c r="AE579" s="4" t="s">
        <v>2260</v>
      </c>
      <c r="AF579" s="2" t="s">
        <v>60</v>
      </c>
      <c r="AG579" s="4" t="s">
        <v>42</v>
      </c>
      <c r="AH579" s="2" t="s">
        <v>61</v>
      </c>
      <c r="AI579" s="2" t="s">
        <v>61</v>
      </c>
      <c r="AJ579" s="2" t="s">
        <v>42</v>
      </c>
      <c r="AK579" s="2" t="s">
        <v>42</v>
      </c>
      <c r="AL579" s="28">
        <v>45971</v>
      </c>
      <c r="AM579" s="4" t="s">
        <v>42</v>
      </c>
      <c r="AN579" s="8" t="str">
        <f>HYPERLINK("https://my.pitchbook.com?p=472882-60P", "View People Online")</f>
        <v>View People Online</v>
      </c>
    </row>
    <row r="580" spans="1:40" x14ac:dyDescent="0.2">
      <c r="A580" s="3" t="s">
        <v>5014</v>
      </c>
      <c r="B580" s="3" t="s">
        <v>5015</v>
      </c>
      <c r="C580" s="3" t="s">
        <v>42</v>
      </c>
      <c r="D580" s="3" t="s">
        <v>42</v>
      </c>
      <c r="E580" s="3" t="s">
        <v>5014</v>
      </c>
      <c r="F580" s="3" t="s">
        <v>5016</v>
      </c>
      <c r="G580" s="3" t="s">
        <v>5017</v>
      </c>
      <c r="H580" s="3" t="s">
        <v>5018</v>
      </c>
      <c r="I580" s="3" t="s">
        <v>46</v>
      </c>
      <c r="J580" s="3" t="s">
        <v>47</v>
      </c>
      <c r="K580" s="3" t="s">
        <v>3807</v>
      </c>
      <c r="L580" s="3" t="s">
        <v>111</v>
      </c>
      <c r="M580" s="9" t="str">
        <f>HYPERLINK("http://www.mhg-int.com", "www.mhg-int.com")</f>
        <v>www.mhg-int.com</v>
      </c>
      <c r="N580" s="3" t="s">
        <v>447</v>
      </c>
      <c r="O580" s="3" t="s">
        <v>42</v>
      </c>
      <c r="P580" s="3" t="s">
        <v>5019</v>
      </c>
      <c r="Q580" s="3" t="s">
        <v>42</v>
      </c>
      <c r="R580" s="17" t="s">
        <v>42</v>
      </c>
      <c r="S580" s="17">
        <v>1</v>
      </c>
      <c r="T580" s="17">
        <v>1</v>
      </c>
      <c r="U580" s="17" t="s">
        <v>42</v>
      </c>
      <c r="V580" s="17" t="s">
        <v>42</v>
      </c>
      <c r="W580" s="5" t="s">
        <v>3809</v>
      </c>
      <c r="X580" s="3" t="s">
        <v>42</v>
      </c>
      <c r="Y580" s="3" t="s">
        <v>42</v>
      </c>
      <c r="Z580" s="3" t="s">
        <v>55</v>
      </c>
      <c r="AA580" s="3" t="s">
        <v>3810</v>
      </c>
      <c r="AB580" s="3" t="s">
        <v>42</v>
      </c>
      <c r="AC580" s="3" t="s">
        <v>58</v>
      </c>
      <c r="AD580" s="3" t="s">
        <v>42</v>
      </c>
      <c r="AE580" s="5" t="s">
        <v>3811</v>
      </c>
      <c r="AF580" s="3" t="s">
        <v>60</v>
      </c>
      <c r="AG580" s="5" t="s">
        <v>3812</v>
      </c>
      <c r="AH580" s="3" t="s">
        <v>61</v>
      </c>
      <c r="AI580" s="3" t="s">
        <v>61</v>
      </c>
      <c r="AJ580" s="3" t="s">
        <v>42</v>
      </c>
      <c r="AK580" s="3" t="s">
        <v>42</v>
      </c>
      <c r="AL580" s="29">
        <v>45867</v>
      </c>
      <c r="AM580" s="5" t="s">
        <v>42</v>
      </c>
      <c r="AN580" s="9" t="str">
        <f>HYPERLINK("https://my.pitchbook.com?p=457655-41P", "View People Online")</f>
        <v>View People Online</v>
      </c>
    </row>
    <row r="581" spans="1:40" x14ac:dyDescent="0.2">
      <c r="A581" s="2" t="s">
        <v>5020</v>
      </c>
      <c r="B581" s="2" t="s">
        <v>5021</v>
      </c>
      <c r="C581" s="2" t="s">
        <v>42</v>
      </c>
      <c r="D581" s="2" t="s">
        <v>42</v>
      </c>
      <c r="E581" s="2" t="s">
        <v>5020</v>
      </c>
      <c r="F581" s="2" t="s">
        <v>207</v>
      </c>
      <c r="G581" s="2" t="s">
        <v>5022</v>
      </c>
      <c r="H581" s="2" t="s">
        <v>298</v>
      </c>
      <c r="I581" s="2" t="s">
        <v>42</v>
      </c>
      <c r="J581" s="2" t="s">
        <v>47</v>
      </c>
      <c r="K581" s="2" t="s">
        <v>3975</v>
      </c>
      <c r="L581" s="2" t="s">
        <v>111</v>
      </c>
      <c r="M581" s="8" t="str">
        <f>HYPERLINK("http://www.saptco.com.sa", "www.saptco.com.sa")</f>
        <v>www.saptco.com.sa</v>
      </c>
      <c r="N581" s="2" t="s">
        <v>69</v>
      </c>
      <c r="O581" s="2" t="s">
        <v>42</v>
      </c>
      <c r="P581" s="2" t="s">
        <v>5023</v>
      </c>
      <c r="Q581" s="2" t="s">
        <v>42</v>
      </c>
      <c r="R581" s="16">
        <v>1</v>
      </c>
      <c r="S581" s="16">
        <v>1</v>
      </c>
      <c r="T581" s="16" t="s">
        <v>42</v>
      </c>
      <c r="U581" s="16" t="s">
        <v>42</v>
      </c>
      <c r="V581" s="16" t="s">
        <v>42</v>
      </c>
      <c r="W581" s="4" t="s">
        <v>3977</v>
      </c>
      <c r="X581" s="2" t="s">
        <v>42</v>
      </c>
      <c r="Y581" s="2" t="s">
        <v>42</v>
      </c>
      <c r="Z581" s="2" t="s">
        <v>55</v>
      </c>
      <c r="AA581" s="2" t="s">
        <v>3978</v>
      </c>
      <c r="AB581" s="2" t="s">
        <v>3979</v>
      </c>
      <c r="AC581" s="2" t="s">
        <v>58</v>
      </c>
      <c r="AD581" s="2" t="s">
        <v>42</v>
      </c>
      <c r="AE581" s="4" t="s">
        <v>3980</v>
      </c>
      <c r="AF581" s="2" t="s">
        <v>60</v>
      </c>
      <c r="AG581" s="4" t="s">
        <v>3981</v>
      </c>
      <c r="AH581" s="2" t="s">
        <v>61</v>
      </c>
      <c r="AI581" s="2" t="s">
        <v>61</v>
      </c>
      <c r="AJ581" s="2" t="s">
        <v>42</v>
      </c>
      <c r="AK581" s="2" t="s">
        <v>42</v>
      </c>
      <c r="AL581" s="28">
        <v>45756</v>
      </c>
      <c r="AM581" s="4" t="s">
        <v>42</v>
      </c>
      <c r="AN581" s="8" t="str">
        <f>HYPERLINK("https://my.pitchbook.com?p=283107-79P", "View People Online")</f>
        <v>View People Online</v>
      </c>
    </row>
    <row r="582" spans="1:40" x14ac:dyDescent="0.2">
      <c r="A582" s="3" t="s">
        <v>5024</v>
      </c>
      <c r="B582" s="3" t="s">
        <v>5025</v>
      </c>
      <c r="C582" s="3" t="s">
        <v>42</v>
      </c>
      <c r="D582" s="3" t="s">
        <v>42</v>
      </c>
      <c r="E582" s="3" t="s">
        <v>5024</v>
      </c>
      <c r="F582" s="3" t="s">
        <v>5026</v>
      </c>
      <c r="G582" s="3" t="s">
        <v>5027</v>
      </c>
      <c r="H582" s="3" t="s">
        <v>42</v>
      </c>
      <c r="I582" s="3" t="s">
        <v>46</v>
      </c>
      <c r="J582" s="3" t="s">
        <v>47</v>
      </c>
      <c r="K582" s="3" t="s">
        <v>4252</v>
      </c>
      <c r="L582" s="3" t="s">
        <v>111</v>
      </c>
      <c r="M582" s="9" t="str">
        <f>HYPERLINK("http://www.neftalsharq.com", "www.neftalsharq.com")</f>
        <v>www.neftalsharq.com</v>
      </c>
      <c r="N582" s="3" t="s">
        <v>534</v>
      </c>
      <c r="O582" s="3" t="s">
        <v>42</v>
      </c>
      <c r="P582" s="3" t="s">
        <v>5028</v>
      </c>
      <c r="Q582" s="3" t="s">
        <v>42</v>
      </c>
      <c r="R582" s="17" t="s">
        <v>42</v>
      </c>
      <c r="S582" s="17">
        <v>1</v>
      </c>
      <c r="T582" s="17">
        <v>1</v>
      </c>
      <c r="U582" s="17" t="s">
        <v>42</v>
      </c>
      <c r="V582" s="17" t="s">
        <v>42</v>
      </c>
      <c r="W582" s="5" t="s">
        <v>4254</v>
      </c>
      <c r="X582" s="3" t="s">
        <v>5029</v>
      </c>
      <c r="Y582" s="3" t="s">
        <v>42</v>
      </c>
      <c r="Z582" s="3" t="s">
        <v>55</v>
      </c>
      <c r="AA582" s="3" t="s">
        <v>4255</v>
      </c>
      <c r="AB582" s="3" t="s">
        <v>4256</v>
      </c>
      <c r="AC582" s="3" t="s">
        <v>58</v>
      </c>
      <c r="AD582" s="3" t="s">
        <v>42</v>
      </c>
      <c r="AE582" s="5" t="s">
        <v>42</v>
      </c>
      <c r="AF582" s="3" t="s">
        <v>60</v>
      </c>
      <c r="AG582" s="5" t="s">
        <v>42</v>
      </c>
      <c r="AH582" s="3" t="s">
        <v>61</v>
      </c>
      <c r="AI582" s="3" t="s">
        <v>61</v>
      </c>
      <c r="AJ582" s="3" t="s">
        <v>42</v>
      </c>
      <c r="AK582" s="3" t="s">
        <v>42</v>
      </c>
      <c r="AL582" s="29">
        <v>45436</v>
      </c>
      <c r="AM582" s="5" t="s">
        <v>42</v>
      </c>
      <c r="AN582" s="9" t="str">
        <f>HYPERLINK("https://my.pitchbook.com?p=398287-36P", "View People Online")</f>
        <v>View People Online</v>
      </c>
    </row>
    <row r="583" spans="1:40" x14ac:dyDescent="0.2">
      <c r="A583" s="2" t="s">
        <v>5030</v>
      </c>
      <c r="B583" s="2" t="s">
        <v>5031</v>
      </c>
      <c r="C583" s="2" t="s">
        <v>42</v>
      </c>
      <c r="D583" s="2" t="s">
        <v>42</v>
      </c>
      <c r="E583" s="2" t="s">
        <v>5030</v>
      </c>
      <c r="F583" s="2" t="s">
        <v>5032</v>
      </c>
      <c r="G583" s="2" t="s">
        <v>5033</v>
      </c>
      <c r="H583" s="2" t="s">
        <v>5034</v>
      </c>
      <c r="I583" s="2" t="s">
        <v>46</v>
      </c>
      <c r="J583" s="2" t="s">
        <v>47</v>
      </c>
      <c r="K583" s="2" t="s">
        <v>581</v>
      </c>
      <c r="L583" s="2" t="s">
        <v>481</v>
      </c>
      <c r="M583" s="8" t="str">
        <f>HYPERLINK("http://www.riyadbank.com", "www.riyadbank.com")</f>
        <v>www.riyadbank.com</v>
      </c>
      <c r="N583" s="2" t="s">
        <v>5035</v>
      </c>
      <c r="O583" s="2" t="s">
        <v>42</v>
      </c>
      <c r="P583" s="2" t="s">
        <v>5036</v>
      </c>
      <c r="Q583" s="2" t="s">
        <v>128</v>
      </c>
      <c r="R583" s="16">
        <v>1</v>
      </c>
      <c r="S583" s="16">
        <v>1</v>
      </c>
      <c r="T583" s="16" t="s">
        <v>42</v>
      </c>
      <c r="U583" s="16" t="s">
        <v>42</v>
      </c>
      <c r="V583" s="16" t="s">
        <v>42</v>
      </c>
      <c r="W583" s="4" t="s">
        <v>1613</v>
      </c>
      <c r="X583" s="2" t="s">
        <v>42</v>
      </c>
      <c r="Y583" s="2" t="s">
        <v>42</v>
      </c>
      <c r="Z583" s="2" t="s">
        <v>55</v>
      </c>
      <c r="AA583" s="2" t="s">
        <v>586</v>
      </c>
      <c r="AB583" s="2" t="s">
        <v>42</v>
      </c>
      <c r="AC583" s="2" t="s">
        <v>58</v>
      </c>
      <c r="AD583" s="2" t="s">
        <v>42</v>
      </c>
      <c r="AE583" s="4" t="s">
        <v>279</v>
      </c>
      <c r="AF583" s="2" t="s">
        <v>60</v>
      </c>
      <c r="AG583" s="4" t="s">
        <v>42</v>
      </c>
      <c r="AH583" s="2" t="s">
        <v>61</v>
      </c>
      <c r="AI583" s="2" t="s">
        <v>61</v>
      </c>
      <c r="AJ583" s="2" t="s">
        <v>42</v>
      </c>
      <c r="AK583" s="2" t="s">
        <v>42</v>
      </c>
      <c r="AL583" s="28">
        <v>46029</v>
      </c>
      <c r="AM583" s="4" t="s">
        <v>42</v>
      </c>
      <c r="AN583" s="8" t="str">
        <f>HYPERLINK("https://my.pitchbook.com?p=322026-40P", "View People Online")</f>
        <v>View People Online</v>
      </c>
    </row>
    <row r="584" spans="1:40" x14ac:dyDescent="0.2">
      <c r="A584" s="3" t="s">
        <v>5037</v>
      </c>
      <c r="B584" s="3" t="s">
        <v>5038</v>
      </c>
      <c r="C584" s="3" t="s">
        <v>42</v>
      </c>
      <c r="D584" s="3" t="s">
        <v>42</v>
      </c>
      <c r="E584" s="3" t="s">
        <v>5037</v>
      </c>
      <c r="F584" s="3" t="s">
        <v>5039</v>
      </c>
      <c r="G584" s="3" t="s">
        <v>5040</v>
      </c>
      <c r="H584" s="3" t="s">
        <v>66</v>
      </c>
      <c r="I584" s="3" t="s">
        <v>46</v>
      </c>
      <c r="J584" s="3" t="s">
        <v>47</v>
      </c>
      <c r="K584" s="3" t="s">
        <v>4341</v>
      </c>
      <c r="L584" s="3" t="s">
        <v>111</v>
      </c>
      <c r="M584" s="9" t="str">
        <f>HYPERLINK("http://www.othaimmarkets.com", "www.othaimmarkets.com")</f>
        <v>www.othaimmarkets.com</v>
      </c>
      <c r="N584" s="3" t="s">
        <v>112</v>
      </c>
      <c r="O584" s="3" t="s">
        <v>42</v>
      </c>
      <c r="P584" s="3" t="s">
        <v>5041</v>
      </c>
      <c r="Q584" s="3" t="s">
        <v>42</v>
      </c>
      <c r="R584" s="17">
        <v>1</v>
      </c>
      <c r="S584" s="17">
        <v>1</v>
      </c>
      <c r="T584" s="17">
        <v>1</v>
      </c>
      <c r="U584" s="17" t="s">
        <v>42</v>
      </c>
      <c r="V584" s="17" t="s">
        <v>42</v>
      </c>
      <c r="W584" s="5" t="s">
        <v>4343</v>
      </c>
      <c r="X584" s="3" t="s">
        <v>42</v>
      </c>
      <c r="Y584" s="9" t="str">
        <f>HYPERLINK("http://linkedin.com/in/moeezabid/?originalsubdomain=pk", "http://linkedin.com/in/moeezabid/?originalsubdomain=pk")</f>
        <v>http://linkedin.com/in/moeezabid/?originalsubdomain=pk</v>
      </c>
      <c r="Z584" s="3" t="s">
        <v>55</v>
      </c>
      <c r="AA584" s="3" t="s">
        <v>4344</v>
      </c>
      <c r="AB584" s="3" t="s">
        <v>4345</v>
      </c>
      <c r="AC584" s="3" t="s">
        <v>58</v>
      </c>
      <c r="AD584" s="3" t="s">
        <v>42</v>
      </c>
      <c r="AE584" s="5" t="s">
        <v>3543</v>
      </c>
      <c r="AF584" s="3" t="s">
        <v>60</v>
      </c>
      <c r="AG584" s="5" t="s">
        <v>4346</v>
      </c>
      <c r="AH584" s="3" t="s">
        <v>61</v>
      </c>
      <c r="AI584" s="3" t="s">
        <v>61</v>
      </c>
      <c r="AJ584" s="3" t="s">
        <v>42</v>
      </c>
      <c r="AK584" s="3" t="s">
        <v>42</v>
      </c>
      <c r="AL584" s="29">
        <v>45719</v>
      </c>
      <c r="AM584" s="5" t="s">
        <v>42</v>
      </c>
      <c r="AN584" s="9" t="str">
        <f>HYPERLINK("https://my.pitchbook.com?p=339317-11P", "View People Online")</f>
        <v>View People Online</v>
      </c>
    </row>
    <row r="585" spans="1:40" x14ac:dyDescent="0.2">
      <c r="A585" s="2" t="s">
        <v>5042</v>
      </c>
      <c r="B585" s="2" t="s">
        <v>5043</v>
      </c>
      <c r="C585" s="2" t="s">
        <v>42</v>
      </c>
      <c r="D585" s="2" t="s">
        <v>42</v>
      </c>
      <c r="E585" s="2" t="s">
        <v>5042</v>
      </c>
      <c r="F585" s="2" t="s">
        <v>2504</v>
      </c>
      <c r="G585" s="2" t="s">
        <v>5044</v>
      </c>
      <c r="H585" s="2" t="s">
        <v>5045</v>
      </c>
      <c r="I585" s="2" t="s">
        <v>46</v>
      </c>
      <c r="J585" s="2" t="s">
        <v>47</v>
      </c>
      <c r="K585" s="2" t="s">
        <v>4945</v>
      </c>
      <c r="L585" s="2" t="s">
        <v>111</v>
      </c>
      <c r="M585" s="8" t="str">
        <f>HYPERLINK("http://www.sa.almajed4oud.com", "www.sa.almajed4oud.com")</f>
        <v>www.sa.almajed4oud.com</v>
      </c>
      <c r="N585" s="2" t="s">
        <v>534</v>
      </c>
      <c r="O585" s="2" t="s">
        <v>42</v>
      </c>
      <c r="P585" s="2" t="s">
        <v>5046</v>
      </c>
      <c r="Q585" s="2" t="s">
        <v>42</v>
      </c>
      <c r="R585" s="16" t="s">
        <v>42</v>
      </c>
      <c r="S585" s="16">
        <v>1</v>
      </c>
      <c r="T585" s="16">
        <v>1</v>
      </c>
      <c r="U585" s="16" t="s">
        <v>42</v>
      </c>
      <c r="V585" s="16" t="s">
        <v>42</v>
      </c>
      <c r="W585" s="4" t="s">
        <v>4948</v>
      </c>
      <c r="X585" s="2" t="s">
        <v>5047</v>
      </c>
      <c r="Y585" s="2" t="s">
        <v>42</v>
      </c>
      <c r="Z585" s="2" t="s">
        <v>55</v>
      </c>
      <c r="AA585" s="2" t="s">
        <v>1204</v>
      </c>
      <c r="AB585" s="2" t="s">
        <v>42</v>
      </c>
      <c r="AC585" s="2" t="s">
        <v>58</v>
      </c>
      <c r="AD585" s="2" t="s">
        <v>4950</v>
      </c>
      <c r="AE585" s="4" t="s">
        <v>4951</v>
      </c>
      <c r="AF585" s="2" t="s">
        <v>60</v>
      </c>
      <c r="AG585" s="4" t="s">
        <v>42</v>
      </c>
      <c r="AH585" s="2" t="s">
        <v>61</v>
      </c>
      <c r="AI585" s="2" t="s">
        <v>61</v>
      </c>
      <c r="AJ585" s="2" t="s">
        <v>42</v>
      </c>
      <c r="AK585" s="2" t="s">
        <v>42</v>
      </c>
      <c r="AL585" s="28">
        <v>45527</v>
      </c>
      <c r="AM585" s="4" t="s">
        <v>42</v>
      </c>
      <c r="AN585" s="8" t="str">
        <f>HYPERLINK("https://my.pitchbook.com?p=410017-96P", "View People Online")</f>
        <v>View People Online</v>
      </c>
    </row>
    <row r="586" spans="1:40" x14ac:dyDescent="0.2">
      <c r="A586" s="3" t="s">
        <v>5048</v>
      </c>
      <c r="B586" s="3" t="s">
        <v>5049</v>
      </c>
      <c r="C586" s="3" t="s">
        <v>42</v>
      </c>
      <c r="D586" s="3" t="s">
        <v>42</v>
      </c>
      <c r="E586" s="3" t="s">
        <v>5048</v>
      </c>
      <c r="F586" s="3" t="s">
        <v>5050</v>
      </c>
      <c r="G586" s="3" t="s">
        <v>5051</v>
      </c>
      <c r="H586" s="3" t="s">
        <v>42</v>
      </c>
      <c r="I586" s="3" t="s">
        <v>46</v>
      </c>
      <c r="J586" s="3" t="s">
        <v>47</v>
      </c>
      <c r="K586" s="3" t="s">
        <v>5052</v>
      </c>
      <c r="L586" s="3" t="s">
        <v>111</v>
      </c>
      <c r="M586" s="9" t="str">
        <f>HYPERLINK("http://www.unitedwires.com.sa", "www.unitedwires.com.sa")</f>
        <v>www.unitedwires.com.sa</v>
      </c>
      <c r="N586" s="3" t="s">
        <v>210</v>
      </c>
      <c r="O586" s="3" t="s">
        <v>42</v>
      </c>
      <c r="P586" s="3" t="s">
        <v>5053</v>
      </c>
      <c r="Q586" s="3" t="s">
        <v>42</v>
      </c>
      <c r="R586" s="17" t="s">
        <v>42</v>
      </c>
      <c r="S586" s="17">
        <v>1</v>
      </c>
      <c r="T586" s="17">
        <v>1</v>
      </c>
      <c r="U586" s="17" t="s">
        <v>42</v>
      </c>
      <c r="V586" s="17" t="s">
        <v>42</v>
      </c>
      <c r="W586" s="5" t="s">
        <v>5054</v>
      </c>
      <c r="X586" s="3" t="s">
        <v>42</v>
      </c>
      <c r="Y586" s="3" t="s">
        <v>42</v>
      </c>
      <c r="Z586" s="3" t="s">
        <v>55</v>
      </c>
      <c r="AA586" s="3" t="s">
        <v>5055</v>
      </c>
      <c r="AB586" s="3" t="s">
        <v>5056</v>
      </c>
      <c r="AC586" s="3" t="s">
        <v>58</v>
      </c>
      <c r="AD586" s="3" t="s">
        <v>42</v>
      </c>
      <c r="AE586" s="5" t="s">
        <v>4970</v>
      </c>
      <c r="AF586" s="3" t="s">
        <v>60</v>
      </c>
      <c r="AG586" s="5" t="s">
        <v>5057</v>
      </c>
      <c r="AH586" s="3" t="s">
        <v>61</v>
      </c>
      <c r="AI586" s="3" t="s">
        <v>61</v>
      </c>
      <c r="AJ586" s="3" t="s">
        <v>42</v>
      </c>
      <c r="AK586" s="3" t="s">
        <v>42</v>
      </c>
      <c r="AL586" s="29">
        <v>45532</v>
      </c>
      <c r="AM586" s="5" t="s">
        <v>42</v>
      </c>
      <c r="AN586" s="9" t="str">
        <f>HYPERLINK("https://my.pitchbook.com?p=342013-96P", "View People Online")</f>
        <v>View People Online</v>
      </c>
    </row>
    <row r="587" spans="1:40" x14ac:dyDescent="0.2">
      <c r="A587" s="2" t="s">
        <v>5058</v>
      </c>
      <c r="B587" s="2" t="s">
        <v>5059</v>
      </c>
      <c r="C587" s="2" t="s">
        <v>42</v>
      </c>
      <c r="D587" s="2" t="s">
        <v>42</v>
      </c>
      <c r="E587" s="2" t="s">
        <v>5058</v>
      </c>
      <c r="F587" s="2" t="s">
        <v>5060</v>
      </c>
      <c r="G587" s="2" t="s">
        <v>310</v>
      </c>
      <c r="H587" s="2" t="s">
        <v>5061</v>
      </c>
      <c r="I587" s="2" t="s">
        <v>46</v>
      </c>
      <c r="J587" s="2" t="s">
        <v>47</v>
      </c>
      <c r="K587" s="2" t="s">
        <v>5062</v>
      </c>
      <c r="L587" s="2" t="s">
        <v>111</v>
      </c>
      <c r="M587" s="8" t="str">
        <f>HYPERLINK("http://www.the1stavenue.com.sa", "www.the1stavenue.com.sa")</f>
        <v>www.the1stavenue.com.sa</v>
      </c>
      <c r="N587" s="2" t="s">
        <v>210</v>
      </c>
      <c r="O587" s="2" t="s">
        <v>42</v>
      </c>
      <c r="P587" s="2" t="s">
        <v>5063</v>
      </c>
      <c r="Q587" s="2" t="s">
        <v>42</v>
      </c>
      <c r="R587" s="16" t="s">
        <v>42</v>
      </c>
      <c r="S587" s="16">
        <v>1</v>
      </c>
      <c r="T587" s="16">
        <v>1</v>
      </c>
      <c r="U587" s="16" t="s">
        <v>42</v>
      </c>
      <c r="V587" s="16" t="s">
        <v>42</v>
      </c>
      <c r="W587" s="4" t="s">
        <v>5064</v>
      </c>
      <c r="X587" s="2" t="s">
        <v>42</v>
      </c>
      <c r="Y587" s="2" t="s">
        <v>42</v>
      </c>
      <c r="Z587" s="2" t="s">
        <v>55</v>
      </c>
      <c r="AA587" s="2" t="s">
        <v>5065</v>
      </c>
      <c r="AB587" s="2" t="s">
        <v>5066</v>
      </c>
      <c r="AC587" s="2" t="s">
        <v>58</v>
      </c>
      <c r="AD587" s="2" t="s">
        <v>42</v>
      </c>
      <c r="AE587" s="4" t="s">
        <v>3002</v>
      </c>
      <c r="AF587" s="2" t="s">
        <v>60</v>
      </c>
      <c r="AG587" s="4" t="s">
        <v>42</v>
      </c>
      <c r="AH587" s="2" t="s">
        <v>61</v>
      </c>
      <c r="AI587" s="2" t="s">
        <v>61</v>
      </c>
      <c r="AJ587" s="2" t="s">
        <v>42</v>
      </c>
      <c r="AK587" s="2" t="s">
        <v>42</v>
      </c>
      <c r="AL587" s="28">
        <v>45527</v>
      </c>
      <c r="AM587" s="4" t="s">
        <v>42</v>
      </c>
      <c r="AN587" s="8" t="str">
        <f>HYPERLINK("https://my.pitchbook.com?p=410029-84P", "View People Online")</f>
        <v>View People Online</v>
      </c>
    </row>
    <row r="588" spans="1:40" x14ac:dyDescent="0.2">
      <c r="A588" s="3" t="s">
        <v>5067</v>
      </c>
      <c r="B588" s="3" t="s">
        <v>5068</v>
      </c>
      <c r="C588" s="3" t="s">
        <v>42</v>
      </c>
      <c r="D588" s="3" t="s">
        <v>42</v>
      </c>
      <c r="E588" s="3" t="s">
        <v>5067</v>
      </c>
      <c r="F588" s="3" t="s">
        <v>5069</v>
      </c>
      <c r="G588" s="3" t="s">
        <v>5070</v>
      </c>
      <c r="H588" s="3" t="s">
        <v>5071</v>
      </c>
      <c r="I588" s="3" t="s">
        <v>46</v>
      </c>
      <c r="J588" s="3" t="s">
        <v>47</v>
      </c>
      <c r="K588" s="3" t="s">
        <v>581</v>
      </c>
      <c r="L588" s="3" t="s">
        <v>481</v>
      </c>
      <c r="M588" s="9" t="str">
        <f>HYPERLINK("http://www.riyadbank.com", "www.riyadbank.com")</f>
        <v>www.riyadbank.com</v>
      </c>
      <c r="N588" s="3" t="s">
        <v>210</v>
      </c>
      <c r="O588" s="3" t="s">
        <v>42</v>
      </c>
      <c r="P588" s="3" t="s">
        <v>5072</v>
      </c>
      <c r="Q588" s="3" t="s">
        <v>5073</v>
      </c>
      <c r="R588" s="17" t="s">
        <v>42</v>
      </c>
      <c r="S588" s="17">
        <v>1</v>
      </c>
      <c r="T588" s="17">
        <v>1</v>
      </c>
      <c r="U588" s="17" t="s">
        <v>42</v>
      </c>
      <c r="V588" s="17" t="s">
        <v>42</v>
      </c>
      <c r="W588" s="5" t="s">
        <v>1613</v>
      </c>
      <c r="X588" s="3" t="s">
        <v>5074</v>
      </c>
      <c r="Y588" s="9" t="str">
        <f>HYPERLINK("http://sa.linkedin.com/in/nadir-al-koraya-b3504511a", "http://sa.linkedin.com/in/nadir-al-koraya-b3504511a")</f>
        <v>http://sa.linkedin.com/in/nadir-al-koraya-b3504511a</v>
      </c>
      <c r="Z588" s="3" t="s">
        <v>55</v>
      </c>
      <c r="AA588" s="3" t="s">
        <v>586</v>
      </c>
      <c r="AB588" s="3" t="s">
        <v>42</v>
      </c>
      <c r="AC588" s="3" t="s">
        <v>58</v>
      </c>
      <c r="AD588" s="3" t="s">
        <v>42</v>
      </c>
      <c r="AE588" s="5" t="s">
        <v>279</v>
      </c>
      <c r="AF588" s="3" t="s">
        <v>60</v>
      </c>
      <c r="AG588" s="5" t="s">
        <v>42</v>
      </c>
      <c r="AH588" s="3" t="s">
        <v>61</v>
      </c>
      <c r="AI588" s="3" t="s">
        <v>61</v>
      </c>
      <c r="AJ588" s="3" t="s">
        <v>42</v>
      </c>
      <c r="AK588" s="3" t="s">
        <v>42</v>
      </c>
      <c r="AL588" s="29">
        <v>45964</v>
      </c>
      <c r="AM588" s="5" t="s">
        <v>42</v>
      </c>
      <c r="AN588" s="9" t="str">
        <f>HYPERLINK("https://my.pitchbook.com?p=385679-08P", "View People Online")</f>
        <v>View People Online</v>
      </c>
    </row>
    <row r="589" spans="1:40" x14ac:dyDescent="0.2">
      <c r="A589" s="2" t="s">
        <v>5075</v>
      </c>
      <c r="B589" s="2" t="s">
        <v>5076</v>
      </c>
      <c r="C589" s="2" t="s">
        <v>42</v>
      </c>
      <c r="D589" s="2" t="s">
        <v>42</v>
      </c>
      <c r="E589" s="2" t="s">
        <v>5075</v>
      </c>
      <c r="F589" s="2" t="s">
        <v>5077</v>
      </c>
      <c r="G589" s="2" t="s">
        <v>4882</v>
      </c>
      <c r="H589" s="2" t="s">
        <v>42</v>
      </c>
      <c r="I589" s="2" t="s">
        <v>46</v>
      </c>
      <c r="J589" s="2" t="s">
        <v>47</v>
      </c>
      <c r="K589" s="2" t="s">
        <v>3993</v>
      </c>
      <c r="L589" s="2" t="s">
        <v>111</v>
      </c>
      <c r="M589" s="8" t="str">
        <f>HYPERLINK("http://www.alaseel.com", "www.alaseel.com")</f>
        <v>www.alaseel.com</v>
      </c>
      <c r="N589" s="2" t="s">
        <v>534</v>
      </c>
      <c r="O589" s="2" t="s">
        <v>42</v>
      </c>
      <c r="P589" s="2" t="s">
        <v>5078</v>
      </c>
      <c r="Q589" s="2" t="s">
        <v>42</v>
      </c>
      <c r="R589" s="16" t="s">
        <v>42</v>
      </c>
      <c r="S589" s="16">
        <v>1</v>
      </c>
      <c r="T589" s="16">
        <v>1</v>
      </c>
      <c r="U589" s="16" t="s">
        <v>42</v>
      </c>
      <c r="V589" s="16" t="s">
        <v>42</v>
      </c>
      <c r="W589" s="4" t="s">
        <v>3995</v>
      </c>
      <c r="X589" s="2" t="s">
        <v>5079</v>
      </c>
      <c r="Y589" s="2" t="s">
        <v>42</v>
      </c>
      <c r="Z589" s="2" t="s">
        <v>55</v>
      </c>
      <c r="AA589" s="2" t="s">
        <v>3997</v>
      </c>
      <c r="AB589" s="2" t="s">
        <v>42</v>
      </c>
      <c r="AC589" s="2" t="s">
        <v>58</v>
      </c>
      <c r="AD589" s="2" t="s">
        <v>42</v>
      </c>
      <c r="AE589" s="4" t="s">
        <v>1365</v>
      </c>
      <c r="AF589" s="2" t="s">
        <v>60</v>
      </c>
      <c r="AG589" s="4" t="s">
        <v>3998</v>
      </c>
      <c r="AH589" s="2" t="s">
        <v>61</v>
      </c>
      <c r="AI589" s="2" t="s">
        <v>61</v>
      </c>
      <c r="AJ589" s="2" t="s">
        <v>42</v>
      </c>
      <c r="AK589" s="2" t="s">
        <v>42</v>
      </c>
      <c r="AL589" s="28">
        <v>45679</v>
      </c>
      <c r="AM589" s="4" t="s">
        <v>42</v>
      </c>
      <c r="AN589" s="8" t="str">
        <f>HYPERLINK("https://my.pitchbook.com?p=328634-11P", "View People Online")</f>
        <v>View People Online</v>
      </c>
    </row>
    <row r="590" spans="1:40" x14ac:dyDescent="0.2">
      <c r="A590" s="3" t="s">
        <v>5080</v>
      </c>
      <c r="B590" s="3" t="s">
        <v>5081</v>
      </c>
      <c r="C590" s="3" t="s">
        <v>42</v>
      </c>
      <c r="D590" s="3" t="s">
        <v>42</v>
      </c>
      <c r="E590" s="3" t="s">
        <v>5080</v>
      </c>
      <c r="F590" s="3" t="s">
        <v>5082</v>
      </c>
      <c r="G590" s="3" t="s">
        <v>5083</v>
      </c>
      <c r="H590" s="3" t="s">
        <v>5084</v>
      </c>
      <c r="I590" s="3" t="s">
        <v>46</v>
      </c>
      <c r="J590" s="3" t="s">
        <v>47</v>
      </c>
      <c r="K590" s="3" t="s">
        <v>5085</v>
      </c>
      <c r="L590" s="3" t="s">
        <v>111</v>
      </c>
      <c r="M590" s="9" t="str">
        <f>HYPERLINK("http://www.feshfashfood.com", "www.feshfashfood.com")</f>
        <v>www.feshfashfood.com</v>
      </c>
      <c r="N590" s="3" t="s">
        <v>447</v>
      </c>
      <c r="O590" s="3" t="s">
        <v>42</v>
      </c>
      <c r="P590" s="3" t="s">
        <v>5086</v>
      </c>
      <c r="Q590" s="3" t="s">
        <v>42</v>
      </c>
      <c r="R590" s="17" t="s">
        <v>42</v>
      </c>
      <c r="S590" s="17">
        <v>1</v>
      </c>
      <c r="T590" s="17">
        <v>1</v>
      </c>
      <c r="U590" s="17" t="s">
        <v>42</v>
      </c>
      <c r="V590" s="17" t="s">
        <v>42</v>
      </c>
      <c r="W590" s="5" t="s">
        <v>5087</v>
      </c>
      <c r="X590" s="3" t="s">
        <v>5088</v>
      </c>
      <c r="Y590" s="3" t="s">
        <v>42</v>
      </c>
      <c r="Z590" s="3" t="s">
        <v>55</v>
      </c>
      <c r="AA590" s="3" t="s">
        <v>5089</v>
      </c>
      <c r="AB590" s="3" t="s">
        <v>42</v>
      </c>
      <c r="AC590" s="3" t="s">
        <v>58</v>
      </c>
      <c r="AD590" s="3" t="s">
        <v>42</v>
      </c>
      <c r="AE590" s="5" t="s">
        <v>5090</v>
      </c>
      <c r="AF590" s="3" t="s">
        <v>60</v>
      </c>
      <c r="AG590" s="5" t="s">
        <v>5091</v>
      </c>
      <c r="AH590" s="3" t="s">
        <v>61</v>
      </c>
      <c r="AI590" s="3" t="s">
        <v>61</v>
      </c>
      <c r="AJ590" s="3" t="s">
        <v>42</v>
      </c>
      <c r="AK590" s="3" t="s">
        <v>42</v>
      </c>
      <c r="AL590" s="29">
        <v>45671</v>
      </c>
      <c r="AM590" s="5" t="s">
        <v>42</v>
      </c>
      <c r="AN590" s="9" t="str">
        <f>HYPERLINK("https://my.pitchbook.com?p=326242-27P", "View People Online")</f>
        <v>View People Online</v>
      </c>
    </row>
    <row r="591" spans="1:40" x14ac:dyDescent="0.2">
      <c r="A591" s="2" t="s">
        <v>5092</v>
      </c>
      <c r="B591" s="2" t="s">
        <v>5093</v>
      </c>
      <c r="C591" s="2" t="s">
        <v>42</v>
      </c>
      <c r="D591" s="2" t="s">
        <v>42</v>
      </c>
      <c r="E591" s="2" t="s">
        <v>5092</v>
      </c>
      <c r="F591" s="2" t="s">
        <v>1742</v>
      </c>
      <c r="G591" s="2" t="s">
        <v>5094</v>
      </c>
      <c r="H591" s="2" t="s">
        <v>42</v>
      </c>
      <c r="I591" s="2" t="s">
        <v>46</v>
      </c>
      <c r="J591" s="2" t="s">
        <v>47</v>
      </c>
      <c r="K591" s="2" t="s">
        <v>3486</v>
      </c>
      <c r="L591" s="2" t="s">
        <v>1316</v>
      </c>
      <c r="M591" s="8" t="str">
        <f>HYPERLINK("http://www.chubb.com.sa", "www.chubb.com.sa")</f>
        <v>www.chubb.com.sa</v>
      </c>
      <c r="N591" s="2" t="s">
        <v>534</v>
      </c>
      <c r="O591" s="2" t="s">
        <v>42</v>
      </c>
      <c r="P591" s="2" t="s">
        <v>5095</v>
      </c>
      <c r="Q591" s="2" t="s">
        <v>42</v>
      </c>
      <c r="R591" s="16" t="s">
        <v>42</v>
      </c>
      <c r="S591" s="16">
        <v>1</v>
      </c>
      <c r="T591" s="16">
        <v>1</v>
      </c>
      <c r="U591" s="16" t="s">
        <v>42</v>
      </c>
      <c r="V591" s="16" t="s">
        <v>42</v>
      </c>
      <c r="W591" s="4" t="s">
        <v>3488</v>
      </c>
      <c r="X591" s="2" t="s">
        <v>5096</v>
      </c>
      <c r="Y591" s="8" t="str">
        <f>HYPERLINK("http://linkedin.com/in/nasir-sheikh-a20b08105/", "http://linkedin.com/in/nasir-sheikh-a20b08105/")</f>
        <v>http://linkedin.com/in/nasir-sheikh-a20b08105/</v>
      </c>
      <c r="Z591" s="2" t="s">
        <v>595</v>
      </c>
      <c r="AA591" s="2" t="s">
        <v>3490</v>
      </c>
      <c r="AB591" s="2" t="s">
        <v>3491</v>
      </c>
      <c r="AC591" s="2" t="s">
        <v>598</v>
      </c>
      <c r="AD591" s="2" t="s">
        <v>42</v>
      </c>
      <c r="AE591" s="4" t="s">
        <v>599</v>
      </c>
      <c r="AF591" s="2" t="s">
        <v>60</v>
      </c>
      <c r="AG591" s="4" t="s">
        <v>3492</v>
      </c>
      <c r="AH591" s="2" t="s">
        <v>61</v>
      </c>
      <c r="AI591" s="2" t="s">
        <v>61</v>
      </c>
      <c r="AJ591" s="2" t="s">
        <v>42</v>
      </c>
      <c r="AK591" s="2" t="s">
        <v>42</v>
      </c>
      <c r="AL591" s="28">
        <v>45838</v>
      </c>
      <c r="AM591" s="4">
        <v>1970</v>
      </c>
      <c r="AN591" s="8" t="str">
        <f>HYPERLINK("https://my.pitchbook.com?p=339332-41P", "View People Online")</f>
        <v>View People Online</v>
      </c>
    </row>
    <row r="592" spans="1:40" x14ac:dyDescent="0.2">
      <c r="A592" s="3" t="s">
        <v>5097</v>
      </c>
      <c r="B592" s="3" t="s">
        <v>5098</v>
      </c>
      <c r="C592" s="3" t="s">
        <v>42</v>
      </c>
      <c r="D592" s="3" t="s">
        <v>42</v>
      </c>
      <c r="E592" s="3" t="s">
        <v>5097</v>
      </c>
      <c r="F592" s="3" t="s">
        <v>5099</v>
      </c>
      <c r="G592" s="3" t="s">
        <v>5100</v>
      </c>
      <c r="H592" s="3" t="s">
        <v>5101</v>
      </c>
      <c r="I592" s="3" t="s">
        <v>46</v>
      </c>
      <c r="J592" s="3" t="s">
        <v>47</v>
      </c>
      <c r="K592" s="3" t="s">
        <v>5102</v>
      </c>
      <c r="L592" s="3" t="s">
        <v>111</v>
      </c>
      <c r="M592" s="9" t="str">
        <f>HYPERLINK("http://www.saudienaya.com", "www.saudienaya.com")</f>
        <v>www.saudienaya.com</v>
      </c>
      <c r="N592" s="3" t="s">
        <v>5103</v>
      </c>
      <c r="O592" s="3" t="s">
        <v>42</v>
      </c>
      <c r="P592" s="3" t="s">
        <v>5104</v>
      </c>
      <c r="Q592" s="3" t="s">
        <v>42</v>
      </c>
      <c r="R592" s="17" t="s">
        <v>42</v>
      </c>
      <c r="S592" s="17">
        <v>1</v>
      </c>
      <c r="T592" s="17">
        <v>1</v>
      </c>
      <c r="U592" s="17" t="s">
        <v>42</v>
      </c>
      <c r="V592" s="17" t="s">
        <v>42</v>
      </c>
      <c r="W592" s="5" t="s">
        <v>5105</v>
      </c>
      <c r="X592" s="3" t="s">
        <v>5106</v>
      </c>
      <c r="Y592" s="3" t="s">
        <v>42</v>
      </c>
      <c r="Z592" s="3" t="s">
        <v>174</v>
      </c>
      <c r="AA592" s="3" t="s">
        <v>5107</v>
      </c>
      <c r="AB592" s="3" t="s">
        <v>5108</v>
      </c>
      <c r="AC592" s="3" t="s">
        <v>176</v>
      </c>
      <c r="AD592" s="3" t="s">
        <v>42</v>
      </c>
      <c r="AE592" s="5" t="s">
        <v>5109</v>
      </c>
      <c r="AF592" s="3" t="s">
        <v>60</v>
      </c>
      <c r="AG592" s="5" t="s">
        <v>42</v>
      </c>
      <c r="AH592" s="3" t="s">
        <v>61</v>
      </c>
      <c r="AI592" s="3" t="s">
        <v>61</v>
      </c>
      <c r="AJ592" s="3" t="s">
        <v>42</v>
      </c>
      <c r="AK592" s="3" t="s">
        <v>42</v>
      </c>
      <c r="AL592" s="29">
        <v>45996</v>
      </c>
      <c r="AM592" s="5" t="s">
        <v>42</v>
      </c>
      <c r="AN592" s="9" t="str">
        <f>HYPERLINK("https://my.pitchbook.com?p=435871-81P", "View People Online")</f>
        <v>View People Online</v>
      </c>
    </row>
    <row r="593" spans="1:40" x14ac:dyDescent="0.2">
      <c r="A593" s="2" t="s">
        <v>5110</v>
      </c>
      <c r="B593" s="2" t="s">
        <v>5111</v>
      </c>
      <c r="C593" s="2" t="s">
        <v>42</v>
      </c>
      <c r="D593" s="2" t="s">
        <v>42</v>
      </c>
      <c r="E593" s="2" t="s">
        <v>5110</v>
      </c>
      <c r="F593" s="2" t="s">
        <v>5112</v>
      </c>
      <c r="G593" s="2" t="s">
        <v>107</v>
      </c>
      <c r="H593" s="2" t="s">
        <v>3359</v>
      </c>
      <c r="I593" s="2" t="s">
        <v>46</v>
      </c>
      <c r="J593" s="2" t="s">
        <v>47</v>
      </c>
      <c r="K593" s="2" t="s">
        <v>1359</v>
      </c>
      <c r="L593" s="2" t="s">
        <v>481</v>
      </c>
      <c r="M593" s="8" t="str">
        <f>HYPERLINK("http://www.bankalbilad.com", "www.bankalbilad.com")</f>
        <v>www.bankalbilad.com</v>
      </c>
      <c r="N593" s="2" t="s">
        <v>246</v>
      </c>
      <c r="O593" s="2" t="s">
        <v>42</v>
      </c>
      <c r="P593" s="2" t="s">
        <v>5113</v>
      </c>
      <c r="Q593" s="2" t="s">
        <v>42</v>
      </c>
      <c r="R593" s="16">
        <v>1</v>
      </c>
      <c r="S593" s="16">
        <v>1</v>
      </c>
      <c r="T593" s="16">
        <v>1</v>
      </c>
      <c r="U593" s="16" t="s">
        <v>42</v>
      </c>
      <c r="V593" s="16" t="s">
        <v>42</v>
      </c>
      <c r="W593" s="4" t="s">
        <v>1361</v>
      </c>
      <c r="X593" s="2" t="s">
        <v>5114</v>
      </c>
      <c r="Y593" s="2" t="s">
        <v>42</v>
      </c>
      <c r="Z593" s="2" t="s">
        <v>55</v>
      </c>
      <c r="AA593" s="2" t="s">
        <v>1363</v>
      </c>
      <c r="AB593" s="2" t="s">
        <v>1364</v>
      </c>
      <c r="AC593" s="2" t="s">
        <v>58</v>
      </c>
      <c r="AD593" s="2" t="s">
        <v>42</v>
      </c>
      <c r="AE593" s="4" t="s">
        <v>1365</v>
      </c>
      <c r="AF593" s="2" t="s">
        <v>60</v>
      </c>
      <c r="AG593" s="4" t="s">
        <v>1366</v>
      </c>
      <c r="AH593" s="2" t="s">
        <v>61</v>
      </c>
      <c r="AI593" s="2" t="s">
        <v>61</v>
      </c>
      <c r="AJ593" s="2" t="s">
        <v>42</v>
      </c>
      <c r="AK593" s="2" t="s">
        <v>42</v>
      </c>
      <c r="AL593" s="28">
        <v>46057</v>
      </c>
      <c r="AM593" s="4" t="s">
        <v>42</v>
      </c>
      <c r="AN593" s="8" t="str">
        <f>HYPERLINK("https://my.pitchbook.com?p=252961-39P", "View People Online")</f>
        <v>View People Online</v>
      </c>
    </row>
    <row r="594" spans="1:40" x14ac:dyDescent="0.2">
      <c r="A594" s="3" t="s">
        <v>5115</v>
      </c>
      <c r="B594" s="3" t="s">
        <v>5116</v>
      </c>
      <c r="C594" s="3" t="s">
        <v>42</v>
      </c>
      <c r="D594" s="3" t="s">
        <v>42</v>
      </c>
      <c r="E594" s="3" t="s">
        <v>5115</v>
      </c>
      <c r="F594" s="3" t="s">
        <v>5117</v>
      </c>
      <c r="G594" s="3" t="s">
        <v>107</v>
      </c>
      <c r="H594" s="3" t="s">
        <v>1014</v>
      </c>
      <c r="I594" s="3" t="s">
        <v>46</v>
      </c>
      <c r="J594" s="3" t="s">
        <v>47</v>
      </c>
      <c r="K594" s="3" t="s">
        <v>1499</v>
      </c>
      <c r="L594" s="3" t="s">
        <v>111</v>
      </c>
      <c r="M594" s="9" t="str">
        <f>HYPERLINK("http://www.jarir.com", "www.jarir.com")</f>
        <v>www.jarir.com</v>
      </c>
      <c r="N594" s="3" t="s">
        <v>5118</v>
      </c>
      <c r="O594" s="3" t="s">
        <v>42</v>
      </c>
      <c r="P594" s="3" t="s">
        <v>5119</v>
      </c>
      <c r="Q594" s="3" t="s">
        <v>42</v>
      </c>
      <c r="R594" s="17">
        <v>1</v>
      </c>
      <c r="S594" s="17">
        <v>1</v>
      </c>
      <c r="T594" s="17">
        <v>1</v>
      </c>
      <c r="U594" s="17" t="s">
        <v>42</v>
      </c>
      <c r="V594" s="17" t="s">
        <v>42</v>
      </c>
      <c r="W594" s="5" t="s">
        <v>1502</v>
      </c>
      <c r="X594" s="3" t="s">
        <v>5120</v>
      </c>
      <c r="Y594" s="9" t="str">
        <f>HYPERLINK("http://linkedin.com/in/nasseralagil/?originalsubdomain=sa", "http://linkedin.com/in/nasseralagil/?originalsubdomain=sa")</f>
        <v>http://linkedin.com/in/nasseralagil/?originalsubdomain=sa</v>
      </c>
      <c r="Z594" s="3" t="s">
        <v>55</v>
      </c>
      <c r="AA594" s="3" t="s">
        <v>1504</v>
      </c>
      <c r="AB594" s="3" t="s">
        <v>42</v>
      </c>
      <c r="AC594" s="3" t="s">
        <v>58</v>
      </c>
      <c r="AD594" s="3" t="s">
        <v>42</v>
      </c>
      <c r="AE594" s="5" t="s">
        <v>1505</v>
      </c>
      <c r="AF594" s="3" t="s">
        <v>60</v>
      </c>
      <c r="AG594" s="5" t="s">
        <v>1506</v>
      </c>
      <c r="AH594" s="3" t="s">
        <v>61</v>
      </c>
      <c r="AI594" s="3" t="s">
        <v>61</v>
      </c>
      <c r="AJ594" s="3" t="s">
        <v>42</v>
      </c>
      <c r="AK594" s="3" t="s">
        <v>42</v>
      </c>
      <c r="AL594" s="29">
        <v>45838</v>
      </c>
      <c r="AM594" s="5">
        <v>1990</v>
      </c>
      <c r="AN594" s="9" t="str">
        <f>HYPERLINK("https://my.pitchbook.com?p=340449-76P", "View People Online")</f>
        <v>View People Online</v>
      </c>
    </row>
    <row r="595" spans="1:40" x14ac:dyDescent="0.2">
      <c r="A595" s="2" t="s">
        <v>5121</v>
      </c>
      <c r="B595" s="2" t="s">
        <v>5122</v>
      </c>
      <c r="C595" s="2" t="s">
        <v>42</v>
      </c>
      <c r="D595" s="2" t="s">
        <v>42</v>
      </c>
      <c r="E595" s="2" t="s">
        <v>5121</v>
      </c>
      <c r="F595" s="2" t="s">
        <v>4867</v>
      </c>
      <c r="G595" s="2" t="s">
        <v>5123</v>
      </c>
      <c r="H595" s="2" t="s">
        <v>5124</v>
      </c>
      <c r="I595" s="2" t="s">
        <v>46</v>
      </c>
      <c r="J595" s="2" t="s">
        <v>47</v>
      </c>
      <c r="K595" s="2" t="s">
        <v>4869</v>
      </c>
      <c r="L595" s="2" t="s">
        <v>111</v>
      </c>
      <c r="M595" s="8" t="str">
        <f>HYPERLINK("http://www.mouwasat.com", "www.mouwasat.com")</f>
        <v>www.mouwasat.com</v>
      </c>
      <c r="N595" s="2" t="s">
        <v>112</v>
      </c>
      <c r="O595" s="2" t="s">
        <v>42</v>
      </c>
      <c r="P595" s="2" t="s">
        <v>5125</v>
      </c>
      <c r="Q595" s="2" t="s">
        <v>42</v>
      </c>
      <c r="R595" s="16">
        <v>1</v>
      </c>
      <c r="S595" s="16">
        <v>1</v>
      </c>
      <c r="T595" s="16">
        <v>1</v>
      </c>
      <c r="U595" s="16" t="s">
        <v>42</v>
      </c>
      <c r="V595" s="16" t="s">
        <v>42</v>
      </c>
      <c r="W595" s="4" t="s">
        <v>4871</v>
      </c>
      <c r="X595" s="2" t="s">
        <v>42</v>
      </c>
      <c r="Y595" s="2" t="s">
        <v>42</v>
      </c>
      <c r="Z595" s="2" t="s">
        <v>383</v>
      </c>
      <c r="AA595" s="2" t="s">
        <v>4872</v>
      </c>
      <c r="AB595" s="2" t="s">
        <v>4873</v>
      </c>
      <c r="AC595" s="2" t="s">
        <v>385</v>
      </c>
      <c r="AD595" s="2" t="s">
        <v>42</v>
      </c>
      <c r="AE595" s="4" t="s">
        <v>1691</v>
      </c>
      <c r="AF595" s="2" t="s">
        <v>60</v>
      </c>
      <c r="AG595" s="4" t="s">
        <v>4874</v>
      </c>
      <c r="AH595" s="2" t="s">
        <v>61</v>
      </c>
      <c r="AI595" s="2" t="s">
        <v>61</v>
      </c>
      <c r="AJ595" s="2" t="s">
        <v>42</v>
      </c>
      <c r="AK595" s="2" t="s">
        <v>42</v>
      </c>
      <c r="AL595" s="28">
        <v>45868</v>
      </c>
      <c r="AM595" s="4" t="s">
        <v>42</v>
      </c>
      <c r="AN595" s="8" t="str">
        <f>HYPERLINK("https://my.pitchbook.com?p=145289-71P", "View People Online")</f>
        <v>View People Online</v>
      </c>
    </row>
    <row r="596" spans="1:40" x14ac:dyDescent="0.2">
      <c r="A596" s="3" t="s">
        <v>5126</v>
      </c>
      <c r="B596" s="3" t="s">
        <v>5127</v>
      </c>
      <c r="C596" s="3" t="s">
        <v>42</v>
      </c>
      <c r="D596" s="3" t="s">
        <v>42</v>
      </c>
      <c r="E596" s="3" t="s">
        <v>5126</v>
      </c>
      <c r="F596" s="3" t="s">
        <v>5128</v>
      </c>
      <c r="G596" s="3" t="s">
        <v>5129</v>
      </c>
      <c r="H596" s="3" t="s">
        <v>66</v>
      </c>
      <c r="I596" s="3" t="s">
        <v>46</v>
      </c>
      <c r="J596" s="3" t="s">
        <v>47</v>
      </c>
      <c r="K596" s="3" t="s">
        <v>1886</v>
      </c>
      <c r="L596" s="3" t="s">
        <v>111</v>
      </c>
      <c r="M596" s="9" t="str">
        <f>HYPERLINK("http://www.nams.sa", "www.nams.sa")</f>
        <v>www.nams.sa</v>
      </c>
      <c r="N596" s="3" t="s">
        <v>210</v>
      </c>
      <c r="O596" s="3" t="s">
        <v>42</v>
      </c>
      <c r="P596" s="3" t="s">
        <v>5130</v>
      </c>
      <c r="Q596" s="3" t="s">
        <v>42</v>
      </c>
      <c r="R596" s="17" t="s">
        <v>42</v>
      </c>
      <c r="S596" s="17">
        <v>1</v>
      </c>
      <c r="T596" s="17">
        <v>1</v>
      </c>
      <c r="U596" s="17" t="s">
        <v>42</v>
      </c>
      <c r="V596" s="17" t="s">
        <v>42</v>
      </c>
      <c r="W596" s="5" t="s">
        <v>1888</v>
      </c>
      <c r="X596" s="3" t="s">
        <v>42</v>
      </c>
      <c r="Y596" s="3" t="s">
        <v>42</v>
      </c>
      <c r="Z596" s="3" t="s">
        <v>782</v>
      </c>
      <c r="AA596" s="3" t="s">
        <v>1889</v>
      </c>
      <c r="AB596" s="3" t="s">
        <v>1890</v>
      </c>
      <c r="AC596" s="3" t="s">
        <v>785</v>
      </c>
      <c r="AD596" s="3" t="s">
        <v>42</v>
      </c>
      <c r="AE596" s="5" t="s">
        <v>1891</v>
      </c>
      <c r="AF596" s="3" t="s">
        <v>60</v>
      </c>
      <c r="AG596" s="5" t="s">
        <v>42</v>
      </c>
      <c r="AH596" s="3" t="s">
        <v>61</v>
      </c>
      <c r="AI596" s="3" t="s">
        <v>61</v>
      </c>
      <c r="AJ596" s="3" t="s">
        <v>42</v>
      </c>
      <c r="AK596" s="3" t="s">
        <v>42</v>
      </c>
      <c r="AL596" s="29">
        <v>45637</v>
      </c>
      <c r="AM596" s="5" t="s">
        <v>42</v>
      </c>
      <c r="AN596" s="9" t="str">
        <f>HYPERLINK("https://my.pitchbook.com?p=316146-61P", "View People Online")</f>
        <v>View People Online</v>
      </c>
    </row>
    <row r="597" spans="1:40" x14ac:dyDescent="0.2">
      <c r="A597" s="2" t="s">
        <v>5131</v>
      </c>
      <c r="B597" s="2" t="s">
        <v>5132</v>
      </c>
      <c r="C597" s="2" t="s">
        <v>42</v>
      </c>
      <c r="D597" s="2" t="s">
        <v>42</v>
      </c>
      <c r="E597" s="2" t="s">
        <v>5131</v>
      </c>
      <c r="F597" s="2" t="s">
        <v>5133</v>
      </c>
      <c r="G597" s="2" t="s">
        <v>5134</v>
      </c>
      <c r="H597" s="2" t="s">
        <v>42</v>
      </c>
      <c r="I597" s="2" t="s">
        <v>46</v>
      </c>
      <c r="J597" s="2" t="s">
        <v>47</v>
      </c>
      <c r="K597" s="2" t="s">
        <v>3956</v>
      </c>
      <c r="L597" s="2" t="s">
        <v>111</v>
      </c>
      <c r="M597" s="8" t="str">
        <f>HYPERLINK("http://www.pangulfmarketing.com", "www.pangulfmarketing.com")</f>
        <v>www.pangulfmarketing.com</v>
      </c>
      <c r="N597" s="2" t="s">
        <v>5135</v>
      </c>
      <c r="O597" s="2" t="s">
        <v>42</v>
      </c>
      <c r="P597" s="2" t="s">
        <v>5136</v>
      </c>
      <c r="Q597" s="2" t="s">
        <v>42</v>
      </c>
      <c r="R597" s="16" t="s">
        <v>42</v>
      </c>
      <c r="S597" s="16">
        <v>1</v>
      </c>
      <c r="T597" s="16">
        <v>1</v>
      </c>
      <c r="U597" s="16" t="s">
        <v>42</v>
      </c>
      <c r="V597" s="16" t="s">
        <v>42</v>
      </c>
      <c r="W597" s="4" t="s">
        <v>3958</v>
      </c>
      <c r="X597" s="2" t="s">
        <v>42</v>
      </c>
      <c r="Y597" s="2" t="s">
        <v>42</v>
      </c>
      <c r="Z597" s="2" t="s">
        <v>55</v>
      </c>
      <c r="AA597" s="2" t="s">
        <v>3960</v>
      </c>
      <c r="AB597" s="2" t="s">
        <v>42</v>
      </c>
      <c r="AC597" s="2" t="s">
        <v>58</v>
      </c>
      <c r="AD597" s="2" t="s">
        <v>42</v>
      </c>
      <c r="AE597" s="4" t="s">
        <v>42</v>
      </c>
      <c r="AF597" s="2" t="s">
        <v>60</v>
      </c>
      <c r="AG597" s="4" t="s">
        <v>3961</v>
      </c>
      <c r="AH597" s="2" t="s">
        <v>61</v>
      </c>
      <c r="AI597" s="2" t="s">
        <v>61</v>
      </c>
      <c r="AJ597" s="2" t="s">
        <v>42</v>
      </c>
      <c r="AK597" s="2" t="s">
        <v>42</v>
      </c>
      <c r="AL597" s="28">
        <v>45945</v>
      </c>
      <c r="AM597" s="4" t="s">
        <v>42</v>
      </c>
      <c r="AN597" s="8" t="str">
        <f>HYPERLINK("https://my.pitchbook.com?p=377464-42P", "View People Online")</f>
        <v>View People Online</v>
      </c>
    </row>
    <row r="598" spans="1:40" x14ac:dyDescent="0.2">
      <c r="A598" s="3" t="s">
        <v>5137</v>
      </c>
      <c r="B598" s="3" t="s">
        <v>5138</v>
      </c>
      <c r="C598" s="3" t="s">
        <v>42</v>
      </c>
      <c r="D598" s="3" t="s">
        <v>42</v>
      </c>
      <c r="E598" s="3" t="s">
        <v>5137</v>
      </c>
      <c r="F598" s="3" t="s">
        <v>2246</v>
      </c>
      <c r="G598" s="3" t="s">
        <v>5139</v>
      </c>
      <c r="H598" s="3" t="s">
        <v>5140</v>
      </c>
      <c r="I598" s="3" t="s">
        <v>46</v>
      </c>
      <c r="J598" s="3" t="s">
        <v>47</v>
      </c>
      <c r="K598" s="3" t="s">
        <v>3457</v>
      </c>
      <c r="L598" s="3" t="s">
        <v>111</v>
      </c>
      <c r="M598" s="9" t="str">
        <f>HYPERLINK("http://www.aljazirabank.com.sa", "www.aljazirabank.com.sa")</f>
        <v>www.aljazirabank.com.sa</v>
      </c>
      <c r="N598" s="3" t="s">
        <v>447</v>
      </c>
      <c r="O598" s="3" t="s">
        <v>42</v>
      </c>
      <c r="P598" s="3" t="s">
        <v>5141</v>
      </c>
      <c r="Q598" s="3" t="s">
        <v>42</v>
      </c>
      <c r="R598" s="17" t="s">
        <v>42</v>
      </c>
      <c r="S598" s="17">
        <v>1</v>
      </c>
      <c r="T598" s="17">
        <v>1</v>
      </c>
      <c r="U598" s="17" t="s">
        <v>42</v>
      </c>
      <c r="V598" s="17" t="s">
        <v>42</v>
      </c>
      <c r="W598" s="5" t="s">
        <v>3461</v>
      </c>
      <c r="X598" s="3" t="s">
        <v>5142</v>
      </c>
      <c r="Y598" s="3" t="s">
        <v>42</v>
      </c>
      <c r="Z598" s="3" t="s">
        <v>174</v>
      </c>
      <c r="AA598" s="3" t="s">
        <v>3463</v>
      </c>
      <c r="AB598" s="3" t="s">
        <v>3464</v>
      </c>
      <c r="AC598" s="3" t="s">
        <v>176</v>
      </c>
      <c r="AD598" s="3" t="s">
        <v>42</v>
      </c>
      <c r="AE598" s="5" t="s">
        <v>2626</v>
      </c>
      <c r="AF598" s="3" t="s">
        <v>60</v>
      </c>
      <c r="AG598" s="5" t="s">
        <v>3465</v>
      </c>
      <c r="AH598" s="3" t="s">
        <v>61</v>
      </c>
      <c r="AI598" s="3" t="s">
        <v>61</v>
      </c>
      <c r="AJ598" s="3" t="s">
        <v>42</v>
      </c>
      <c r="AK598" s="3" t="s">
        <v>42</v>
      </c>
      <c r="AL598" s="29">
        <v>45727</v>
      </c>
      <c r="AM598" s="5" t="s">
        <v>42</v>
      </c>
      <c r="AN598" s="9" t="str">
        <f>HYPERLINK("https://my.pitchbook.com?p=339945-58P", "View People Online")</f>
        <v>View People Online</v>
      </c>
    </row>
    <row r="599" spans="1:40" x14ac:dyDescent="0.2">
      <c r="A599" s="2" t="s">
        <v>5143</v>
      </c>
      <c r="B599" s="2" t="s">
        <v>5144</v>
      </c>
      <c r="C599" s="2" t="s">
        <v>42</v>
      </c>
      <c r="D599" s="2" t="s">
        <v>42</v>
      </c>
      <c r="E599" s="2" t="s">
        <v>5143</v>
      </c>
      <c r="F599" s="2" t="s">
        <v>5145</v>
      </c>
      <c r="G599" s="2" t="s">
        <v>5146</v>
      </c>
      <c r="H599" s="2" t="s">
        <v>42</v>
      </c>
      <c r="I599" s="2" t="s">
        <v>46</v>
      </c>
      <c r="J599" s="2" t="s">
        <v>47</v>
      </c>
      <c r="K599" s="2" t="s">
        <v>4084</v>
      </c>
      <c r="L599" s="2" t="s">
        <v>111</v>
      </c>
      <c r="M599" s="8" t="str">
        <f>HYPERLINK("http://www.kuzama.co", "www.kuzama.co")</f>
        <v>www.kuzama.co</v>
      </c>
      <c r="N599" s="2" t="s">
        <v>210</v>
      </c>
      <c r="O599" s="2" t="s">
        <v>42</v>
      </c>
      <c r="P599" s="2" t="s">
        <v>5147</v>
      </c>
      <c r="Q599" s="2" t="s">
        <v>42</v>
      </c>
      <c r="R599" s="16" t="s">
        <v>42</v>
      </c>
      <c r="S599" s="16">
        <v>1</v>
      </c>
      <c r="T599" s="16">
        <v>1</v>
      </c>
      <c r="U599" s="16" t="s">
        <v>42</v>
      </c>
      <c r="V599" s="16" t="s">
        <v>42</v>
      </c>
      <c r="W599" s="4" t="s">
        <v>4086</v>
      </c>
      <c r="X599" s="2" t="s">
        <v>42</v>
      </c>
      <c r="Y599" s="8" t="str">
        <f>HYPERLINK("http://linkedin.com/in/nemer-msalm-30a01b178/?originalsubdomain=sa", "http://linkedin.com/in/nemer-msalm-30a01b178/?originalsubdomain=sa")</f>
        <v>http://linkedin.com/in/nemer-msalm-30a01b178/?originalsubdomain=sa</v>
      </c>
      <c r="Z599" s="2" t="s">
        <v>55</v>
      </c>
      <c r="AA599" s="2" t="s">
        <v>4087</v>
      </c>
      <c r="AB599" s="2" t="s">
        <v>4088</v>
      </c>
      <c r="AC599" s="2" t="s">
        <v>58</v>
      </c>
      <c r="AD599" s="2" t="s">
        <v>42</v>
      </c>
      <c r="AE599" s="4" t="s">
        <v>2124</v>
      </c>
      <c r="AF599" s="2" t="s">
        <v>60</v>
      </c>
      <c r="AG599" s="4" t="s">
        <v>42</v>
      </c>
      <c r="AH599" s="2" t="s">
        <v>61</v>
      </c>
      <c r="AI599" s="2" t="s">
        <v>61</v>
      </c>
      <c r="AJ599" s="2" t="s">
        <v>42</v>
      </c>
      <c r="AK599" s="2" t="s">
        <v>42</v>
      </c>
      <c r="AL599" s="28">
        <v>45978</v>
      </c>
      <c r="AM599" s="4" t="s">
        <v>42</v>
      </c>
      <c r="AN599" s="8" t="str">
        <f>HYPERLINK("https://my.pitchbook.com?p=444447-46P", "View People Online")</f>
        <v>View People Online</v>
      </c>
    </row>
    <row r="600" spans="1:40" x14ac:dyDescent="0.2">
      <c r="A600" s="3" t="s">
        <v>5148</v>
      </c>
      <c r="B600" s="3" t="s">
        <v>5149</v>
      </c>
      <c r="C600" s="3" t="s">
        <v>42</v>
      </c>
      <c r="D600" s="3" t="s">
        <v>42</v>
      </c>
      <c r="E600" s="3" t="s">
        <v>5148</v>
      </c>
      <c r="F600" s="3" t="s">
        <v>5150</v>
      </c>
      <c r="G600" s="3" t="s">
        <v>5151</v>
      </c>
      <c r="H600" s="3" t="s">
        <v>109</v>
      </c>
      <c r="I600" s="3" t="s">
        <v>46</v>
      </c>
      <c r="J600" s="3" t="s">
        <v>47</v>
      </c>
      <c r="K600" s="3" t="s">
        <v>3850</v>
      </c>
      <c r="L600" s="3" t="s">
        <v>111</v>
      </c>
      <c r="M600" s="9" t="str">
        <f>HYPERLINK("http://mobily.com.sa", "mobily.com.sa")</f>
        <v>mobily.com.sa</v>
      </c>
      <c r="N600" s="3" t="s">
        <v>210</v>
      </c>
      <c r="O600" s="3" t="s">
        <v>42</v>
      </c>
      <c r="P600" s="3" t="s">
        <v>5152</v>
      </c>
      <c r="Q600" s="3" t="s">
        <v>42</v>
      </c>
      <c r="R600" s="17" t="s">
        <v>42</v>
      </c>
      <c r="S600" s="17">
        <v>1</v>
      </c>
      <c r="T600" s="17">
        <v>1</v>
      </c>
      <c r="U600" s="17" t="s">
        <v>42</v>
      </c>
      <c r="V600" s="17" t="s">
        <v>42</v>
      </c>
      <c r="W600" s="5" t="s">
        <v>42</v>
      </c>
      <c r="X600" s="3" t="s">
        <v>5153</v>
      </c>
      <c r="Y600" s="9" t="str">
        <f>HYPERLINK("http://linkedin.com/in/nezar-banabeela-0b45907/?originalsubdomain=sa", "http://linkedin.com/in/nezar-banabeela-0b45907/?originalsubdomain=sa")</f>
        <v>http://linkedin.com/in/nezar-banabeela-0b45907/?originalsubdomain=sa</v>
      </c>
      <c r="Z600" s="3" t="s">
        <v>55</v>
      </c>
      <c r="AA600" s="3" t="s">
        <v>3852</v>
      </c>
      <c r="AB600" s="3" t="s">
        <v>3853</v>
      </c>
      <c r="AC600" s="3" t="s">
        <v>58</v>
      </c>
      <c r="AD600" s="3" t="s">
        <v>42</v>
      </c>
      <c r="AE600" s="5" t="s">
        <v>3854</v>
      </c>
      <c r="AF600" s="3" t="s">
        <v>60</v>
      </c>
      <c r="AG600" s="5" t="s">
        <v>42</v>
      </c>
      <c r="AH600" s="3" t="s">
        <v>61</v>
      </c>
      <c r="AI600" s="3" t="s">
        <v>61</v>
      </c>
      <c r="AJ600" s="3" t="s">
        <v>42</v>
      </c>
      <c r="AK600" s="3" t="s">
        <v>42</v>
      </c>
      <c r="AL600" s="29">
        <v>45758</v>
      </c>
      <c r="AM600" s="5" t="s">
        <v>42</v>
      </c>
      <c r="AN600" s="9" t="str">
        <f>HYPERLINK("https://my.pitchbook.com?p=442370-44P", "View People Online")</f>
        <v>View People Online</v>
      </c>
    </row>
    <row r="601" spans="1:40" x14ac:dyDescent="0.2">
      <c r="A601" s="2" t="s">
        <v>5154</v>
      </c>
      <c r="B601" s="2" t="s">
        <v>5155</v>
      </c>
      <c r="C601" s="2" t="s">
        <v>42</v>
      </c>
      <c r="D601" s="2" t="s">
        <v>42</v>
      </c>
      <c r="E601" s="2" t="s">
        <v>5154</v>
      </c>
      <c r="F601" s="2" t="s">
        <v>2703</v>
      </c>
      <c r="G601" s="2" t="s">
        <v>5156</v>
      </c>
      <c r="H601" s="2" t="s">
        <v>5157</v>
      </c>
      <c r="I601" s="2" t="s">
        <v>46</v>
      </c>
      <c r="J601" s="2" t="s">
        <v>47</v>
      </c>
      <c r="K601" s="2" t="s">
        <v>1235</v>
      </c>
      <c r="L601" s="2" t="s">
        <v>111</v>
      </c>
      <c r="M601" s="8" t="str">
        <f>HYPERLINK("http://time-entertainment.com", "time-entertainment.com")</f>
        <v>time-entertainment.com</v>
      </c>
      <c r="N601" s="2" t="s">
        <v>210</v>
      </c>
      <c r="O601" s="2" t="s">
        <v>42</v>
      </c>
      <c r="P601" s="2" t="s">
        <v>5158</v>
      </c>
      <c r="Q601" s="2" t="s">
        <v>42</v>
      </c>
      <c r="R601" s="16" t="s">
        <v>42</v>
      </c>
      <c r="S601" s="16">
        <v>1</v>
      </c>
      <c r="T601" s="16">
        <v>1</v>
      </c>
      <c r="U601" s="16" t="s">
        <v>42</v>
      </c>
      <c r="V601" s="16" t="s">
        <v>42</v>
      </c>
      <c r="W601" s="4" t="s">
        <v>42</v>
      </c>
      <c r="X601" s="2" t="s">
        <v>5159</v>
      </c>
      <c r="Y601" s="8" t="str">
        <f>HYPERLINK("http://linkedin.com/in/obadaawad/", "http://linkedin.com/in/obadaawad/")</f>
        <v>http://linkedin.com/in/obadaawad/</v>
      </c>
      <c r="Z601" s="2" t="s">
        <v>55</v>
      </c>
      <c r="AA601" s="2" t="s">
        <v>1237</v>
      </c>
      <c r="AB601" s="2" t="s">
        <v>1238</v>
      </c>
      <c r="AC601" s="2" t="s">
        <v>58</v>
      </c>
      <c r="AD601" s="2" t="s">
        <v>42</v>
      </c>
      <c r="AE601" s="4" t="s">
        <v>1239</v>
      </c>
      <c r="AF601" s="2" t="s">
        <v>60</v>
      </c>
      <c r="AG601" s="4" t="s">
        <v>42</v>
      </c>
      <c r="AH601" s="2" t="s">
        <v>61</v>
      </c>
      <c r="AI601" s="2" t="s">
        <v>61</v>
      </c>
      <c r="AJ601" s="2" t="s">
        <v>42</v>
      </c>
      <c r="AK601" s="2" t="s">
        <v>42</v>
      </c>
      <c r="AL601" s="28">
        <v>45790</v>
      </c>
      <c r="AM601" s="4" t="s">
        <v>42</v>
      </c>
      <c r="AN601" s="8" t="str">
        <f>HYPERLINK("https://my.pitchbook.com?p=446245-30P", "View People Online")</f>
        <v>View People Online</v>
      </c>
    </row>
    <row r="602" spans="1:40" x14ac:dyDescent="0.2">
      <c r="A602" s="3" t="s">
        <v>5160</v>
      </c>
      <c r="B602" s="3" t="s">
        <v>5161</v>
      </c>
      <c r="C602" s="3" t="s">
        <v>42</v>
      </c>
      <c r="D602" s="3" t="s">
        <v>42</v>
      </c>
      <c r="E602" s="3" t="s">
        <v>5160</v>
      </c>
      <c r="F602" s="3" t="s">
        <v>1753</v>
      </c>
      <c r="G602" s="3" t="s">
        <v>5162</v>
      </c>
      <c r="H602" s="3" t="s">
        <v>66</v>
      </c>
      <c r="I602" s="3" t="s">
        <v>42</v>
      </c>
      <c r="J602" s="3" t="s">
        <v>47</v>
      </c>
      <c r="K602" s="3" t="s">
        <v>641</v>
      </c>
      <c r="L602" s="3" t="s">
        <v>111</v>
      </c>
      <c r="M602" s="9" t="str">
        <f>HYPERLINK("http://www.anb.com.sa", "www.anb.com.sa")</f>
        <v>www.anb.com.sa</v>
      </c>
      <c r="N602" s="3" t="s">
        <v>112</v>
      </c>
      <c r="O602" s="3" t="s">
        <v>42</v>
      </c>
      <c r="P602" s="3" t="s">
        <v>5163</v>
      </c>
      <c r="Q602" s="3" t="s">
        <v>42</v>
      </c>
      <c r="R602" s="17">
        <v>1</v>
      </c>
      <c r="S602" s="17">
        <v>1</v>
      </c>
      <c r="T602" s="17">
        <v>1</v>
      </c>
      <c r="U602" s="17" t="s">
        <v>42</v>
      </c>
      <c r="V602" s="17" t="s">
        <v>42</v>
      </c>
      <c r="W602" s="5" t="s">
        <v>643</v>
      </c>
      <c r="X602" s="3" t="s">
        <v>5164</v>
      </c>
      <c r="Y602" s="9" t="str">
        <f>HYPERLINK("http://linkedin.com/in/obaid-alrasheed/", "http://linkedin.com/in/obaid-alrasheed/")</f>
        <v>http://linkedin.com/in/obaid-alrasheed/</v>
      </c>
      <c r="Z602" s="3" t="s">
        <v>55</v>
      </c>
      <c r="AA602" s="3" t="s">
        <v>645</v>
      </c>
      <c r="AB602" s="3" t="s">
        <v>42</v>
      </c>
      <c r="AC602" s="3" t="s">
        <v>58</v>
      </c>
      <c r="AD602" s="3" t="s">
        <v>42</v>
      </c>
      <c r="AE602" s="5" t="s">
        <v>646</v>
      </c>
      <c r="AF602" s="3" t="s">
        <v>60</v>
      </c>
      <c r="AG602" s="5" t="s">
        <v>647</v>
      </c>
      <c r="AH602" s="3" t="s">
        <v>61</v>
      </c>
      <c r="AI602" s="3" t="s">
        <v>61</v>
      </c>
      <c r="AJ602" s="3" t="s">
        <v>42</v>
      </c>
      <c r="AK602" s="3" t="s">
        <v>42</v>
      </c>
      <c r="AL602" s="29">
        <v>45868</v>
      </c>
      <c r="AM602" s="5" t="s">
        <v>42</v>
      </c>
      <c r="AN602" s="9" t="str">
        <f>HYPERLINK("https://my.pitchbook.com?p=282838-42P", "View People Online")</f>
        <v>View People Online</v>
      </c>
    </row>
    <row r="603" spans="1:40" x14ac:dyDescent="0.2">
      <c r="A603" s="2" t="s">
        <v>5165</v>
      </c>
      <c r="B603" s="2" t="s">
        <v>5166</v>
      </c>
      <c r="C603" s="2" t="s">
        <v>42</v>
      </c>
      <c r="D603" s="2" t="s">
        <v>42</v>
      </c>
      <c r="E603" s="2" t="s">
        <v>5165</v>
      </c>
      <c r="F603" s="2" t="s">
        <v>5167</v>
      </c>
      <c r="G603" s="2" t="s">
        <v>2504</v>
      </c>
      <c r="H603" s="2" t="s">
        <v>5168</v>
      </c>
      <c r="I603" s="2" t="s">
        <v>46</v>
      </c>
      <c r="J603" s="2" t="s">
        <v>47</v>
      </c>
      <c r="K603" s="2" t="s">
        <v>4360</v>
      </c>
      <c r="L603" s="2" t="s">
        <v>111</v>
      </c>
      <c r="M603" s="8" t="str">
        <f>HYPERLINK("http://www.qcc.com.sa", "www.qcc.com.sa")</f>
        <v>www.qcc.com.sa</v>
      </c>
      <c r="N603" s="2" t="s">
        <v>112</v>
      </c>
      <c r="O603" s="2" t="s">
        <v>42</v>
      </c>
      <c r="P603" s="2" t="s">
        <v>5169</v>
      </c>
      <c r="Q603" s="2" t="s">
        <v>5170</v>
      </c>
      <c r="R603" s="16">
        <v>1</v>
      </c>
      <c r="S603" s="16">
        <v>1</v>
      </c>
      <c r="T603" s="16">
        <v>1</v>
      </c>
      <c r="U603" s="16" t="s">
        <v>42</v>
      </c>
      <c r="V603" s="16" t="s">
        <v>42</v>
      </c>
      <c r="W603" s="4" t="s">
        <v>4362</v>
      </c>
      <c r="X603" s="2" t="s">
        <v>5171</v>
      </c>
      <c r="Y603" s="8" t="str">
        <f>HYPERLINK("http://linkedin.com/in/omar-alomar-a2b89655/", "http://linkedin.com/in/omar-alomar-a2b89655/")</f>
        <v>http://linkedin.com/in/omar-alomar-a2b89655/</v>
      </c>
      <c r="Z603" s="2" t="s">
        <v>3419</v>
      </c>
      <c r="AA603" s="2" t="s">
        <v>4364</v>
      </c>
      <c r="AB603" s="2" t="s">
        <v>4365</v>
      </c>
      <c r="AC603" s="2" t="s">
        <v>3422</v>
      </c>
      <c r="AD603" s="2" t="s">
        <v>42</v>
      </c>
      <c r="AE603" s="4" t="s">
        <v>4366</v>
      </c>
      <c r="AF603" s="2" t="s">
        <v>60</v>
      </c>
      <c r="AG603" s="4" t="s">
        <v>4367</v>
      </c>
      <c r="AH603" s="2" t="s">
        <v>61</v>
      </c>
      <c r="AI603" s="2" t="s">
        <v>61</v>
      </c>
      <c r="AJ603" s="2" t="s">
        <v>42</v>
      </c>
      <c r="AK603" s="2" t="s">
        <v>42</v>
      </c>
      <c r="AL603" s="28">
        <v>45839</v>
      </c>
      <c r="AM603" s="4">
        <v>1963</v>
      </c>
      <c r="AN603" s="8" t="str">
        <f>HYPERLINK("https://my.pitchbook.com?p=341594-83P", "View People Online")</f>
        <v>View People Online</v>
      </c>
    </row>
    <row r="604" spans="1:40" x14ac:dyDescent="0.2">
      <c r="A604" s="3" t="s">
        <v>5172</v>
      </c>
      <c r="B604" s="3" t="s">
        <v>5173</v>
      </c>
      <c r="C604" s="3" t="s">
        <v>42</v>
      </c>
      <c r="D604" s="3" t="s">
        <v>42</v>
      </c>
      <c r="E604" s="3" t="s">
        <v>5172</v>
      </c>
      <c r="F604" s="3" t="s">
        <v>5174</v>
      </c>
      <c r="G604" s="3" t="s">
        <v>2504</v>
      </c>
      <c r="H604" s="3" t="s">
        <v>42</v>
      </c>
      <c r="I604" s="3" t="s">
        <v>46</v>
      </c>
      <c r="J604" s="3" t="s">
        <v>47</v>
      </c>
      <c r="K604" s="3" t="s">
        <v>1721</v>
      </c>
      <c r="L604" s="3" t="s">
        <v>1664</v>
      </c>
      <c r="M604" s="9" t="str">
        <f>HYPERLINK("http://www.tam.sa", "www.tam.sa")</f>
        <v>www.tam.sa</v>
      </c>
      <c r="N604" s="3" t="s">
        <v>139</v>
      </c>
      <c r="O604" s="3" t="s">
        <v>42</v>
      </c>
      <c r="P604" s="3" t="s">
        <v>5175</v>
      </c>
      <c r="Q604" s="3" t="s">
        <v>52</v>
      </c>
      <c r="R604" s="17">
        <v>1</v>
      </c>
      <c r="S604" s="17">
        <v>1</v>
      </c>
      <c r="T604" s="17">
        <v>1</v>
      </c>
      <c r="U604" s="17" t="s">
        <v>42</v>
      </c>
      <c r="V604" s="17" t="s">
        <v>42</v>
      </c>
      <c r="W604" s="5" t="s">
        <v>42</v>
      </c>
      <c r="X604" s="3" t="s">
        <v>42</v>
      </c>
      <c r="Y604" s="9" t="str">
        <f>HYPERLINK("http://linkedin.com/in/omar-aljeraisy-73a25456/", "http://linkedin.com/in/omar-aljeraisy-73a25456/")</f>
        <v>http://linkedin.com/in/omar-aljeraisy-73a25456/</v>
      </c>
      <c r="Z604" s="3" t="s">
        <v>55</v>
      </c>
      <c r="AA604" s="3" t="s">
        <v>1726</v>
      </c>
      <c r="AB604" s="3" t="s">
        <v>1727</v>
      </c>
      <c r="AC604" s="3" t="s">
        <v>58</v>
      </c>
      <c r="AD604" s="3" t="s">
        <v>42</v>
      </c>
      <c r="AE604" s="5" t="s">
        <v>42</v>
      </c>
      <c r="AF604" s="3" t="s">
        <v>60</v>
      </c>
      <c r="AG604" s="5" t="s">
        <v>42</v>
      </c>
      <c r="AH604" s="3" t="s">
        <v>61</v>
      </c>
      <c r="AI604" s="3" t="s">
        <v>61</v>
      </c>
      <c r="AJ604" s="3" t="s">
        <v>42</v>
      </c>
      <c r="AK604" s="3" t="s">
        <v>42</v>
      </c>
      <c r="AL604" s="29">
        <v>45950</v>
      </c>
      <c r="AM604" s="5" t="s">
        <v>42</v>
      </c>
      <c r="AN604" s="9" t="str">
        <f>HYPERLINK("https://my.pitchbook.com?p=469966-87P", "View People Online")</f>
        <v>View People Online</v>
      </c>
    </row>
    <row r="605" spans="1:40" x14ac:dyDescent="0.2">
      <c r="A605" s="2" t="s">
        <v>5176</v>
      </c>
      <c r="B605" s="2" t="s">
        <v>5177</v>
      </c>
      <c r="C605" s="2" t="s">
        <v>42</v>
      </c>
      <c r="D605" s="2" t="s">
        <v>42</v>
      </c>
      <c r="E605" s="2" t="s">
        <v>5176</v>
      </c>
      <c r="F605" s="2" t="s">
        <v>5178</v>
      </c>
      <c r="G605" s="2" t="s">
        <v>5179</v>
      </c>
      <c r="H605" s="2" t="s">
        <v>42</v>
      </c>
      <c r="I605" s="2" t="s">
        <v>46</v>
      </c>
      <c r="J605" s="2" t="s">
        <v>47</v>
      </c>
      <c r="K605" s="2" t="s">
        <v>4011</v>
      </c>
      <c r="L605" s="2" t="s">
        <v>111</v>
      </c>
      <c r="M605" s="8" t="str">
        <f>HYPERLINK("http://www.niceonesa.com", "www.niceonesa.com")</f>
        <v>www.niceonesa.com</v>
      </c>
      <c r="N605" s="2" t="s">
        <v>5180</v>
      </c>
      <c r="O605" s="2" t="s">
        <v>42</v>
      </c>
      <c r="P605" s="2" t="s">
        <v>5181</v>
      </c>
      <c r="Q605" s="2" t="s">
        <v>42</v>
      </c>
      <c r="R605" s="16">
        <v>1</v>
      </c>
      <c r="S605" s="16">
        <v>1</v>
      </c>
      <c r="T605" s="16">
        <v>1</v>
      </c>
      <c r="U605" s="16" t="s">
        <v>42</v>
      </c>
      <c r="V605" s="16" t="s">
        <v>42</v>
      </c>
      <c r="W605" s="4" t="s">
        <v>42</v>
      </c>
      <c r="X605" s="2" t="s">
        <v>5182</v>
      </c>
      <c r="Y605" s="8" t="str">
        <f>HYPERLINK("http://linkedin.com/in/omar-alolayan-627519136/", "http://linkedin.com/in/omar-alolayan-627519136/")</f>
        <v>http://linkedin.com/in/omar-alolayan-627519136/</v>
      </c>
      <c r="Z605" s="2" t="s">
        <v>55</v>
      </c>
      <c r="AA605" s="2" t="s">
        <v>4014</v>
      </c>
      <c r="AB605" s="2" t="s">
        <v>4015</v>
      </c>
      <c r="AC605" s="2" t="s">
        <v>58</v>
      </c>
      <c r="AD605" s="2" t="s">
        <v>4016</v>
      </c>
      <c r="AE605" s="4" t="s">
        <v>4017</v>
      </c>
      <c r="AF605" s="2" t="s">
        <v>60</v>
      </c>
      <c r="AG605" s="4" t="s">
        <v>42</v>
      </c>
      <c r="AH605" s="2" t="s">
        <v>61</v>
      </c>
      <c r="AI605" s="2" t="s">
        <v>61</v>
      </c>
      <c r="AJ605" s="2" t="s">
        <v>42</v>
      </c>
      <c r="AK605" s="2" t="s">
        <v>42</v>
      </c>
      <c r="AL605" s="28">
        <v>46006</v>
      </c>
      <c r="AM605" s="4" t="s">
        <v>42</v>
      </c>
      <c r="AN605" s="8" t="str">
        <f>HYPERLINK("https://my.pitchbook.com?p=382332-25P", "View People Online")</f>
        <v>View People Online</v>
      </c>
    </row>
    <row r="606" spans="1:40" x14ac:dyDescent="0.2">
      <c r="A606" s="3" t="s">
        <v>5183</v>
      </c>
      <c r="B606" s="3" t="s">
        <v>5184</v>
      </c>
      <c r="C606" s="3" t="s">
        <v>42</v>
      </c>
      <c r="D606" s="3" t="s">
        <v>42</v>
      </c>
      <c r="E606" s="3" t="s">
        <v>5183</v>
      </c>
      <c r="F606" s="3" t="s">
        <v>5185</v>
      </c>
      <c r="G606" s="3" t="s">
        <v>2504</v>
      </c>
      <c r="H606" s="3" t="s">
        <v>42</v>
      </c>
      <c r="I606" s="3" t="s">
        <v>46</v>
      </c>
      <c r="J606" s="3" t="s">
        <v>47</v>
      </c>
      <c r="K606" s="3" t="s">
        <v>2540</v>
      </c>
      <c r="L606" s="3" t="s">
        <v>81</v>
      </c>
      <c r="M606" s="9" t="str">
        <f>HYPERLINK("http://www.mulkia.com.sa", "www.mulkia.com.sa")</f>
        <v>www.mulkia.com.sa</v>
      </c>
      <c r="N606" s="3" t="s">
        <v>5186</v>
      </c>
      <c r="O606" s="3" t="s">
        <v>42</v>
      </c>
      <c r="P606" s="3" t="s">
        <v>5187</v>
      </c>
      <c r="Q606" s="3" t="s">
        <v>5188</v>
      </c>
      <c r="R606" s="17" t="s">
        <v>42</v>
      </c>
      <c r="S606" s="17">
        <v>1</v>
      </c>
      <c r="T606" s="17">
        <v>1</v>
      </c>
      <c r="U606" s="17" t="s">
        <v>42</v>
      </c>
      <c r="V606" s="17" t="s">
        <v>42</v>
      </c>
      <c r="W606" s="5" t="s">
        <v>2542</v>
      </c>
      <c r="X606" s="3" t="s">
        <v>42</v>
      </c>
      <c r="Y606" s="9" t="str">
        <f>HYPERLINK("http://linkedin.com/in/othaim/", "http://linkedin.com/in/othaim/")</f>
        <v>http://linkedin.com/in/othaim/</v>
      </c>
      <c r="Z606" s="3" t="s">
        <v>55</v>
      </c>
      <c r="AA606" s="3" t="s">
        <v>2543</v>
      </c>
      <c r="AB606" s="3" t="s">
        <v>2544</v>
      </c>
      <c r="AC606" s="3" t="s">
        <v>58</v>
      </c>
      <c r="AD606" s="3" t="s">
        <v>42</v>
      </c>
      <c r="AE606" s="5" t="s">
        <v>2545</v>
      </c>
      <c r="AF606" s="3" t="s">
        <v>60</v>
      </c>
      <c r="AG606" s="5" t="s">
        <v>2546</v>
      </c>
      <c r="AH606" s="3" t="s">
        <v>61</v>
      </c>
      <c r="AI606" s="3" t="s">
        <v>61</v>
      </c>
      <c r="AJ606" s="3" t="s">
        <v>42</v>
      </c>
      <c r="AK606" s="3" t="s">
        <v>42</v>
      </c>
      <c r="AL606" s="29">
        <v>45978</v>
      </c>
      <c r="AM606" s="5" t="s">
        <v>42</v>
      </c>
      <c r="AN606" s="9" t="str">
        <f>HYPERLINK("https://my.pitchbook.com?p=374030-29P", "View People Online")</f>
        <v>View People Online</v>
      </c>
    </row>
    <row r="607" spans="1:40" x14ac:dyDescent="0.2">
      <c r="A607" s="2" t="s">
        <v>5189</v>
      </c>
      <c r="B607" s="2" t="s">
        <v>5190</v>
      </c>
      <c r="C607" s="2" t="s">
        <v>42</v>
      </c>
      <c r="D607" s="2" t="s">
        <v>42</v>
      </c>
      <c r="E607" s="2" t="s">
        <v>5189</v>
      </c>
      <c r="F607" s="2" t="s">
        <v>5191</v>
      </c>
      <c r="G607" s="2" t="s">
        <v>2504</v>
      </c>
      <c r="H607" s="2" t="s">
        <v>5192</v>
      </c>
      <c r="I607" s="2" t="s">
        <v>46</v>
      </c>
      <c r="J607" s="2" t="s">
        <v>47</v>
      </c>
      <c r="K607" s="2" t="s">
        <v>3149</v>
      </c>
      <c r="L607" s="2" t="s">
        <v>111</v>
      </c>
      <c r="M607" s="8" t="str">
        <f>HYPERLINK("http://sal.sa", "sal.sa")</f>
        <v>sal.sa</v>
      </c>
      <c r="N607" s="2" t="s">
        <v>210</v>
      </c>
      <c r="O607" s="2" t="s">
        <v>42</v>
      </c>
      <c r="P607" s="2" t="s">
        <v>5193</v>
      </c>
      <c r="Q607" s="2" t="s">
        <v>42</v>
      </c>
      <c r="R607" s="16" t="s">
        <v>42</v>
      </c>
      <c r="S607" s="16">
        <v>1</v>
      </c>
      <c r="T607" s="16">
        <v>1</v>
      </c>
      <c r="U607" s="16" t="s">
        <v>42</v>
      </c>
      <c r="V607" s="16" t="s">
        <v>42</v>
      </c>
      <c r="W607" s="4" t="s">
        <v>3151</v>
      </c>
      <c r="X607" s="2" t="s">
        <v>5194</v>
      </c>
      <c r="Y607" s="8" t="str">
        <f>HYPERLINK("http://linkedin.com/in/omarhariri/?originalsubdomain=sa", "http://linkedin.com/in/omarhariri/?originalsubdomain=sa")</f>
        <v>http://linkedin.com/in/omarhariri/?originalsubdomain=sa</v>
      </c>
      <c r="Z607" s="2" t="s">
        <v>174</v>
      </c>
      <c r="AA607" s="2" t="s">
        <v>3153</v>
      </c>
      <c r="AB607" s="2" t="s">
        <v>3154</v>
      </c>
      <c r="AC607" s="2" t="s">
        <v>176</v>
      </c>
      <c r="AD607" s="2" t="s">
        <v>42</v>
      </c>
      <c r="AE607" s="4" t="s">
        <v>42</v>
      </c>
      <c r="AF607" s="2" t="s">
        <v>60</v>
      </c>
      <c r="AG607" s="4" t="s">
        <v>42</v>
      </c>
      <c r="AH607" s="2" t="s">
        <v>61</v>
      </c>
      <c r="AI607" s="2" t="s">
        <v>61</v>
      </c>
      <c r="AJ607" s="2" t="s">
        <v>42</v>
      </c>
      <c r="AK607" s="2" t="s">
        <v>42</v>
      </c>
      <c r="AL607" s="28">
        <v>45838</v>
      </c>
      <c r="AM607" s="4">
        <v>1982</v>
      </c>
      <c r="AN607" s="8" t="str">
        <f>HYPERLINK("https://my.pitchbook.com?p=420183-73P", "View People Online")</f>
        <v>View People Online</v>
      </c>
    </row>
    <row r="608" spans="1:40" x14ac:dyDescent="0.2">
      <c r="A608" s="3" t="s">
        <v>5195</v>
      </c>
      <c r="B608" s="3" t="s">
        <v>5196</v>
      </c>
      <c r="C608" s="3" t="s">
        <v>42</v>
      </c>
      <c r="D608" s="3" t="s">
        <v>42</v>
      </c>
      <c r="E608" s="3" t="s">
        <v>5195</v>
      </c>
      <c r="F608" s="3" t="s">
        <v>5197</v>
      </c>
      <c r="G608" s="3" t="s">
        <v>5198</v>
      </c>
      <c r="H608" s="3" t="s">
        <v>66</v>
      </c>
      <c r="I608" s="3" t="s">
        <v>46</v>
      </c>
      <c r="J608" s="3" t="s">
        <v>47</v>
      </c>
      <c r="K608" s="3" t="s">
        <v>1804</v>
      </c>
      <c r="L608" s="3" t="s">
        <v>111</v>
      </c>
      <c r="M608" s="9" t="str">
        <f>HYPERLINK("http://www.solutions.com.sa", "www.solutions.com.sa")</f>
        <v>www.solutions.com.sa</v>
      </c>
      <c r="N608" s="3" t="s">
        <v>5199</v>
      </c>
      <c r="O608" s="3" t="s">
        <v>42</v>
      </c>
      <c r="P608" s="3" t="s">
        <v>5200</v>
      </c>
      <c r="Q608" s="3" t="s">
        <v>5201</v>
      </c>
      <c r="R608" s="17">
        <v>1</v>
      </c>
      <c r="S608" s="17">
        <v>1</v>
      </c>
      <c r="T608" s="17">
        <v>1</v>
      </c>
      <c r="U608" s="17" t="s">
        <v>42</v>
      </c>
      <c r="V608" s="17" t="s">
        <v>42</v>
      </c>
      <c r="W608" s="5" t="s">
        <v>1806</v>
      </c>
      <c r="X608" s="3" t="s">
        <v>5202</v>
      </c>
      <c r="Y608" s="9" t="str">
        <f>HYPERLINK("http://linkedin.com/in/omer-alnomany-a91b16a9/", "http://linkedin.com/in/omer-alnomany-a91b16a9/")</f>
        <v>http://linkedin.com/in/omer-alnomany-a91b16a9/</v>
      </c>
      <c r="Z608" s="3" t="s">
        <v>55</v>
      </c>
      <c r="AA608" s="3" t="s">
        <v>1808</v>
      </c>
      <c r="AB608" s="3" t="s">
        <v>42</v>
      </c>
      <c r="AC608" s="3" t="s">
        <v>58</v>
      </c>
      <c r="AD608" s="3" t="s">
        <v>42</v>
      </c>
      <c r="AE608" s="5" t="s">
        <v>1809</v>
      </c>
      <c r="AF608" s="3" t="s">
        <v>60</v>
      </c>
      <c r="AG608" s="5" t="s">
        <v>1810</v>
      </c>
      <c r="AH608" s="3" t="s">
        <v>61</v>
      </c>
      <c r="AI608" s="3" t="s">
        <v>61</v>
      </c>
      <c r="AJ608" s="3" t="s">
        <v>42</v>
      </c>
      <c r="AK608" s="3" t="s">
        <v>42</v>
      </c>
      <c r="AL608" s="29">
        <v>45779</v>
      </c>
      <c r="AM608" s="5" t="s">
        <v>42</v>
      </c>
      <c r="AN608" s="9" t="str">
        <f>HYPERLINK("https://my.pitchbook.com?p=340316-74P", "View People Online")</f>
        <v>View People Online</v>
      </c>
    </row>
    <row r="609" spans="1:40" x14ac:dyDescent="0.2">
      <c r="A609" s="2" t="s">
        <v>5203</v>
      </c>
      <c r="B609" s="2" t="s">
        <v>5204</v>
      </c>
      <c r="C609" s="2" t="s">
        <v>42</v>
      </c>
      <c r="D609" s="2" t="s">
        <v>42</v>
      </c>
      <c r="E609" s="2" t="s">
        <v>5203</v>
      </c>
      <c r="F609" s="2" t="s">
        <v>5205</v>
      </c>
      <c r="G609" s="2" t="s">
        <v>45</v>
      </c>
      <c r="H609" s="2" t="s">
        <v>1719</v>
      </c>
      <c r="I609" s="2" t="s">
        <v>46</v>
      </c>
      <c r="J609" s="2" t="s">
        <v>47</v>
      </c>
      <c r="K609" s="2" t="s">
        <v>687</v>
      </c>
      <c r="L609" s="2" t="s">
        <v>111</v>
      </c>
      <c r="M609" s="8" t="str">
        <f>HYPERLINK("http://tawuniya.com", "tawuniya.com")</f>
        <v>tawuniya.com</v>
      </c>
      <c r="N609" s="2" t="s">
        <v>210</v>
      </c>
      <c r="O609" s="2" t="s">
        <v>42</v>
      </c>
      <c r="P609" s="2" t="s">
        <v>5206</v>
      </c>
      <c r="Q609" s="2" t="s">
        <v>42</v>
      </c>
      <c r="R609" s="16" t="s">
        <v>42</v>
      </c>
      <c r="S609" s="16">
        <v>1</v>
      </c>
      <c r="T609" s="16">
        <v>1</v>
      </c>
      <c r="U609" s="16" t="s">
        <v>42</v>
      </c>
      <c r="V609" s="16" t="s">
        <v>42</v>
      </c>
      <c r="W609" s="4" t="s">
        <v>690</v>
      </c>
      <c r="X609" s="2" t="s">
        <v>5207</v>
      </c>
      <c r="Y609" s="2" t="s">
        <v>42</v>
      </c>
      <c r="Z609" s="2" t="s">
        <v>55</v>
      </c>
      <c r="AA609" s="2" t="s">
        <v>691</v>
      </c>
      <c r="AB609" s="2" t="s">
        <v>692</v>
      </c>
      <c r="AC609" s="2" t="s">
        <v>58</v>
      </c>
      <c r="AD609" s="2" t="s">
        <v>42</v>
      </c>
      <c r="AE609" s="4" t="s">
        <v>693</v>
      </c>
      <c r="AF609" s="2" t="s">
        <v>60</v>
      </c>
      <c r="AG609" s="4" t="s">
        <v>694</v>
      </c>
      <c r="AH609" s="2" t="s">
        <v>61</v>
      </c>
      <c r="AI609" s="2" t="s">
        <v>61</v>
      </c>
      <c r="AJ609" s="2" t="s">
        <v>42</v>
      </c>
      <c r="AK609" s="2" t="s">
        <v>42</v>
      </c>
      <c r="AL609" s="28">
        <v>45975</v>
      </c>
      <c r="AM609" s="4" t="s">
        <v>42</v>
      </c>
      <c r="AN609" s="8" t="str">
        <f>HYPERLINK("https://my.pitchbook.com?p=364822-84P", "View People Online")</f>
        <v>View People Online</v>
      </c>
    </row>
    <row r="610" spans="1:40" x14ac:dyDescent="0.2">
      <c r="A610" s="3" t="s">
        <v>5208</v>
      </c>
      <c r="B610" s="3" t="s">
        <v>5209</v>
      </c>
      <c r="C610" s="3" t="s">
        <v>42</v>
      </c>
      <c r="D610" s="3" t="s">
        <v>42</v>
      </c>
      <c r="E610" s="3" t="s">
        <v>5208</v>
      </c>
      <c r="F610" s="3" t="s">
        <v>5210</v>
      </c>
      <c r="G610" s="3" t="s">
        <v>5211</v>
      </c>
      <c r="H610" s="3" t="s">
        <v>42</v>
      </c>
      <c r="I610" s="3" t="s">
        <v>46</v>
      </c>
      <c r="J610" s="3" t="s">
        <v>47</v>
      </c>
      <c r="K610" s="3" t="s">
        <v>2523</v>
      </c>
      <c r="L610" s="3" t="s">
        <v>111</v>
      </c>
      <c r="M610" s="9" t="str">
        <f>HYPERLINK("http://www.fakeeh.care", "www.fakeeh.care")</f>
        <v>www.fakeeh.care</v>
      </c>
      <c r="N610" s="3" t="s">
        <v>534</v>
      </c>
      <c r="O610" s="3" t="s">
        <v>42</v>
      </c>
      <c r="P610" s="3" t="s">
        <v>5212</v>
      </c>
      <c r="Q610" s="3" t="s">
        <v>42</v>
      </c>
      <c r="R610" s="17" t="s">
        <v>42</v>
      </c>
      <c r="S610" s="17">
        <v>1</v>
      </c>
      <c r="T610" s="17">
        <v>1</v>
      </c>
      <c r="U610" s="17" t="s">
        <v>42</v>
      </c>
      <c r="V610" s="17" t="s">
        <v>42</v>
      </c>
      <c r="W610" s="5" t="s">
        <v>2525</v>
      </c>
      <c r="X610" s="3" t="s">
        <v>5213</v>
      </c>
      <c r="Y610" s="9" t="str">
        <f>HYPERLINK("http://linkedin.com/in/panagiotis-panos-chatziantoniou-8121b538/?originalsubdomain=ae", "http://linkedin.com/in/panagiotis-panos-chatziantoniou-8121b538/?originalsubdomain=ae")</f>
        <v>http://linkedin.com/in/panagiotis-panos-chatziantoniou-8121b538/?originalsubdomain=ae</v>
      </c>
      <c r="Z610" s="3" t="s">
        <v>174</v>
      </c>
      <c r="AA610" s="3" t="s">
        <v>2526</v>
      </c>
      <c r="AB610" s="3" t="s">
        <v>42</v>
      </c>
      <c r="AC610" s="3" t="s">
        <v>176</v>
      </c>
      <c r="AD610" s="3" t="s">
        <v>42</v>
      </c>
      <c r="AE610" s="5" t="s">
        <v>2103</v>
      </c>
      <c r="AF610" s="3" t="s">
        <v>60</v>
      </c>
      <c r="AG610" s="5" t="s">
        <v>42</v>
      </c>
      <c r="AH610" s="3" t="s">
        <v>61</v>
      </c>
      <c r="AI610" s="3" t="s">
        <v>61</v>
      </c>
      <c r="AJ610" s="3" t="s">
        <v>42</v>
      </c>
      <c r="AK610" s="3" t="s">
        <v>42</v>
      </c>
      <c r="AL610" s="29">
        <v>45455</v>
      </c>
      <c r="AM610" s="5" t="s">
        <v>42</v>
      </c>
      <c r="AN610" s="9" t="str">
        <f>HYPERLINK("https://my.pitchbook.com?p=362266-30P", "View People Online")</f>
        <v>View People Online</v>
      </c>
    </row>
    <row r="611" spans="1:40" x14ac:dyDescent="0.2">
      <c r="A611" s="2" t="s">
        <v>5214</v>
      </c>
      <c r="B611" s="2" t="s">
        <v>5215</v>
      </c>
      <c r="C611" s="2" t="s">
        <v>42</v>
      </c>
      <c r="D611" s="2" t="s">
        <v>42</v>
      </c>
      <c r="E611" s="2" t="s">
        <v>5214</v>
      </c>
      <c r="F611" s="2" t="s">
        <v>5216</v>
      </c>
      <c r="G611" s="2" t="s">
        <v>5217</v>
      </c>
      <c r="H611" s="2" t="s">
        <v>42</v>
      </c>
      <c r="I611" s="2" t="s">
        <v>46</v>
      </c>
      <c r="J611" s="2" t="s">
        <v>47</v>
      </c>
      <c r="K611" s="2" t="s">
        <v>5218</v>
      </c>
      <c r="L611" s="2" t="s">
        <v>111</v>
      </c>
      <c r="M611" s="8" t="str">
        <f>HYPERLINK("http://www.cgs.com.sa", "www.cgs.com.sa")</f>
        <v>www.cgs.com.sa</v>
      </c>
      <c r="N611" s="2" t="s">
        <v>210</v>
      </c>
      <c r="O611" s="2" t="s">
        <v>42</v>
      </c>
      <c r="P611" s="2" t="s">
        <v>5219</v>
      </c>
      <c r="Q611" s="2" t="s">
        <v>5220</v>
      </c>
      <c r="R611" s="16" t="s">
        <v>42</v>
      </c>
      <c r="S611" s="16">
        <v>1</v>
      </c>
      <c r="T611" s="16">
        <v>1</v>
      </c>
      <c r="U611" s="16" t="s">
        <v>42</v>
      </c>
      <c r="V611" s="16" t="s">
        <v>42</v>
      </c>
      <c r="W611" s="4" t="s">
        <v>5221</v>
      </c>
      <c r="X611" s="2" t="s">
        <v>5222</v>
      </c>
      <c r="Y611" s="2" t="s">
        <v>42</v>
      </c>
      <c r="Z611" s="2" t="s">
        <v>55</v>
      </c>
      <c r="AA611" s="2" t="s">
        <v>5223</v>
      </c>
      <c r="AB611" s="2" t="s">
        <v>5224</v>
      </c>
      <c r="AC611" s="2" t="s">
        <v>58</v>
      </c>
      <c r="AD611" s="2" t="s">
        <v>42</v>
      </c>
      <c r="AE611" s="4" t="s">
        <v>4970</v>
      </c>
      <c r="AF611" s="2" t="s">
        <v>60</v>
      </c>
      <c r="AG611" s="4" t="s">
        <v>5225</v>
      </c>
      <c r="AH611" s="2" t="s">
        <v>61</v>
      </c>
      <c r="AI611" s="2" t="s">
        <v>61</v>
      </c>
      <c r="AJ611" s="2" t="s">
        <v>42</v>
      </c>
      <c r="AK611" s="2" t="s">
        <v>42</v>
      </c>
      <c r="AL611" s="28">
        <v>45959</v>
      </c>
      <c r="AM611" s="4" t="s">
        <v>42</v>
      </c>
      <c r="AN611" s="8" t="str">
        <f>HYPERLINK("https://my.pitchbook.com?p=471265-75P", "View People Online")</f>
        <v>View People Online</v>
      </c>
    </row>
    <row r="612" spans="1:40" x14ac:dyDescent="0.2">
      <c r="A612" s="3" t="s">
        <v>5226</v>
      </c>
      <c r="B612" s="3" t="s">
        <v>5227</v>
      </c>
      <c r="C612" s="3" t="s">
        <v>42</v>
      </c>
      <c r="D612" s="3" t="s">
        <v>42</v>
      </c>
      <c r="E612" s="3" t="s">
        <v>5226</v>
      </c>
      <c r="F612" s="3" t="s">
        <v>5228</v>
      </c>
      <c r="G612" s="3" t="s">
        <v>5229</v>
      </c>
      <c r="H612" s="3" t="s">
        <v>42</v>
      </c>
      <c r="I612" s="3" t="s">
        <v>46</v>
      </c>
      <c r="J612" s="3" t="s">
        <v>47</v>
      </c>
      <c r="K612" s="3" t="s">
        <v>5230</v>
      </c>
      <c r="L612" s="3" t="s">
        <v>111</v>
      </c>
      <c r="M612" s="9" t="str">
        <f>HYPERLINK("http://www.leafglobal.com.sa", "www.leafglobal.com.sa")</f>
        <v>www.leafglobal.com.sa</v>
      </c>
      <c r="N612" s="3" t="s">
        <v>2079</v>
      </c>
      <c r="O612" s="3" t="s">
        <v>42</v>
      </c>
      <c r="P612" s="3" t="s">
        <v>5231</v>
      </c>
      <c r="Q612" s="3" t="s">
        <v>42</v>
      </c>
      <c r="R612" s="17" t="s">
        <v>42</v>
      </c>
      <c r="S612" s="17">
        <v>1</v>
      </c>
      <c r="T612" s="17">
        <v>1</v>
      </c>
      <c r="U612" s="17" t="s">
        <v>42</v>
      </c>
      <c r="V612" s="17" t="s">
        <v>42</v>
      </c>
      <c r="W612" s="5" t="s">
        <v>5232</v>
      </c>
      <c r="X612" s="3" t="s">
        <v>42</v>
      </c>
      <c r="Y612" s="3" t="s">
        <v>42</v>
      </c>
      <c r="Z612" s="3" t="s">
        <v>174</v>
      </c>
      <c r="AA612" s="3" t="s">
        <v>5233</v>
      </c>
      <c r="AB612" s="3" t="s">
        <v>42</v>
      </c>
      <c r="AC612" s="3" t="s">
        <v>176</v>
      </c>
      <c r="AD612" s="3" t="s">
        <v>42</v>
      </c>
      <c r="AE612" s="5" t="s">
        <v>42</v>
      </c>
      <c r="AF612" s="3" t="s">
        <v>60</v>
      </c>
      <c r="AG612" s="5" t="s">
        <v>42</v>
      </c>
      <c r="AH612" s="3" t="s">
        <v>61</v>
      </c>
      <c r="AI612" s="3" t="s">
        <v>61</v>
      </c>
      <c r="AJ612" s="3" t="s">
        <v>42</v>
      </c>
      <c r="AK612" s="3" t="s">
        <v>42</v>
      </c>
      <c r="AL612" s="29">
        <v>46027</v>
      </c>
      <c r="AM612" s="5" t="s">
        <v>42</v>
      </c>
      <c r="AN612" s="9" t="str">
        <f>HYPERLINK("https://my.pitchbook.com?p=396178-48P", "View People Online")</f>
        <v>View People Online</v>
      </c>
    </row>
    <row r="613" spans="1:40" x14ac:dyDescent="0.2">
      <c r="A613" s="2" t="s">
        <v>5234</v>
      </c>
      <c r="B613" s="2" t="s">
        <v>5235</v>
      </c>
      <c r="C613" s="2" t="s">
        <v>42</v>
      </c>
      <c r="D613" s="2" t="s">
        <v>42</v>
      </c>
      <c r="E613" s="2" t="s">
        <v>5234</v>
      </c>
      <c r="F613" s="2" t="s">
        <v>5236</v>
      </c>
      <c r="G613" s="2" t="s">
        <v>5237</v>
      </c>
      <c r="H613" s="2" t="s">
        <v>42</v>
      </c>
      <c r="I613" s="2" t="s">
        <v>46</v>
      </c>
      <c r="J613" s="2" t="s">
        <v>47</v>
      </c>
      <c r="K613" s="2" t="s">
        <v>2599</v>
      </c>
      <c r="L613" s="2" t="s">
        <v>111</v>
      </c>
      <c r="M613" s="8" t="str">
        <f>HYPERLINK("http://www.daralarkan.com", "www.daralarkan.com")</f>
        <v>www.daralarkan.com</v>
      </c>
      <c r="N613" s="2" t="s">
        <v>534</v>
      </c>
      <c r="O613" s="2" t="s">
        <v>42</v>
      </c>
      <c r="P613" s="2" t="s">
        <v>5238</v>
      </c>
      <c r="Q613" s="2" t="s">
        <v>42</v>
      </c>
      <c r="R613" s="16" t="s">
        <v>42</v>
      </c>
      <c r="S613" s="16">
        <v>1</v>
      </c>
      <c r="T613" s="16">
        <v>1</v>
      </c>
      <c r="U613" s="16" t="s">
        <v>42</v>
      </c>
      <c r="V613" s="16" t="s">
        <v>42</v>
      </c>
      <c r="W613" s="4" t="s">
        <v>42</v>
      </c>
      <c r="X613" s="2" t="s">
        <v>5239</v>
      </c>
      <c r="Y613" s="8" t="str">
        <f>HYPERLINK("http://linkedin.com/in/papantony/", "http://linkedin.com/in/papantony/")</f>
        <v>http://linkedin.com/in/papantony/</v>
      </c>
      <c r="Z613" s="2" t="s">
        <v>55</v>
      </c>
      <c r="AA613" s="2" t="s">
        <v>2602</v>
      </c>
      <c r="AB613" s="2" t="s">
        <v>2603</v>
      </c>
      <c r="AC613" s="2" t="s">
        <v>58</v>
      </c>
      <c r="AD613" s="2" t="s">
        <v>42</v>
      </c>
      <c r="AE613" s="4" t="s">
        <v>715</v>
      </c>
      <c r="AF613" s="2" t="s">
        <v>60</v>
      </c>
      <c r="AG613" s="4" t="s">
        <v>42</v>
      </c>
      <c r="AH613" s="2" t="s">
        <v>61</v>
      </c>
      <c r="AI613" s="2" t="s">
        <v>61</v>
      </c>
      <c r="AJ613" s="2" t="s">
        <v>42</v>
      </c>
      <c r="AK613" s="2" t="s">
        <v>42</v>
      </c>
      <c r="AL613" s="28">
        <v>45839</v>
      </c>
      <c r="AM613" s="4">
        <v>1968</v>
      </c>
      <c r="AN613" s="8" t="str">
        <f>HYPERLINK("https://my.pitchbook.com?p=353128-06P", "View People Online")</f>
        <v>View People Online</v>
      </c>
    </row>
    <row r="614" spans="1:40" x14ac:dyDescent="0.2">
      <c r="A614" s="3" t="s">
        <v>5240</v>
      </c>
      <c r="B614" s="3" t="s">
        <v>5241</v>
      </c>
      <c r="C614" s="3" t="s">
        <v>42</v>
      </c>
      <c r="D614" s="3" t="s">
        <v>42</v>
      </c>
      <c r="E614" s="3" t="s">
        <v>5240</v>
      </c>
      <c r="F614" s="3" t="s">
        <v>5242</v>
      </c>
      <c r="G614" s="3" t="s">
        <v>5243</v>
      </c>
      <c r="H614" s="3" t="s">
        <v>5244</v>
      </c>
      <c r="I614" s="3" t="s">
        <v>46</v>
      </c>
      <c r="J614" s="3" t="s">
        <v>47</v>
      </c>
      <c r="K614" s="3" t="s">
        <v>3772</v>
      </c>
      <c r="L614" s="3" t="s">
        <v>111</v>
      </c>
      <c r="M614" s="9" t="str">
        <f>HYPERLINK("http://www.mc4.com.sa", "www.mc4.com.sa")</f>
        <v>www.mc4.com.sa</v>
      </c>
      <c r="N614" s="3" t="s">
        <v>534</v>
      </c>
      <c r="O614" s="3" t="s">
        <v>42</v>
      </c>
      <c r="P614" s="3" t="s">
        <v>5245</v>
      </c>
      <c r="Q614" s="3" t="s">
        <v>42</v>
      </c>
      <c r="R614" s="17" t="s">
        <v>42</v>
      </c>
      <c r="S614" s="17">
        <v>1</v>
      </c>
      <c r="T614" s="17">
        <v>1</v>
      </c>
      <c r="U614" s="17" t="s">
        <v>42</v>
      </c>
      <c r="V614" s="17" t="s">
        <v>42</v>
      </c>
      <c r="W614" s="5" t="s">
        <v>3775</v>
      </c>
      <c r="X614" s="3" t="s">
        <v>5246</v>
      </c>
      <c r="Y614" s="9" t="str">
        <f>HYPERLINK("http://linkedin.com/in/rabih-nahas/", "http://linkedin.com/in/rabih-nahas/")</f>
        <v>http://linkedin.com/in/rabih-nahas/</v>
      </c>
      <c r="Z614" s="3" t="s">
        <v>383</v>
      </c>
      <c r="AA614" s="3" t="s">
        <v>3776</v>
      </c>
      <c r="AB614" s="3" t="s">
        <v>42</v>
      </c>
      <c r="AC614" s="3" t="s">
        <v>385</v>
      </c>
      <c r="AD614" s="3" t="s">
        <v>42</v>
      </c>
      <c r="AE614" s="5" t="s">
        <v>3777</v>
      </c>
      <c r="AF614" s="3" t="s">
        <v>60</v>
      </c>
      <c r="AG614" s="5" t="s">
        <v>3778</v>
      </c>
      <c r="AH614" s="3" t="s">
        <v>61</v>
      </c>
      <c r="AI614" s="3" t="s">
        <v>61</v>
      </c>
      <c r="AJ614" s="3" t="s">
        <v>42</v>
      </c>
      <c r="AK614" s="3" t="s">
        <v>42</v>
      </c>
      <c r="AL614" s="29">
        <v>45933</v>
      </c>
      <c r="AM614" s="5" t="s">
        <v>42</v>
      </c>
      <c r="AN614" s="9" t="str">
        <f>HYPERLINK("https://my.pitchbook.com?p=467686-09P", "View People Online")</f>
        <v>View People Online</v>
      </c>
    </row>
    <row r="615" spans="1:40" x14ac:dyDescent="0.2">
      <c r="A615" s="2" t="s">
        <v>5247</v>
      </c>
      <c r="B615" s="2" t="s">
        <v>5248</v>
      </c>
      <c r="C615" s="2" t="s">
        <v>42</v>
      </c>
      <c r="D615" s="2" t="s">
        <v>42</v>
      </c>
      <c r="E615" s="2" t="s">
        <v>5247</v>
      </c>
      <c r="F615" s="2" t="s">
        <v>5249</v>
      </c>
      <c r="G615" s="2" t="s">
        <v>934</v>
      </c>
      <c r="H615" s="2" t="s">
        <v>5250</v>
      </c>
      <c r="I615" s="2" t="s">
        <v>46</v>
      </c>
      <c r="J615" s="2" t="s">
        <v>47</v>
      </c>
      <c r="K615" s="2" t="s">
        <v>5251</v>
      </c>
      <c r="L615" s="2" t="s">
        <v>111</v>
      </c>
      <c r="M615" s="8" t="str">
        <f>HYPERLINK("http://www.ayyan.com.sa", "www.ayyan.com.sa")</f>
        <v>www.ayyan.com.sa</v>
      </c>
      <c r="N615" s="2" t="s">
        <v>210</v>
      </c>
      <c r="O615" s="2" t="s">
        <v>42</v>
      </c>
      <c r="P615" s="2" t="s">
        <v>5252</v>
      </c>
      <c r="Q615" s="2" t="s">
        <v>42</v>
      </c>
      <c r="R615" s="16" t="s">
        <v>42</v>
      </c>
      <c r="S615" s="16">
        <v>1</v>
      </c>
      <c r="T615" s="16">
        <v>1</v>
      </c>
      <c r="U615" s="16" t="s">
        <v>42</v>
      </c>
      <c r="V615" s="16" t="s">
        <v>42</v>
      </c>
      <c r="W615" s="4" t="s">
        <v>5253</v>
      </c>
      <c r="X615" s="2" t="s">
        <v>5254</v>
      </c>
      <c r="Y615" s="8" t="str">
        <f>HYPERLINK("http://linkedin.com/in/raed-al-naeem-8ba67575/", "http://linkedin.com/in/raed-al-naeem-8ba67575/")</f>
        <v>http://linkedin.com/in/raed-al-naeem-8ba67575/</v>
      </c>
      <c r="Z615" s="2" t="s">
        <v>5255</v>
      </c>
      <c r="AA615" s="2" t="s">
        <v>5256</v>
      </c>
      <c r="AB615" s="2" t="s">
        <v>5257</v>
      </c>
      <c r="AC615" s="2" t="s">
        <v>5258</v>
      </c>
      <c r="AD615" s="2" t="s">
        <v>42</v>
      </c>
      <c r="AE615" s="4" t="s">
        <v>5259</v>
      </c>
      <c r="AF615" s="2" t="s">
        <v>60</v>
      </c>
      <c r="AG615" s="4" t="s">
        <v>5260</v>
      </c>
      <c r="AH615" s="2" t="s">
        <v>61</v>
      </c>
      <c r="AI615" s="2" t="s">
        <v>61</v>
      </c>
      <c r="AJ615" s="2" t="s">
        <v>42</v>
      </c>
      <c r="AK615" s="2" t="s">
        <v>42</v>
      </c>
      <c r="AL615" s="28">
        <v>45756</v>
      </c>
      <c r="AM615" s="4" t="s">
        <v>42</v>
      </c>
      <c r="AN615" s="8" t="str">
        <f>HYPERLINK("https://my.pitchbook.com?p=228003-22P", "View People Online")</f>
        <v>View People Online</v>
      </c>
    </row>
    <row r="616" spans="1:40" x14ac:dyDescent="0.2">
      <c r="A616" s="3" t="s">
        <v>5261</v>
      </c>
      <c r="B616" s="3" t="s">
        <v>5262</v>
      </c>
      <c r="C616" s="3" t="s">
        <v>42</v>
      </c>
      <c r="D616" s="3" t="s">
        <v>42</v>
      </c>
      <c r="E616" s="3" t="s">
        <v>5261</v>
      </c>
      <c r="F616" s="3" t="s">
        <v>5263</v>
      </c>
      <c r="G616" s="3" t="s">
        <v>934</v>
      </c>
      <c r="H616" s="3" t="s">
        <v>543</v>
      </c>
      <c r="I616" s="3" t="s">
        <v>46</v>
      </c>
      <c r="J616" s="3" t="s">
        <v>47</v>
      </c>
      <c r="K616" s="3" t="s">
        <v>3390</v>
      </c>
      <c r="L616" s="3" t="s">
        <v>111</v>
      </c>
      <c r="M616" s="9" t="str">
        <f>HYPERLINK("http://www.ugc.com.sa", "www.ugc.com.sa")</f>
        <v>www.ugc.com.sa</v>
      </c>
      <c r="N616" s="3" t="s">
        <v>246</v>
      </c>
      <c r="O616" s="3" t="s">
        <v>42</v>
      </c>
      <c r="P616" s="3" t="s">
        <v>5264</v>
      </c>
      <c r="Q616" s="3" t="s">
        <v>42</v>
      </c>
      <c r="R616" s="17">
        <v>1</v>
      </c>
      <c r="S616" s="17">
        <v>1</v>
      </c>
      <c r="T616" s="17">
        <v>1</v>
      </c>
      <c r="U616" s="17" t="s">
        <v>42</v>
      </c>
      <c r="V616" s="17" t="s">
        <v>42</v>
      </c>
      <c r="W616" s="5" t="s">
        <v>3392</v>
      </c>
      <c r="X616" s="3" t="s">
        <v>5265</v>
      </c>
      <c r="Y616" s="9" t="str">
        <f>HYPERLINK("http://linkedin.com/in/raed-al-mudaiheem-5a425519/", "http://linkedin.com/in/raed-al-mudaiheem-5a425519/")</f>
        <v>http://linkedin.com/in/raed-al-mudaiheem-5a425519/</v>
      </c>
      <c r="Z616" s="3" t="s">
        <v>174</v>
      </c>
      <c r="AA616" s="3" t="s">
        <v>3394</v>
      </c>
      <c r="AB616" s="3" t="s">
        <v>3395</v>
      </c>
      <c r="AC616" s="3" t="s">
        <v>176</v>
      </c>
      <c r="AD616" s="3" t="s">
        <v>42</v>
      </c>
      <c r="AE616" s="5" t="s">
        <v>3396</v>
      </c>
      <c r="AF616" s="3" t="s">
        <v>60</v>
      </c>
      <c r="AG616" s="5" t="s">
        <v>42</v>
      </c>
      <c r="AH616" s="3" t="s">
        <v>61</v>
      </c>
      <c r="AI616" s="3" t="s">
        <v>61</v>
      </c>
      <c r="AJ616" s="3" t="s">
        <v>42</v>
      </c>
      <c r="AK616" s="3" t="s">
        <v>42</v>
      </c>
      <c r="AL616" s="29">
        <v>46044</v>
      </c>
      <c r="AM616" s="5" t="s">
        <v>42</v>
      </c>
      <c r="AN616" s="9" t="str">
        <f>HYPERLINK("https://my.pitchbook.com?p=483234-85P", "View People Online")</f>
        <v>View People Online</v>
      </c>
    </row>
    <row r="617" spans="1:40" x14ac:dyDescent="0.2">
      <c r="A617" s="2" t="s">
        <v>5266</v>
      </c>
      <c r="B617" s="2" t="s">
        <v>5267</v>
      </c>
      <c r="C617" s="2" t="s">
        <v>42</v>
      </c>
      <c r="D617" s="2" t="s">
        <v>42</v>
      </c>
      <c r="E617" s="2" t="s">
        <v>5266</v>
      </c>
      <c r="F617" s="2" t="s">
        <v>5268</v>
      </c>
      <c r="G617" s="2" t="s">
        <v>5269</v>
      </c>
      <c r="H617" s="2" t="s">
        <v>42</v>
      </c>
      <c r="I617" s="2" t="s">
        <v>46</v>
      </c>
      <c r="J617" s="2" t="s">
        <v>47</v>
      </c>
      <c r="K617" s="2" t="s">
        <v>2382</v>
      </c>
      <c r="L617" s="2" t="s">
        <v>111</v>
      </c>
      <c r="M617" s="8" t="str">
        <f>HYPERLINK("http://www.entaj.com", "www.entaj.com")</f>
        <v>www.entaj.com</v>
      </c>
      <c r="N617" s="2" t="s">
        <v>210</v>
      </c>
      <c r="O617" s="2" t="s">
        <v>42</v>
      </c>
      <c r="P617" s="2" t="s">
        <v>5270</v>
      </c>
      <c r="Q617" s="2" t="s">
        <v>42</v>
      </c>
      <c r="R617" s="16" t="s">
        <v>42</v>
      </c>
      <c r="S617" s="16">
        <v>1</v>
      </c>
      <c r="T617" s="16">
        <v>1</v>
      </c>
      <c r="U617" s="16" t="s">
        <v>42</v>
      </c>
      <c r="V617" s="16" t="s">
        <v>42</v>
      </c>
      <c r="W617" s="4" t="s">
        <v>42</v>
      </c>
      <c r="X617" s="2" t="s">
        <v>42</v>
      </c>
      <c r="Y617" s="2" t="s">
        <v>42</v>
      </c>
      <c r="Z617" s="2" t="s">
        <v>55</v>
      </c>
      <c r="AA617" s="2" t="s">
        <v>2385</v>
      </c>
      <c r="AB617" s="2" t="s">
        <v>42</v>
      </c>
      <c r="AC617" s="2" t="s">
        <v>58</v>
      </c>
      <c r="AD617" s="2" t="s">
        <v>42</v>
      </c>
      <c r="AE617" s="4" t="s">
        <v>2386</v>
      </c>
      <c r="AF617" s="2" t="s">
        <v>60</v>
      </c>
      <c r="AG617" s="4" t="s">
        <v>42</v>
      </c>
      <c r="AH617" s="2" t="s">
        <v>61</v>
      </c>
      <c r="AI617" s="2" t="s">
        <v>61</v>
      </c>
      <c r="AJ617" s="2" t="s">
        <v>42</v>
      </c>
      <c r="AK617" s="2" t="s">
        <v>42</v>
      </c>
      <c r="AL617" s="28">
        <v>45688</v>
      </c>
      <c r="AM617" s="4" t="s">
        <v>42</v>
      </c>
      <c r="AN617" s="8" t="str">
        <f>HYPERLINK("https://my.pitchbook.com?p=432026-47P", "View People Online")</f>
        <v>View People Online</v>
      </c>
    </row>
    <row r="618" spans="1:40" x14ac:dyDescent="0.2">
      <c r="A618" s="3" t="s">
        <v>5271</v>
      </c>
      <c r="B618" s="3" t="s">
        <v>5272</v>
      </c>
      <c r="C618" s="3" t="s">
        <v>42</v>
      </c>
      <c r="D618" s="3" t="s">
        <v>42</v>
      </c>
      <c r="E618" s="3" t="s">
        <v>5271</v>
      </c>
      <c r="F618" s="3" t="s">
        <v>1639</v>
      </c>
      <c r="G618" s="3" t="s">
        <v>5273</v>
      </c>
      <c r="H618" s="3" t="s">
        <v>5274</v>
      </c>
      <c r="I618" s="3" t="s">
        <v>46</v>
      </c>
      <c r="J618" s="3" t="s">
        <v>47</v>
      </c>
      <c r="K618" s="3" t="s">
        <v>5275</v>
      </c>
      <c r="L618" s="3" t="s">
        <v>111</v>
      </c>
      <c r="M618" s="9" t="str">
        <f>HYPERLINK("http://www.balsmalofoq-mc.com", "www.balsmalofoq-mc.com")</f>
        <v>www.balsmalofoq-mc.com</v>
      </c>
      <c r="N618" s="3" t="s">
        <v>447</v>
      </c>
      <c r="O618" s="3" t="s">
        <v>42</v>
      </c>
      <c r="P618" s="3" t="s">
        <v>5276</v>
      </c>
      <c r="Q618" s="3" t="s">
        <v>42</v>
      </c>
      <c r="R618" s="17" t="s">
        <v>42</v>
      </c>
      <c r="S618" s="17">
        <v>1</v>
      </c>
      <c r="T618" s="17">
        <v>1</v>
      </c>
      <c r="U618" s="17" t="s">
        <v>42</v>
      </c>
      <c r="V618" s="17" t="s">
        <v>42</v>
      </c>
      <c r="W618" s="5" t="s">
        <v>42</v>
      </c>
      <c r="X618" s="3" t="s">
        <v>5277</v>
      </c>
      <c r="Y618" s="3" t="s">
        <v>42</v>
      </c>
      <c r="Z618" s="3" t="s">
        <v>60</v>
      </c>
      <c r="AA618" s="3" t="s">
        <v>5278</v>
      </c>
      <c r="AB618" s="3" t="s">
        <v>42</v>
      </c>
      <c r="AC618" s="3" t="s">
        <v>42</v>
      </c>
      <c r="AD618" s="3" t="s">
        <v>42</v>
      </c>
      <c r="AE618" s="5" t="s">
        <v>42</v>
      </c>
      <c r="AF618" s="3" t="s">
        <v>60</v>
      </c>
      <c r="AG618" s="5" t="s">
        <v>42</v>
      </c>
      <c r="AH618" s="3" t="s">
        <v>61</v>
      </c>
      <c r="AI618" s="3" t="s">
        <v>61</v>
      </c>
      <c r="AJ618" s="3" t="s">
        <v>42</v>
      </c>
      <c r="AK618" s="3" t="s">
        <v>42</v>
      </c>
      <c r="AL618" s="29">
        <v>45623</v>
      </c>
      <c r="AM618" s="5" t="s">
        <v>42</v>
      </c>
      <c r="AN618" s="9" t="str">
        <f>HYPERLINK("https://my.pitchbook.com?p=422803-63P", "View People Online")</f>
        <v>View People Online</v>
      </c>
    </row>
    <row r="619" spans="1:40" x14ac:dyDescent="0.2">
      <c r="A619" s="2" t="s">
        <v>5279</v>
      </c>
      <c r="B619" s="2" t="s">
        <v>5280</v>
      </c>
      <c r="C619" s="2" t="s">
        <v>42</v>
      </c>
      <c r="D619" s="2" t="s">
        <v>42</v>
      </c>
      <c r="E619" s="2" t="s">
        <v>5279</v>
      </c>
      <c r="F619" s="2" t="s">
        <v>5281</v>
      </c>
      <c r="G619" s="2" t="s">
        <v>5273</v>
      </c>
      <c r="H619" s="2" t="s">
        <v>5282</v>
      </c>
      <c r="I619" s="2" t="s">
        <v>46</v>
      </c>
      <c r="J619" s="2" t="s">
        <v>47</v>
      </c>
      <c r="K619" s="2" t="s">
        <v>1164</v>
      </c>
      <c r="L619" s="2" t="s">
        <v>111</v>
      </c>
      <c r="M619" s="8" t="str">
        <f>HYPERLINK("http://www.najrancement.com", "www.najrancement.com")</f>
        <v>www.najrancement.com</v>
      </c>
      <c r="N619" s="2" t="s">
        <v>534</v>
      </c>
      <c r="O619" s="2" t="s">
        <v>42</v>
      </c>
      <c r="P619" s="2" t="s">
        <v>5283</v>
      </c>
      <c r="Q619" s="2" t="s">
        <v>42</v>
      </c>
      <c r="R619" s="16" t="s">
        <v>42</v>
      </c>
      <c r="S619" s="16">
        <v>1</v>
      </c>
      <c r="T619" s="16">
        <v>1</v>
      </c>
      <c r="U619" s="16" t="s">
        <v>42</v>
      </c>
      <c r="V619" s="16" t="s">
        <v>42</v>
      </c>
      <c r="W619" s="4" t="s">
        <v>1166</v>
      </c>
      <c r="X619" s="2" t="s">
        <v>42</v>
      </c>
      <c r="Y619" s="8" t="str">
        <f>HYPERLINK("http://linkedin.com/in/rami-abu-jneid-certifr-0b70844/?trk=people-guest_people_search-card&amp;originalsubdomain=sa", "http://linkedin.com/in/rami-abu-jneid-certifr-0b70844/?trk=people-guest_people_search-card&amp;originalsubdomain=sa")</f>
        <v>http://linkedin.com/in/rami-abu-jneid-certifr-0b70844/?trk=people-guest_people_search-card&amp;originalsubdomain=sa</v>
      </c>
      <c r="Z619" s="2" t="s">
        <v>1168</v>
      </c>
      <c r="AA619" s="2" t="s">
        <v>1169</v>
      </c>
      <c r="AB619" s="2" t="s">
        <v>1170</v>
      </c>
      <c r="AC619" s="2" t="s">
        <v>1171</v>
      </c>
      <c r="AD619" s="2" t="s">
        <v>42</v>
      </c>
      <c r="AE619" s="4" t="s">
        <v>1172</v>
      </c>
      <c r="AF619" s="2" t="s">
        <v>60</v>
      </c>
      <c r="AG619" s="4" t="s">
        <v>1173</v>
      </c>
      <c r="AH619" s="2" t="s">
        <v>61</v>
      </c>
      <c r="AI619" s="2" t="s">
        <v>61</v>
      </c>
      <c r="AJ619" s="2" t="s">
        <v>42</v>
      </c>
      <c r="AK619" s="2" t="s">
        <v>42</v>
      </c>
      <c r="AL619" s="28">
        <v>45729</v>
      </c>
      <c r="AM619" s="4" t="s">
        <v>42</v>
      </c>
      <c r="AN619" s="8" t="str">
        <f>HYPERLINK("https://my.pitchbook.com?p=341119-99P", "View People Online")</f>
        <v>View People Online</v>
      </c>
    </row>
    <row r="620" spans="1:40" x14ac:dyDescent="0.2">
      <c r="A620" s="3" t="s">
        <v>5284</v>
      </c>
      <c r="B620" s="3" t="s">
        <v>5285</v>
      </c>
      <c r="C620" s="3" t="s">
        <v>42</v>
      </c>
      <c r="D620" s="3" t="s">
        <v>42</v>
      </c>
      <c r="E620" s="3" t="s">
        <v>5284</v>
      </c>
      <c r="F620" s="3" t="s">
        <v>271</v>
      </c>
      <c r="G620" s="3" t="s">
        <v>5286</v>
      </c>
      <c r="H620" s="3" t="s">
        <v>42</v>
      </c>
      <c r="I620" s="3" t="s">
        <v>46</v>
      </c>
      <c r="J620" s="3" t="s">
        <v>47</v>
      </c>
      <c r="K620" s="3" t="s">
        <v>1424</v>
      </c>
      <c r="L620" s="3" t="s">
        <v>111</v>
      </c>
      <c r="M620" s="9" t="str">
        <f>HYPERLINK("http://www.almujtama.com.sa", "www.almujtama.com.sa")</f>
        <v>www.almujtama.com.sa</v>
      </c>
      <c r="N620" s="3" t="s">
        <v>534</v>
      </c>
      <c r="O620" s="3" t="s">
        <v>42</v>
      </c>
      <c r="P620" s="3" t="s">
        <v>5287</v>
      </c>
      <c r="Q620" s="3" t="s">
        <v>42</v>
      </c>
      <c r="R620" s="17" t="s">
        <v>42</v>
      </c>
      <c r="S620" s="17">
        <v>1</v>
      </c>
      <c r="T620" s="17">
        <v>1</v>
      </c>
      <c r="U620" s="17" t="s">
        <v>42</v>
      </c>
      <c r="V620" s="17" t="s">
        <v>42</v>
      </c>
      <c r="W620" s="5" t="s">
        <v>1427</v>
      </c>
      <c r="X620" s="3" t="s">
        <v>5288</v>
      </c>
      <c r="Y620" s="3" t="s">
        <v>42</v>
      </c>
      <c r="Z620" s="3" t="s">
        <v>174</v>
      </c>
      <c r="AA620" s="3" t="s">
        <v>1429</v>
      </c>
      <c r="AB620" s="3" t="s">
        <v>1430</v>
      </c>
      <c r="AC620" s="3" t="s">
        <v>176</v>
      </c>
      <c r="AD620" s="3" t="s">
        <v>42</v>
      </c>
      <c r="AE620" s="5" t="s">
        <v>1431</v>
      </c>
      <c r="AF620" s="3" t="s">
        <v>60</v>
      </c>
      <c r="AG620" s="5" t="s">
        <v>42</v>
      </c>
      <c r="AH620" s="3" t="s">
        <v>61</v>
      </c>
      <c r="AI620" s="3" t="s">
        <v>61</v>
      </c>
      <c r="AJ620" s="3" t="s">
        <v>42</v>
      </c>
      <c r="AK620" s="3" t="s">
        <v>42</v>
      </c>
      <c r="AL620" s="29">
        <v>45923</v>
      </c>
      <c r="AM620" s="5" t="s">
        <v>42</v>
      </c>
      <c r="AN620" s="9" t="str">
        <f>HYPERLINK("https://my.pitchbook.com?p=376419-16P", "View People Online")</f>
        <v>View People Online</v>
      </c>
    </row>
    <row r="621" spans="1:40" x14ac:dyDescent="0.2">
      <c r="A621" s="2" t="s">
        <v>5289</v>
      </c>
      <c r="B621" s="2" t="s">
        <v>5290</v>
      </c>
      <c r="C621" s="2" t="s">
        <v>42</v>
      </c>
      <c r="D621" s="2" t="s">
        <v>42</v>
      </c>
      <c r="E621" s="2" t="s">
        <v>5289</v>
      </c>
      <c r="F621" s="2" t="s">
        <v>5291</v>
      </c>
      <c r="G621" s="2" t="s">
        <v>5273</v>
      </c>
      <c r="H621" s="2" t="s">
        <v>5292</v>
      </c>
      <c r="I621" s="2" t="s">
        <v>46</v>
      </c>
      <c r="J621" s="2" t="s">
        <v>47</v>
      </c>
      <c r="K621" s="2" t="s">
        <v>5293</v>
      </c>
      <c r="L621" s="2" t="s">
        <v>111</v>
      </c>
      <c r="M621" s="8" t="str">
        <f>HYPERLINK("http://www.awpt.com.sa", "www.awpt.com.sa")</f>
        <v>www.awpt.com.sa</v>
      </c>
      <c r="N621" s="2" t="s">
        <v>210</v>
      </c>
      <c r="O621" s="2" t="s">
        <v>42</v>
      </c>
      <c r="P621" s="2" t="s">
        <v>5294</v>
      </c>
      <c r="Q621" s="2" t="s">
        <v>42</v>
      </c>
      <c r="R621" s="16" t="s">
        <v>42</v>
      </c>
      <c r="S621" s="16">
        <v>1</v>
      </c>
      <c r="T621" s="16">
        <v>1</v>
      </c>
      <c r="U621" s="16" t="s">
        <v>42</v>
      </c>
      <c r="V621" s="16" t="s">
        <v>42</v>
      </c>
      <c r="W621" s="4" t="s">
        <v>5295</v>
      </c>
      <c r="X621" s="2" t="s">
        <v>5296</v>
      </c>
      <c r="Y621" s="8" t="str">
        <f>HYPERLINK("http://linkedin.com/in/ramimoussilli/", "http://linkedin.com/in/ramimoussilli/")</f>
        <v>http://linkedin.com/in/ramimoussilli/</v>
      </c>
      <c r="Z621" s="2" t="s">
        <v>55</v>
      </c>
      <c r="AA621" s="2" t="s">
        <v>42</v>
      </c>
      <c r="AB621" s="2" t="s">
        <v>42</v>
      </c>
      <c r="AC621" s="2" t="s">
        <v>58</v>
      </c>
      <c r="AD621" s="2" t="s">
        <v>42</v>
      </c>
      <c r="AE621" s="4" t="s">
        <v>3014</v>
      </c>
      <c r="AF621" s="2" t="s">
        <v>60</v>
      </c>
      <c r="AG621" s="4" t="s">
        <v>5297</v>
      </c>
      <c r="AH621" s="2" t="s">
        <v>61</v>
      </c>
      <c r="AI621" s="2" t="s">
        <v>61</v>
      </c>
      <c r="AJ621" s="2" t="s">
        <v>42</v>
      </c>
      <c r="AK621" s="2" t="s">
        <v>42</v>
      </c>
      <c r="AL621" s="28">
        <v>45464</v>
      </c>
      <c r="AM621" s="4" t="s">
        <v>42</v>
      </c>
      <c r="AN621" s="8" t="str">
        <f>HYPERLINK("https://my.pitchbook.com?p=326279-80P", "View People Online")</f>
        <v>View People Online</v>
      </c>
    </row>
    <row r="622" spans="1:40" x14ac:dyDescent="0.2">
      <c r="A622" s="3" t="s">
        <v>5298</v>
      </c>
      <c r="B622" s="3" t="s">
        <v>5299</v>
      </c>
      <c r="C622" s="3" t="s">
        <v>42</v>
      </c>
      <c r="D622" s="3" t="s">
        <v>42</v>
      </c>
      <c r="E622" s="3" t="s">
        <v>5298</v>
      </c>
      <c r="F622" s="3" t="s">
        <v>5300</v>
      </c>
      <c r="G622" s="3" t="s">
        <v>5301</v>
      </c>
      <c r="H622" s="3" t="s">
        <v>42</v>
      </c>
      <c r="I622" s="3" t="s">
        <v>46</v>
      </c>
      <c r="J622" s="3" t="s">
        <v>47</v>
      </c>
      <c r="K622" s="3" t="s">
        <v>1543</v>
      </c>
      <c r="L622" s="3" t="s">
        <v>111</v>
      </c>
      <c r="M622" s="9" t="str">
        <f>HYPERLINK("http://www.bsf.sa", "www.bsf.sa")</f>
        <v>www.bsf.sa</v>
      </c>
      <c r="N622" s="3" t="s">
        <v>5302</v>
      </c>
      <c r="O622" s="3" t="s">
        <v>42</v>
      </c>
      <c r="P622" s="3" t="s">
        <v>5303</v>
      </c>
      <c r="Q622" s="3" t="s">
        <v>42</v>
      </c>
      <c r="R622" s="17" t="s">
        <v>42</v>
      </c>
      <c r="S622" s="17">
        <v>1</v>
      </c>
      <c r="T622" s="17">
        <v>1</v>
      </c>
      <c r="U622" s="17" t="s">
        <v>42</v>
      </c>
      <c r="V622" s="17" t="s">
        <v>42</v>
      </c>
      <c r="W622" s="5" t="s">
        <v>1546</v>
      </c>
      <c r="X622" s="3" t="s">
        <v>5304</v>
      </c>
      <c r="Y622" s="9" t="str">
        <f>HYPERLINK("http://sa.linkedin.com/in/rdarwish", "http://sa.linkedin.com/in/rdarwish")</f>
        <v>http://sa.linkedin.com/in/rdarwish</v>
      </c>
      <c r="Z622" s="3" t="s">
        <v>55</v>
      </c>
      <c r="AA622" s="3" t="s">
        <v>1547</v>
      </c>
      <c r="AB622" s="3" t="s">
        <v>42</v>
      </c>
      <c r="AC622" s="3" t="s">
        <v>58</v>
      </c>
      <c r="AD622" s="3" t="s">
        <v>42</v>
      </c>
      <c r="AE622" s="5" t="s">
        <v>1548</v>
      </c>
      <c r="AF622" s="3" t="s">
        <v>60</v>
      </c>
      <c r="AG622" s="5" t="s">
        <v>1549</v>
      </c>
      <c r="AH622" s="3" t="s">
        <v>61</v>
      </c>
      <c r="AI622" s="3" t="s">
        <v>61</v>
      </c>
      <c r="AJ622" s="3" t="s">
        <v>907</v>
      </c>
      <c r="AK622" s="3" t="s">
        <v>907</v>
      </c>
      <c r="AL622" s="29">
        <v>46057</v>
      </c>
      <c r="AM622" s="5" t="s">
        <v>42</v>
      </c>
      <c r="AN622" s="9" t="str">
        <f>HYPERLINK("https://my.pitchbook.com?p=329582-26P", "View People Online")</f>
        <v>View People Online</v>
      </c>
    </row>
    <row r="623" spans="1:40" x14ac:dyDescent="0.2">
      <c r="A623" s="2" t="s">
        <v>5305</v>
      </c>
      <c r="B623" s="2" t="s">
        <v>5306</v>
      </c>
      <c r="C623" s="2" t="s">
        <v>42</v>
      </c>
      <c r="D623" s="2" t="s">
        <v>42</v>
      </c>
      <c r="E623" s="2" t="s">
        <v>5305</v>
      </c>
      <c r="F623" s="2" t="s">
        <v>5307</v>
      </c>
      <c r="G623" s="2" t="s">
        <v>5301</v>
      </c>
      <c r="H623" s="2" t="s">
        <v>42</v>
      </c>
      <c r="I623" s="2" t="s">
        <v>46</v>
      </c>
      <c r="J623" s="2" t="s">
        <v>47</v>
      </c>
      <c r="K623" s="2" t="s">
        <v>2723</v>
      </c>
      <c r="L623" s="2" t="s">
        <v>111</v>
      </c>
      <c r="M623" s="8" t="str">
        <f>HYPERLINK("http://www.flynas.com", "www.flynas.com")</f>
        <v>www.flynas.com</v>
      </c>
      <c r="N623" s="2" t="s">
        <v>1281</v>
      </c>
      <c r="O623" s="2" t="s">
        <v>42</v>
      </c>
      <c r="P623" s="2" t="s">
        <v>5308</v>
      </c>
      <c r="Q623" s="2" t="s">
        <v>42</v>
      </c>
      <c r="R623" s="16" t="s">
        <v>42</v>
      </c>
      <c r="S623" s="16">
        <v>1</v>
      </c>
      <c r="T623" s="16">
        <v>1</v>
      </c>
      <c r="U623" s="16" t="s">
        <v>42</v>
      </c>
      <c r="V623" s="16" t="s">
        <v>42</v>
      </c>
      <c r="W623" s="4" t="s">
        <v>2725</v>
      </c>
      <c r="X623" s="2" t="s">
        <v>5309</v>
      </c>
      <c r="Y623" s="8" t="str">
        <f>HYPERLINK("http://sa.linkedin.com/in/ramzizaroubi", "http://sa.linkedin.com/in/ramzizaroubi")</f>
        <v>http://sa.linkedin.com/in/ramzizaroubi</v>
      </c>
      <c r="Z623" s="2" t="s">
        <v>55</v>
      </c>
      <c r="AA623" s="2" t="s">
        <v>2726</v>
      </c>
      <c r="AB623" s="2" t="s">
        <v>692</v>
      </c>
      <c r="AC623" s="2" t="s">
        <v>58</v>
      </c>
      <c r="AD623" s="2" t="s">
        <v>42</v>
      </c>
      <c r="AE623" s="4" t="s">
        <v>2727</v>
      </c>
      <c r="AF623" s="2" t="s">
        <v>60</v>
      </c>
      <c r="AG623" s="4" t="s">
        <v>42</v>
      </c>
      <c r="AH623" s="2" t="s">
        <v>61</v>
      </c>
      <c r="AI623" s="2" t="s">
        <v>61</v>
      </c>
      <c r="AJ623" s="2" t="s">
        <v>42</v>
      </c>
      <c r="AK623" s="2" t="s">
        <v>42</v>
      </c>
      <c r="AL623" s="28">
        <v>45790</v>
      </c>
      <c r="AM623" s="4" t="s">
        <v>42</v>
      </c>
      <c r="AN623" s="8" t="str">
        <f>HYPERLINK("https://my.pitchbook.com?p=144076-33P", "View People Online")</f>
        <v>View People Online</v>
      </c>
    </row>
    <row r="624" spans="1:40" x14ac:dyDescent="0.2">
      <c r="A624" s="3" t="s">
        <v>5310</v>
      </c>
      <c r="B624" s="3" t="s">
        <v>5311</v>
      </c>
      <c r="C624" s="3" t="s">
        <v>42</v>
      </c>
      <c r="D624" s="3" t="s">
        <v>42</v>
      </c>
      <c r="E624" s="3" t="s">
        <v>5310</v>
      </c>
      <c r="F624" s="3" t="s">
        <v>760</v>
      </c>
      <c r="G624" s="3" t="s">
        <v>5312</v>
      </c>
      <c r="H624" s="3" t="s">
        <v>42</v>
      </c>
      <c r="I624" s="3" t="s">
        <v>46</v>
      </c>
      <c r="J624" s="3" t="s">
        <v>47</v>
      </c>
      <c r="K624" s="3" t="s">
        <v>4490</v>
      </c>
      <c r="L624" s="3" t="s">
        <v>111</v>
      </c>
      <c r="M624" s="9" t="str">
        <f>HYPERLINK("http://www.avalonpharmaceutical.com", "www.avalonpharmaceutical.com")</f>
        <v>www.avalonpharmaceutical.com</v>
      </c>
      <c r="N624" s="3" t="s">
        <v>370</v>
      </c>
      <c r="O624" s="3" t="s">
        <v>42</v>
      </c>
      <c r="P624" s="3" t="s">
        <v>5313</v>
      </c>
      <c r="Q624" s="3" t="s">
        <v>128</v>
      </c>
      <c r="R624" s="17" t="s">
        <v>42</v>
      </c>
      <c r="S624" s="17">
        <v>1</v>
      </c>
      <c r="T624" s="17">
        <v>1</v>
      </c>
      <c r="U624" s="17" t="s">
        <v>42</v>
      </c>
      <c r="V624" s="17" t="s">
        <v>42</v>
      </c>
      <c r="W624" s="5" t="s">
        <v>4492</v>
      </c>
      <c r="X624" s="3" t="s">
        <v>5314</v>
      </c>
      <c r="Y624" s="9" t="str">
        <f>HYPERLINK("http://linkedin.com/in/rasheed-alrasheed-8a155178/", "http://linkedin.com/in/rasheed-alrasheed-8a155178/")</f>
        <v>http://linkedin.com/in/rasheed-alrasheed-8a155178/</v>
      </c>
      <c r="Z624" s="3" t="s">
        <v>55</v>
      </c>
      <c r="AA624" s="3" t="s">
        <v>4494</v>
      </c>
      <c r="AB624" s="3" t="s">
        <v>4495</v>
      </c>
      <c r="AC624" s="3" t="s">
        <v>58</v>
      </c>
      <c r="AD624" s="3" t="s">
        <v>42</v>
      </c>
      <c r="AE624" s="5" t="s">
        <v>4496</v>
      </c>
      <c r="AF624" s="3" t="s">
        <v>60</v>
      </c>
      <c r="AG624" s="5" t="s">
        <v>42</v>
      </c>
      <c r="AH624" s="3" t="s">
        <v>61</v>
      </c>
      <c r="AI624" s="3" t="s">
        <v>61</v>
      </c>
      <c r="AJ624" s="3" t="s">
        <v>42</v>
      </c>
      <c r="AK624" s="3" t="s">
        <v>42</v>
      </c>
      <c r="AL624" s="29">
        <v>45940</v>
      </c>
      <c r="AM624" s="5" t="s">
        <v>42</v>
      </c>
      <c r="AN624" s="9" t="str">
        <f>HYPERLINK("https://my.pitchbook.com?p=379630-36P", "View People Online")</f>
        <v>View People Online</v>
      </c>
    </row>
    <row r="625" spans="1:40" x14ac:dyDescent="0.2">
      <c r="A625" s="2" t="s">
        <v>5315</v>
      </c>
      <c r="B625" s="2" t="s">
        <v>5316</v>
      </c>
      <c r="C625" s="2" t="s">
        <v>42</v>
      </c>
      <c r="D625" s="2" t="s">
        <v>42</v>
      </c>
      <c r="E625" s="2" t="s">
        <v>5315</v>
      </c>
      <c r="F625" s="2" t="s">
        <v>5317</v>
      </c>
      <c r="G625" s="2" t="s">
        <v>5318</v>
      </c>
      <c r="H625" s="2" t="s">
        <v>5319</v>
      </c>
      <c r="I625" s="2" t="s">
        <v>46</v>
      </c>
      <c r="J625" s="2" t="s">
        <v>47</v>
      </c>
      <c r="K625" s="2" t="s">
        <v>425</v>
      </c>
      <c r="L625" s="2" t="s">
        <v>111</v>
      </c>
      <c r="M625" s="8" t="str">
        <f>HYPERLINK("http://www.budgetsaudi.com", "www.budgetsaudi.com")</f>
        <v>www.budgetsaudi.com</v>
      </c>
      <c r="N625" s="2" t="s">
        <v>534</v>
      </c>
      <c r="O625" s="2" t="s">
        <v>42</v>
      </c>
      <c r="P625" s="2" t="s">
        <v>5320</v>
      </c>
      <c r="Q625" s="2" t="s">
        <v>5321</v>
      </c>
      <c r="R625" s="16" t="s">
        <v>42</v>
      </c>
      <c r="S625" s="16">
        <v>1</v>
      </c>
      <c r="T625" s="16">
        <v>1</v>
      </c>
      <c r="U625" s="16" t="s">
        <v>42</v>
      </c>
      <c r="V625" s="16" t="s">
        <v>42</v>
      </c>
      <c r="W625" s="4" t="s">
        <v>429</v>
      </c>
      <c r="X625" s="2" t="s">
        <v>5322</v>
      </c>
      <c r="Y625" s="2" t="s">
        <v>42</v>
      </c>
      <c r="Z625" s="2" t="s">
        <v>174</v>
      </c>
      <c r="AA625" s="2" t="s">
        <v>431</v>
      </c>
      <c r="AB625" s="2" t="s">
        <v>432</v>
      </c>
      <c r="AC625" s="2" t="s">
        <v>176</v>
      </c>
      <c r="AD625" s="2" t="s">
        <v>42</v>
      </c>
      <c r="AE625" s="4" t="s">
        <v>433</v>
      </c>
      <c r="AF625" s="2" t="s">
        <v>60</v>
      </c>
      <c r="AG625" s="4" t="s">
        <v>434</v>
      </c>
      <c r="AH625" s="2" t="s">
        <v>61</v>
      </c>
      <c r="AI625" s="2" t="s">
        <v>61</v>
      </c>
      <c r="AJ625" s="2" t="s">
        <v>42</v>
      </c>
      <c r="AK625" s="2" t="s">
        <v>42</v>
      </c>
      <c r="AL625" s="28">
        <v>45903</v>
      </c>
      <c r="AM625" s="4" t="s">
        <v>42</v>
      </c>
      <c r="AN625" s="8" t="str">
        <f>HYPERLINK("https://my.pitchbook.com?p=339983-65P", "View People Online")</f>
        <v>View People Online</v>
      </c>
    </row>
    <row r="626" spans="1:40" x14ac:dyDescent="0.2">
      <c r="A626" s="3" t="s">
        <v>5323</v>
      </c>
      <c r="B626" s="3" t="s">
        <v>5324</v>
      </c>
      <c r="C626" s="3" t="s">
        <v>42</v>
      </c>
      <c r="D626" s="3" t="s">
        <v>42</v>
      </c>
      <c r="E626" s="3" t="s">
        <v>5323</v>
      </c>
      <c r="F626" s="3" t="s">
        <v>5325</v>
      </c>
      <c r="G626" s="3" t="s">
        <v>5326</v>
      </c>
      <c r="H626" s="3" t="s">
        <v>284</v>
      </c>
      <c r="I626" s="3" t="s">
        <v>46</v>
      </c>
      <c r="J626" s="3" t="s">
        <v>47</v>
      </c>
      <c r="K626" s="3" t="s">
        <v>5327</v>
      </c>
      <c r="L626" s="3" t="s">
        <v>111</v>
      </c>
      <c r="M626" s="9" t="str">
        <f>HYPERLINK("http://www.alasmak.com.sa", "www.alasmak.com.sa")</f>
        <v>www.alasmak.com.sa</v>
      </c>
      <c r="N626" s="3" t="s">
        <v>210</v>
      </c>
      <c r="O626" s="3" t="s">
        <v>42</v>
      </c>
      <c r="P626" s="3" t="s">
        <v>5328</v>
      </c>
      <c r="Q626" s="3" t="s">
        <v>42</v>
      </c>
      <c r="R626" s="17" t="s">
        <v>42</v>
      </c>
      <c r="S626" s="17">
        <v>1</v>
      </c>
      <c r="T626" s="17">
        <v>1</v>
      </c>
      <c r="U626" s="17" t="s">
        <v>42</v>
      </c>
      <c r="V626" s="17" t="s">
        <v>42</v>
      </c>
      <c r="W626" s="5" t="s">
        <v>5329</v>
      </c>
      <c r="X626" s="3" t="s">
        <v>42</v>
      </c>
      <c r="Y626" s="3" t="s">
        <v>42</v>
      </c>
      <c r="Z626" s="3" t="s">
        <v>55</v>
      </c>
      <c r="AA626" s="3" t="s">
        <v>5330</v>
      </c>
      <c r="AB626" s="3" t="s">
        <v>5331</v>
      </c>
      <c r="AC626" s="3" t="s">
        <v>58</v>
      </c>
      <c r="AD626" s="3" t="s">
        <v>42</v>
      </c>
      <c r="AE626" s="5" t="s">
        <v>5332</v>
      </c>
      <c r="AF626" s="3" t="s">
        <v>60</v>
      </c>
      <c r="AG626" s="5" t="s">
        <v>5333</v>
      </c>
      <c r="AH626" s="3" t="s">
        <v>61</v>
      </c>
      <c r="AI626" s="3" t="s">
        <v>61</v>
      </c>
      <c r="AJ626" s="3" t="s">
        <v>42</v>
      </c>
      <c r="AK626" s="3" t="s">
        <v>42</v>
      </c>
      <c r="AL626" s="29">
        <v>46003</v>
      </c>
      <c r="AM626" s="5" t="s">
        <v>42</v>
      </c>
      <c r="AN626" s="9" t="str">
        <f>HYPERLINK("https://my.pitchbook.com?p=445810-15P", "View People Online")</f>
        <v>View People Online</v>
      </c>
    </row>
    <row r="627" spans="1:40" x14ac:dyDescent="0.2">
      <c r="A627" s="2" t="s">
        <v>5334</v>
      </c>
      <c r="B627" s="2" t="s">
        <v>5335</v>
      </c>
      <c r="C627" s="2" t="s">
        <v>42</v>
      </c>
      <c r="D627" s="2" t="s">
        <v>42</v>
      </c>
      <c r="E627" s="2" t="s">
        <v>5334</v>
      </c>
      <c r="F627" s="2" t="s">
        <v>5336</v>
      </c>
      <c r="G627" s="2" t="s">
        <v>5326</v>
      </c>
      <c r="H627" s="2" t="s">
        <v>5337</v>
      </c>
      <c r="I627" s="2" t="s">
        <v>46</v>
      </c>
      <c r="J627" s="2" t="s">
        <v>47</v>
      </c>
      <c r="K627" s="2" t="s">
        <v>1532</v>
      </c>
      <c r="L627" s="2" t="s">
        <v>111</v>
      </c>
      <c r="M627" s="8" t="str">
        <f>HYPERLINK("http://www.nama.com.sa", "www.nama.com.sa")</f>
        <v>www.nama.com.sa</v>
      </c>
      <c r="N627" s="2" t="s">
        <v>534</v>
      </c>
      <c r="O627" s="2" t="s">
        <v>42</v>
      </c>
      <c r="P627" s="2" t="s">
        <v>5338</v>
      </c>
      <c r="Q627" s="2" t="s">
        <v>5339</v>
      </c>
      <c r="R627" s="16" t="s">
        <v>42</v>
      </c>
      <c r="S627" s="16">
        <v>1</v>
      </c>
      <c r="T627" s="16">
        <v>1</v>
      </c>
      <c r="U627" s="16" t="s">
        <v>42</v>
      </c>
      <c r="V627" s="16" t="s">
        <v>42</v>
      </c>
      <c r="W627" s="4" t="s">
        <v>1534</v>
      </c>
      <c r="X627" s="2" t="s">
        <v>5340</v>
      </c>
      <c r="Y627" s="8" t="str">
        <f>HYPERLINK("http://sa.linkedin.com/in/rayanbaaqeel", "http://sa.linkedin.com/in/rayanbaaqeel")</f>
        <v>http://sa.linkedin.com/in/rayanbaaqeel</v>
      </c>
      <c r="Z627" s="2" t="s">
        <v>396</v>
      </c>
      <c r="AA627" s="2" t="s">
        <v>1536</v>
      </c>
      <c r="AB627" s="2" t="s">
        <v>1537</v>
      </c>
      <c r="AC627" s="2" t="s">
        <v>398</v>
      </c>
      <c r="AD627" s="2" t="s">
        <v>42</v>
      </c>
      <c r="AE627" s="4" t="s">
        <v>1538</v>
      </c>
      <c r="AF627" s="2" t="s">
        <v>60</v>
      </c>
      <c r="AG627" s="4" t="s">
        <v>1539</v>
      </c>
      <c r="AH627" s="2" t="s">
        <v>61</v>
      </c>
      <c r="AI627" s="2" t="s">
        <v>61</v>
      </c>
      <c r="AJ627" s="2" t="s">
        <v>42</v>
      </c>
      <c r="AK627" s="2" t="s">
        <v>42</v>
      </c>
      <c r="AL627" s="28">
        <v>45729</v>
      </c>
      <c r="AM627" s="4" t="s">
        <v>42</v>
      </c>
      <c r="AN627" s="8" t="str">
        <f>HYPERLINK("https://my.pitchbook.com?p=341249-59P", "View People Online")</f>
        <v>View People Online</v>
      </c>
    </row>
    <row r="628" spans="1:40" x14ac:dyDescent="0.2">
      <c r="A628" s="3" t="s">
        <v>5341</v>
      </c>
      <c r="B628" s="3" t="s">
        <v>5342</v>
      </c>
      <c r="C628" s="3" t="s">
        <v>42</v>
      </c>
      <c r="D628" s="3" t="s">
        <v>42</v>
      </c>
      <c r="E628" s="3" t="s">
        <v>5341</v>
      </c>
      <c r="F628" s="3" t="s">
        <v>4358</v>
      </c>
      <c r="G628" s="3" t="s">
        <v>5343</v>
      </c>
      <c r="H628" s="3" t="s">
        <v>42</v>
      </c>
      <c r="I628" s="3" t="s">
        <v>46</v>
      </c>
      <c r="J628" s="3" t="s">
        <v>47</v>
      </c>
      <c r="K628" s="3" t="s">
        <v>992</v>
      </c>
      <c r="L628" s="3" t="s">
        <v>111</v>
      </c>
      <c r="M628" s="9" t="str">
        <f>HYPERLINK("http://www.miahona.com", "www.miahona.com")</f>
        <v>www.miahona.com</v>
      </c>
      <c r="N628" s="3" t="s">
        <v>534</v>
      </c>
      <c r="O628" s="3" t="s">
        <v>42</v>
      </c>
      <c r="P628" s="3" t="s">
        <v>5344</v>
      </c>
      <c r="Q628" s="3" t="s">
        <v>42</v>
      </c>
      <c r="R628" s="17" t="s">
        <v>42</v>
      </c>
      <c r="S628" s="17">
        <v>1</v>
      </c>
      <c r="T628" s="17">
        <v>1</v>
      </c>
      <c r="U628" s="17" t="s">
        <v>42</v>
      </c>
      <c r="V628" s="17" t="s">
        <v>42</v>
      </c>
      <c r="W628" s="5" t="s">
        <v>994</v>
      </c>
      <c r="X628" s="3" t="s">
        <v>42</v>
      </c>
      <c r="Y628" s="9" t="str">
        <f>HYPERLINK("http://linkedin.com/in/rehan-masood-bb2bb040/", "http://linkedin.com/in/rehan-masood-bb2bb040/")</f>
        <v>http://linkedin.com/in/rehan-masood-bb2bb040/</v>
      </c>
      <c r="Z628" s="3" t="s">
        <v>55</v>
      </c>
      <c r="AA628" s="3" t="s">
        <v>995</v>
      </c>
      <c r="AB628" s="3" t="s">
        <v>42</v>
      </c>
      <c r="AC628" s="3" t="s">
        <v>58</v>
      </c>
      <c r="AD628" s="3" t="s">
        <v>42</v>
      </c>
      <c r="AE628" s="5" t="s">
        <v>996</v>
      </c>
      <c r="AF628" s="3" t="s">
        <v>60</v>
      </c>
      <c r="AG628" s="5" t="s">
        <v>997</v>
      </c>
      <c r="AH628" s="3" t="s">
        <v>61</v>
      </c>
      <c r="AI628" s="3" t="s">
        <v>61</v>
      </c>
      <c r="AJ628" s="3" t="s">
        <v>42</v>
      </c>
      <c r="AK628" s="3" t="s">
        <v>42</v>
      </c>
      <c r="AL628" s="29">
        <v>45838</v>
      </c>
      <c r="AM628" s="5">
        <v>1981</v>
      </c>
      <c r="AN628" s="9" t="str">
        <f>HYPERLINK("https://my.pitchbook.com?p=317663-65P", "View People Online")</f>
        <v>View People Online</v>
      </c>
    </row>
    <row r="629" spans="1:40" x14ac:dyDescent="0.2">
      <c r="A629" s="2" t="s">
        <v>5345</v>
      </c>
      <c r="B629" s="2" t="s">
        <v>5346</v>
      </c>
      <c r="C629" s="2" t="s">
        <v>42</v>
      </c>
      <c r="D629" s="2" t="s">
        <v>42</v>
      </c>
      <c r="E629" s="2" t="s">
        <v>5345</v>
      </c>
      <c r="F629" s="2" t="s">
        <v>5347</v>
      </c>
      <c r="G629" s="2" t="s">
        <v>5348</v>
      </c>
      <c r="H629" s="2" t="s">
        <v>42</v>
      </c>
      <c r="I629" s="2" t="s">
        <v>46</v>
      </c>
      <c r="J629" s="2" t="s">
        <v>47</v>
      </c>
      <c r="K629" s="2" t="s">
        <v>4857</v>
      </c>
      <c r="L629" s="2" t="s">
        <v>111</v>
      </c>
      <c r="M629" s="8" t="str">
        <f>HYPERLINK("http://www.sspipe.com", "www.sspipe.com")</f>
        <v>www.sspipe.com</v>
      </c>
      <c r="N629" s="2" t="s">
        <v>112</v>
      </c>
      <c r="O629" s="2" t="s">
        <v>42</v>
      </c>
      <c r="P629" s="2" t="s">
        <v>5349</v>
      </c>
      <c r="Q629" s="2" t="s">
        <v>42</v>
      </c>
      <c r="R629" s="16">
        <v>1</v>
      </c>
      <c r="S629" s="16">
        <v>1</v>
      </c>
      <c r="T629" s="16">
        <v>1</v>
      </c>
      <c r="U629" s="16" t="s">
        <v>42</v>
      </c>
      <c r="V629" s="16" t="s">
        <v>42</v>
      </c>
      <c r="W629" s="4" t="s">
        <v>4860</v>
      </c>
      <c r="X629" s="2" t="s">
        <v>5350</v>
      </c>
      <c r="Y629" s="8" t="str">
        <f>HYPERLINK("http://linkedin.com/in/renwar-berzinji-0bb2629", "http://linkedin.com/in/renwar-berzinji-0bb2629")</f>
        <v>http://linkedin.com/in/renwar-berzinji-0bb2629</v>
      </c>
      <c r="Z629" s="2" t="s">
        <v>383</v>
      </c>
      <c r="AA629" s="2" t="s">
        <v>4862</v>
      </c>
      <c r="AB629" s="2" t="s">
        <v>4863</v>
      </c>
      <c r="AC629" s="2" t="s">
        <v>385</v>
      </c>
      <c r="AD629" s="2" t="s">
        <v>42</v>
      </c>
      <c r="AE629" s="4" t="s">
        <v>4864</v>
      </c>
      <c r="AF629" s="2" t="s">
        <v>60</v>
      </c>
      <c r="AG629" s="4" t="s">
        <v>4730</v>
      </c>
      <c r="AH629" s="2" t="s">
        <v>61</v>
      </c>
      <c r="AI629" s="2" t="s">
        <v>61</v>
      </c>
      <c r="AJ629" s="2" t="s">
        <v>42</v>
      </c>
      <c r="AK629" s="2" t="s">
        <v>42</v>
      </c>
      <c r="AL629" s="28">
        <v>45919</v>
      </c>
      <c r="AM629" s="4">
        <v>1975</v>
      </c>
      <c r="AN629" s="8" t="str">
        <f>HYPERLINK("https://my.pitchbook.com?p=385710-22P", "View People Online")</f>
        <v>View People Online</v>
      </c>
    </row>
    <row r="630" spans="1:40" x14ac:dyDescent="0.2">
      <c r="A630" s="3" t="s">
        <v>5351</v>
      </c>
      <c r="B630" s="3" t="s">
        <v>5352</v>
      </c>
      <c r="C630" s="3" t="s">
        <v>42</v>
      </c>
      <c r="D630" s="3" t="s">
        <v>42</v>
      </c>
      <c r="E630" s="3" t="s">
        <v>5351</v>
      </c>
      <c r="F630" s="3" t="s">
        <v>5353</v>
      </c>
      <c r="G630" s="3" t="s">
        <v>58</v>
      </c>
      <c r="H630" s="3" t="s">
        <v>5354</v>
      </c>
      <c r="I630" s="3" t="s">
        <v>46</v>
      </c>
      <c r="J630" s="3" t="s">
        <v>47</v>
      </c>
      <c r="K630" s="3" t="s">
        <v>1851</v>
      </c>
      <c r="L630" s="3" t="s">
        <v>111</v>
      </c>
      <c r="M630" s="9" t="str">
        <f>HYPERLINK("http://www.sasco.com.sa", "www.sasco.com.sa")</f>
        <v>www.sasco.com.sa</v>
      </c>
      <c r="N630" s="3" t="s">
        <v>5355</v>
      </c>
      <c r="O630" s="3" t="s">
        <v>42</v>
      </c>
      <c r="P630" s="3" t="s">
        <v>5356</v>
      </c>
      <c r="Q630" s="3" t="s">
        <v>42</v>
      </c>
      <c r="R630" s="17">
        <v>1</v>
      </c>
      <c r="S630" s="17">
        <v>1</v>
      </c>
      <c r="T630" s="17">
        <v>1</v>
      </c>
      <c r="U630" s="17" t="s">
        <v>42</v>
      </c>
      <c r="V630" s="17" t="s">
        <v>42</v>
      </c>
      <c r="W630" s="5" t="s">
        <v>42</v>
      </c>
      <c r="X630" s="3" t="s">
        <v>42</v>
      </c>
      <c r="Y630" s="9" t="str">
        <f>HYPERLINK("http://linkedin.com/in/riyadh-almalik-2502b725/", "http://linkedin.com/in/riyadh-almalik-2502b725/")</f>
        <v>http://linkedin.com/in/riyadh-almalik-2502b725/</v>
      </c>
      <c r="Z630" s="3" t="s">
        <v>55</v>
      </c>
      <c r="AA630" s="3" t="s">
        <v>1853</v>
      </c>
      <c r="AB630" s="3" t="s">
        <v>1854</v>
      </c>
      <c r="AC630" s="3" t="s">
        <v>58</v>
      </c>
      <c r="AD630" s="3" t="s">
        <v>42</v>
      </c>
      <c r="AE630" s="5" t="s">
        <v>1855</v>
      </c>
      <c r="AF630" s="3" t="s">
        <v>60</v>
      </c>
      <c r="AG630" s="5" t="s">
        <v>1856</v>
      </c>
      <c r="AH630" s="3" t="s">
        <v>61</v>
      </c>
      <c r="AI630" s="3" t="s">
        <v>61</v>
      </c>
      <c r="AJ630" s="3" t="s">
        <v>42</v>
      </c>
      <c r="AK630" s="3" t="s">
        <v>42</v>
      </c>
      <c r="AL630" s="29">
        <v>45743</v>
      </c>
      <c r="AM630" s="5" t="s">
        <v>42</v>
      </c>
      <c r="AN630" s="9" t="str">
        <f>HYPERLINK("https://my.pitchbook.com?p=385685-20P", "View People Online")</f>
        <v>View People Online</v>
      </c>
    </row>
    <row r="631" spans="1:40" x14ac:dyDescent="0.2">
      <c r="A631" s="2" t="s">
        <v>5357</v>
      </c>
      <c r="B631" s="2" t="s">
        <v>5358</v>
      </c>
      <c r="C631" s="2" t="s">
        <v>42</v>
      </c>
      <c r="D631" s="2" t="s">
        <v>42</v>
      </c>
      <c r="E631" s="2" t="s">
        <v>5357</v>
      </c>
      <c r="F631" s="2" t="s">
        <v>5359</v>
      </c>
      <c r="G631" s="2" t="s">
        <v>58</v>
      </c>
      <c r="H631" s="2" t="s">
        <v>161</v>
      </c>
      <c r="I631" s="2" t="s">
        <v>46</v>
      </c>
      <c r="J631" s="2" t="s">
        <v>47</v>
      </c>
      <c r="K631" s="2" t="s">
        <v>2013</v>
      </c>
      <c r="L631" s="2" t="s">
        <v>111</v>
      </c>
      <c r="M631" s="8" t="str">
        <f>HYPERLINK("http://www.mawarid.com.sa", "www.mawarid.com.sa")</f>
        <v>www.mawarid.com.sa</v>
      </c>
      <c r="N631" s="2" t="s">
        <v>112</v>
      </c>
      <c r="O631" s="2" t="s">
        <v>42</v>
      </c>
      <c r="P631" s="2" t="s">
        <v>5360</v>
      </c>
      <c r="Q631" s="2" t="s">
        <v>42</v>
      </c>
      <c r="R631" s="16">
        <v>1</v>
      </c>
      <c r="S631" s="16">
        <v>1</v>
      </c>
      <c r="T631" s="16">
        <v>1</v>
      </c>
      <c r="U631" s="16" t="s">
        <v>42</v>
      </c>
      <c r="V631" s="16" t="s">
        <v>42</v>
      </c>
      <c r="W631" s="4" t="s">
        <v>2015</v>
      </c>
      <c r="X631" s="2" t="s">
        <v>5361</v>
      </c>
      <c r="Y631" s="8" t="str">
        <f>HYPERLINK("http://linkedin.com/in/riyadh-alromizan-2a973957/", "http://linkedin.com/in/riyadh-alromizan-2a973957/")</f>
        <v>http://linkedin.com/in/riyadh-alromizan-2a973957/</v>
      </c>
      <c r="Z631" s="2" t="s">
        <v>55</v>
      </c>
      <c r="AA631" s="2" t="s">
        <v>2016</v>
      </c>
      <c r="AB631" s="2" t="s">
        <v>42</v>
      </c>
      <c r="AC631" s="2" t="s">
        <v>58</v>
      </c>
      <c r="AD631" s="2" t="s">
        <v>42</v>
      </c>
      <c r="AE631" s="4" t="s">
        <v>42</v>
      </c>
      <c r="AF631" s="2" t="s">
        <v>60</v>
      </c>
      <c r="AG631" s="4" t="s">
        <v>42</v>
      </c>
      <c r="AH631" s="2" t="s">
        <v>61</v>
      </c>
      <c r="AI631" s="2" t="s">
        <v>61</v>
      </c>
      <c r="AJ631" s="2" t="s">
        <v>42</v>
      </c>
      <c r="AK631" s="2" t="s">
        <v>42</v>
      </c>
      <c r="AL631" s="28">
        <v>45758</v>
      </c>
      <c r="AM631" s="4" t="s">
        <v>42</v>
      </c>
      <c r="AN631" s="8" t="str">
        <f>HYPERLINK("https://my.pitchbook.com?p=345122-83P", "View People Online")</f>
        <v>View People Online</v>
      </c>
    </row>
    <row r="632" spans="1:40" x14ac:dyDescent="0.2">
      <c r="A632" s="3" t="s">
        <v>5362</v>
      </c>
      <c r="B632" s="3" t="s">
        <v>5363</v>
      </c>
      <c r="C632" s="3" t="s">
        <v>42</v>
      </c>
      <c r="D632" s="3" t="s">
        <v>42</v>
      </c>
      <c r="E632" s="3" t="s">
        <v>5362</v>
      </c>
      <c r="F632" s="3" t="s">
        <v>5364</v>
      </c>
      <c r="G632" s="3" t="s">
        <v>5365</v>
      </c>
      <c r="H632" s="3" t="s">
        <v>651</v>
      </c>
      <c r="I632" s="3" t="s">
        <v>46</v>
      </c>
      <c r="J632" s="3" t="s">
        <v>47</v>
      </c>
      <c r="K632" s="3" t="s">
        <v>5230</v>
      </c>
      <c r="L632" s="3" t="s">
        <v>111</v>
      </c>
      <c r="M632" s="9" t="str">
        <f>HYPERLINK("http://www.leafglobal.com.sa", "www.leafglobal.com.sa")</f>
        <v>www.leafglobal.com.sa</v>
      </c>
      <c r="N632" s="3" t="s">
        <v>5366</v>
      </c>
      <c r="O632" s="3" t="s">
        <v>42</v>
      </c>
      <c r="P632" s="3" t="s">
        <v>5367</v>
      </c>
      <c r="Q632" s="3" t="s">
        <v>42</v>
      </c>
      <c r="R632" s="17" t="s">
        <v>42</v>
      </c>
      <c r="S632" s="17">
        <v>1</v>
      </c>
      <c r="T632" s="17">
        <v>1</v>
      </c>
      <c r="U632" s="17" t="s">
        <v>42</v>
      </c>
      <c r="V632" s="17" t="s">
        <v>42</v>
      </c>
      <c r="W632" s="5" t="s">
        <v>5232</v>
      </c>
      <c r="X632" s="3" t="s">
        <v>42</v>
      </c>
      <c r="Y632" s="3" t="s">
        <v>42</v>
      </c>
      <c r="Z632" s="3" t="s">
        <v>174</v>
      </c>
      <c r="AA632" s="3" t="s">
        <v>5233</v>
      </c>
      <c r="AB632" s="3" t="s">
        <v>42</v>
      </c>
      <c r="AC632" s="3" t="s">
        <v>176</v>
      </c>
      <c r="AD632" s="3" t="s">
        <v>42</v>
      </c>
      <c r="AE632" s="5" t="s">
        <v>42</v>
      </c>
      <c r="AF632" s="3" t="s">
        <v>60</v>
      </c>
      <c r="AG632" s="5" t="s">
        <v>42</v>
      </c>
      <c r="AH632" s="3" t="s">
        <v>61</v>
      </c>
      <c r="AI632" s="3" t="s">
        <v>61</v>
      </c>
      <c r="AJ632" s="3" t="s">
        <v>42</v>
      </c>
      <c r="AK632" s="3" t="s">
        <v>42</v>
      </c>
      <c r="AL632" s="29">
        <v>46035</v>
      </c>
      <c r="AM632" s="5" t="s">
        <v>42</v>
      </c>
      <c r="AN632" s="9" t="str">
        <f>HYPERLINK("https://my.pitchbook.com?p=396174-52P", "View People Online")</f>
        <v>View People Online</v>
      </c>
    </row>
    <row r="633" spans="1:40" x14ac:dyDescent="0.2">
      <c r="A633" s="2" t="s">
        <v>5368</v>
      </c>
      <c r="B633" s="2" t="s">
        <v>5369</v>
      </c>
      <c r="C633" s="2" t="s">
        <v>42</v>
      </c>
      <c r="D633" s="2" t="s">
        <v>42</v>
      </c>
      <c r="E633" s="2" t="s">
        <v>5368</v>
      </c>
      <c r="F633" s="2" t="s">
        <v>5370</v>
      </c>
      <c r="G633" s="2" t="s">
        <v>5371</v>
      </c>
      <c r="H633" s="2" t="s">
        <v>42</v>
      </c>
      <c r="I633" s="2" t="s">
        <v>46</v>
      </c>
      <c r="J633" s="2" t="s">
        <v>47</v>
      </c>
      <c r="K633" s="2" t="s">
        <v>992</v>
      </c>
      <c r="L633" s="2" t="s">
        <v>111</v>
      </c>
      <c r="M633" s="8" t="str">
        <f>HYPERLINK("http://www.miahona.com", "www.miahona.com")</f>
        <v>www.miahona.com</v>
      </c>
      <c r="N633" s="2" t="s">
        <v>370</v>
      </c>
      <c r="O633" s="2" t="s">
        <v>42</v>
      </c>
      <c r="P633" s="2" t="s">
        <v>5372</v>
      </c>
      <c r="Q633" s="2" t="s">
        <v>42</v>
      </c>
      <c r="R633" s="16" t="s">
        <v>42</v>
      </c>
      <c r="S633" s="16">
        <v>1</v>
      </c>
      <c r="T633" s="16">
        <v>1</v>
      </c>
      <c r="U633" s="16" t="s">
        <v>42</v>
      </c>
      <c r="V633" s="16" t="s">
        <v>42</v>
      </c>
      <c r="W633" s="4" t="s">
        <v>994</v>
      </c>
      <c r="X633" s="2" t="s">
        <v>5373</v>
      </c>
      <c r="Y633" s="8" t="str">
        <f>HYPERLINK("http://linkedin.com/in/r0bert0b1anch1/", "http://linkedin.com/in/r0bert0b1anch1/")</f>
        <v>http://linkedin.com/in/r0bert0b1anch1/</v>
      </c>
      <c r="Z633" s="2" t="s">
        <v>55</v>
      </c>
      <c r="AA633" s="2" t="s">
        <v>995</v>
      </c>
      <c r="AB633" s="2" t="s">
        <v>42</v>
      </c>
      <c r="AC633" s="2" t="s">
        <v>58</v>
      </c>
      <c r="AD633" s="2" t="s">
        <v>42</v>
      </c>
      <c r="AE633" s="4" t="s">
        <v>996</v>
      </c>
      <c r="AF633" s="2" t="s">
        <v>60</v>
      </c>
      <c r="AG633" s="4" t="s">
        <v>997</v>
      </c>
      <c r="AH633" s="2" t="s">
        <v>61</v>
      </c>
      <c r="AI633" s="2" t="s">
        <v>61</v>
      </c>
      <c r="AJ633" s="2" t="s">
        <v>42</v>
      </c>
      <c r="AK633" s="2" t="s">
        <v>42</v>
      </c>
      <c r="AL633" s="28">
        <v>45426</v>
      </c>
      <c r="AM633" s="4" t="s">
        <v>42</v>
      </c>
      <c r="AN633" s="8" t="str">
        <f>HYPERLINK("https://my.pitchbook.com?p=396919-72P", "View People Online")</f>
        <v>View People Online</v>
      </c>
    </row>
    <row r="634" spans="1:40" x14ac:dyDescent="0.2">
      <c r="A634" s="3" t="s">
        <v>5374</v>
      </c>
      <c r="B634" s="3" t="s">
        <v>5375</v>
      </c>
      <c r="C634" s="3" t="s">
        <v>42</v>
      </c>
      <c r="D634" s="3" t="s">
        <v>42</v>
      </c>
      <c r="E634" s="3" t="s">
        <v>5374</v>
      </c>
      <c r="F634" s="3" t="s">
        <v>5376</v>
      </c>
      <c r="G634" s="3" t="s">
        <v>5377</v>
      </c>
      <c r="H634" s="3" t="s">
        <v>42</v>
      </c>
      <c r="I634" s="3" t="s">
        <v>46</v>
      </c>
      <c r="J634" s="3" t="s">
        <v>47</v>
      </c>
      <c r="K634" s="3" t="s">
        <v>2312</v>
      </c>
      <c r="L634" s="3" t="s">
        <v>111</v>
      </c>
      <c r="M634" s="9" t="str">
        <f>HYPERLINK("http://www.arabianmills.com", "www.arabianmills.com")</f>
        <v>www.arabianmills.com</v>
      </c>
      <c r="N634" s="3" t="s">
        <v>210</v>
      </c>
      <c r="O634" s="3" t="s">
        <v>42</v>
      </c>
      <c r="P634" s="3" t="s">
        <v>5378</v>
      </c>
      <c r="Q634" s="3" t="s">
        <v>42</v>
      </c>
      <c r="R634" s="17" t="s">
        <v>42</v>
      </c>
      <c r="S634" s="17">
        <v>1</v>
      </c>
      <c r="T634" s="17">
        <v>1</v>
      </c>
      <c r="U634" s="17" t="s">
        <v>42</v>
      </c>
      <c r="V634" s="17" t="s">
        <v>42</v>
      </c>
      <c r="W634" s="5" t="s">
        <v>42</v>
      </c>
      <c r="X634" s="3" t="s">
        <v>42</v>
      </c>
      <c r="Y634" s="9" t="str">
        <f>HYPERLINK("http://linkedin.com/in/rohit-chugh-a5496121", "http://linkedin.com/in/rohit-chugh-a5496121")</f>
        <v>http://linkedin.com/in/rohit-chugh-a5496121</v>
      </c>
      <c r="Z634" s="3" t="s">
        <v>55</v>
      </c>
      <c r="AA634" s="3" t="s">
        <v>2314</v>
      </c>
      <c r="AB634" s="3" t="s">
        <v>42</v>
      </c>
      <c r="AC634" s="3" t="s">
        <v>58</v>
      </c>
      <c r="AD634" s="3" t="s">
        <v>42</v>
      </c>
      <c r="AE634" s="5" t="s">
        <v>2315</v>
      </c>
      <c r="AF634" s="3" t="s">
        <v>60</v>
      </c>
      <c r="AG634" s="5" t="s">
        <v>42</v>
      </c>
      <c r="AH634" s="3" t="s">
        <v>61</v>
      </c>
      <c r="AI634" s="3" t="s">
        <v>61</v>
      </c>
      <c r="AJ634" s="3" t="s">
        <v>42</v>
      </c>
      <c r="AK634" s="3" t="s">
        <v>42</v>
      </c>
      <c r="AL634" s="29">
        <v>45544</v>
      </c>
      <c r="AM634" s="5" t="s">
        <v>42</v>
      </c>
      <c r="AN634" s="9" t="str">
        <f>HYPERLINK("https://my.pitchbook.com?p=409812-58P", "View People Online")</f>
        <v>View People Online</v>
      </c>
    </row>
    <row r="635" spans="1:40" x14ac:dyDescent="0.2">
      <c r="A635" s="2" t="s">
        <v>5379</v>
      </c>
      <c r="B635" s="2" t="s">
        <v>5380</v>
      </c>
      <c r="C635" s="2" t="s">
        <v>42</v>
      </c>
      <c r="D635" s="2" t="s">
        <v>42</v>
      </c>
      <c r="E635" s="2" t="s">
        <v>5379</v>
      </c>
      <c r="F635" s="2" t="s">
        <v>5381</v>
      </c>
      <c r="G635" s="2" t="s">
        <v>5382</v>
      </c>
      <c r="H635" s="2" t="s">
        <v>5383</v>
      </c>
      <c r="I635" s="2" t="s">
        <v>46</v>
      </c>
      <c r="J635" s="2" t="s">
        <v>47</v>
      </c>
      <c r="K635" s="2" t="s">
        <v>5218</v>
      </c>
      <c r="L635" s="2" t="s">
        <v>111</v>
      </c>
      <c r="M635" s="8" t="str">
        <f>HYPERLINK("http://www.cgs.com.sa", "www.cgs.com.sa")</f>
        <v>www.cgs.com.sa</v>
      </c>
      <c r="N635" s="2" t="s">
        <v>534</v>
      </c>
      <c r="O635" s="2" t="s">
        <v>42</v>
      </c>
      <c r="P635" s="2" t="s">
        <v>5384</v>
      </c>
      <c r="Q635" s="2" t="s">
        <v>1724</v>
      </c>
      <c r="R635" s="16" t="s">
        <v>42</v>
      </c>
      <c r="S635" s="16">
        <v>1</v>
      </c>
      <c r="T635" s="16">
        <v>1</v>
      </c>
      <c r="U635" s="16" t="s">
        <v>42</v>
      </c>
      <c r="V635" s="16" t="s">
        <v>42</v>
      </c>
      <c r="W635" s="4" t="s">
        <v>5221</v>
      </c>
      <c r="X635" s="2" t="s">
        <v>5385</v>
      </c>
      <c r="Y635" s="2" t="s">
        <v>42</v>
      </c>
      <c r="Z635" s="2" t="s">
        <v>55</v>
      </c>
      <c r="AA635" s="2" t="s">
        <v>5223</v>
      </c>
      <c r="AB635" s="2" t="s">
        <v>5224</v>
      </c>
      <c r="AC635" s="2" t="s">
        <v>58</v>
      </c>
      <c r="AD635" s="2" t="s">
        <v>42</v>
      </c>
      <c r="AE635" s="4" t="s">
        <v>4970</v>
      </c>
      <c r="AF635" s="2" t="s">
        <v>60</v>
      </c>
      <c r="AG635" s="4" t="s">
        <v>5225</v>
      </c>
      <c r="AH635" s="2" t="s">
        <v>61</v>
      </c>
      <c r="AI635" s="2" t="s">
        <v>61</v>
      </c>
      <c r="AJ635" s="2" t="s">
        <v>42</v>
      </c>
      <c r="AK635" s="2" t="s">
        <v>42</v>
      </c>
      <c r="AL635" s="28">
        <v>45959</v>
      </c>
      <c r="AM635" s="4" t="s">
        <v>42</v>
      </c>
      <c r="AN635" s="8" t="str">
        <f>HYPERLINK("https://my.pitchbook.com?p=471267-37P", "View People Online")</f>
        <v>View People Online</v>
      </c>
    </row>
    <row r="636" spans="1:40" x14ac:dyDescent="0.2">
      <c r="A636" s="3" t="s">
        <v>5386</v>
      </c>
      <c r="B636" s="3" t="s">
        <v>5387</v>
      </c>
      <c r="C636" s="3" t="s">
        <v>42</v>
      </c>
      <c r="D636" s="3" t="s">
        <v>42</v>
      </c>
      <c r="E636" s="3" t="s">
        <v>5386</v>
      </c>
      <c r="F636" s="3" t="s">
        <v>5388</v>
      </c>
      <c r="G636" s="3" t="s">
        <v>5389</v>
      </c>
      <c r="H636" s="3" t="s">
        <v>4762</v>
      </c>
      <c r="I636" s="3" t="s">
        <v>46</v>
      </c>
      <c r="J636" s="3" t="s">
        <v>47</v>
      </c>
      <c r="K636" s="3" t="s">
        <v>591</v>
      </c>
      <c r="L636" s="3" t="s">
        <v>111</v>
      </c>
      <c r="M636" s="9" t="str">
        <f>HYPERLINK("http://www.sipchem.com", "www.sipchem.com")</f>
        <v>www.sipchem.com</v>
      </c>
      <c r="N636" s="3" t="s">
        <v>3518</v>
      </c>
      <c r="O636" s="3" t="s">
        <v>42</v>
      </c>
      <c r="P636" s="3" t="s">
        <v>5390</v>
      </c>
      <c r="Q636" s="3" t="s">
        <v>42</v>
      </c>
      <c r="R636" s="17" t="s">
        <v>42</v>
      </c>
      <c r="S636" s="17">
        <v>1</v>
      </c>
      <c r="T636" s="17">
        <v>1</v>
      </c>
      <c r="U636" s="17" t="s">
        <v>42</v>
      </c>
      <c r="V636" s="17" t="s">
        <v>42</v>
      </c>
      <c r="W636" s="5" t="s">
        <v>593</v>
      </c>
      <c r="X636" s="3" t="s">
        <v>5391</v>
      </c>
      <c r="Y636" s="9" t="str">
        <f>HYPERLINK("http://linkedin.com/in/rushdi-aldulaijan-83587a67/?originalsubdomain=sa", "http://linkedin.com/in/rushdi-aldulaijan-83587a67/?originalsubdomain=sa")</f>
        <v>http://linkedin.com/in/rushdi-aldulaijan-83587a67/?originalsubdomain=sa</v>
      </c>
      <c r="Z636" s="3" t="s">
        <v>595</v>
      </c>
      <c r="AA636" s="3" t="s">
        <v>596</v>
      </c>
      <c r="AB636" s="3" t="s">
        <v>597</v>
      </c>
      <c r="AC636" s="3" t="s">
        <v>598</v>
      </c>
      <c r="AD636" s="3" t="s">
        <v>42</v>
      </c>
      <c r="AE636" s="5" t="s">
        <v>599</v>
      </c>
      <c r="AF636" s="3" t="s">
        <v>60</v>
      </c>
      <c r="AG636" s="5" t="s">
        <v>42</v>
      </c>
      <c r="AH636" s="3" t="s">
        <v>61</v>
      </c>
      <c r="AI636" s="3" t="s">
        <v>61</v>
      </c>
      <c r="AJ636" s="3" t="s">
        <v>42</v>
      </c>
      <c r="AK636" s="3" t="s">
        <v>42</v>
      </c>
      <c r="AL636" s="29">
        <v>45743</v>
      </c>
      <c r="AM636" s="5" t="s">
        <v>42</v>
      </c>
      <c r="AN636" s="9" t="str">
        <f>HYPERLINK("https://my.pitchbook.com?p=68237-02P", "View People Online")</f>
        <v>View People Online</v>
      </c>
    </row>
    <row r="637" spans="1:40" x14ac:dyDescent="0.2">
      <c r="A637" s="2" t="s">
        <v>5392</v>
      </c>
      <c r="B637" s="2" t="s">
        <v>5393</v>
      </c>
      <c r="C637" s="2" t="s">
        <v>42</v>
      </c>
      <c r="D637" s="2" t="s">
        <v>42</v>
      </c>
      <c r="E637" s="2" t="s">
        <v>5392</v>
      </c>
      <c r="F637" s="2" t="s">
        <v>5394</v>
      </c>
      <c r="G637" s="2" t="s">
        <v>5395</v>
      </c>
      <c r="H637" s="2" t="s">
        <v>42</v>
      </c>
      <c r="I637" s="2" t="s">
        <v>46</v>
      </c>
      <c r="J637" s="2" t="s">
        <v>47</v>
      </c>
      <c r="K637" s="2" t="s">
        <v>312</v>
      </c>
      <c r="L637" s="2" t="s">
        <v>111</v>
      </c>
      <c r="M637" s="8" t="str">
        <f>HYPERLINK("http://www.bupa.com.sa", "www.bupa.com.sa")</f>
        <v>www.bupa.com.sa</v>
      </c>
      <c r="N637" s="2" t="s">
        <v>370</v>
      </c>
      <c r="O637" s="2" t="s">
        <v>42</v>
      </c>
      <c r="P637" s="2" t="s">
        <v>5396</v>
      </c>
      <c r="Q637" s="2" t="s">
        <v>5397</v>
      </c>
      <c r="R637" s="16" t="s">
        <v>42</v>
      </c>
      <c r="S637" s="16">
        <v>1</v>
      </c>
      <c r="T637" s="16">
        <v>1</v>
      </c>
      <c r="U637" s="16" t="s">
        <v>42</v>
      </c>
      <c r="V637" s="16" t="s">
        <v>42</v>
      </c>
      <c r="W637" s="4" t="s">
        <v>42</v>
      </c>
      <c r="X637" s="2" t="s">
        <v>5398</v>
      </c>
      <c r="Y637" s="8" t="str">
        <f>HYPERLINK("http://sa.linkedin.com/in/ryyantarabzoni", "http://sa.linkedin.com/in/ryyantarabzoni")</f>
        <v>http://sa.linkedin.com/in/ryyantarabzoni</v>
      </c>
      <c r="Z637" s="2" t="s">
        <v>174</v>
      </c>
      <c r="AA637" s="2" t="s">
        <v>316</v>
      </c>
      <c r="AB637" s="2" t="s">
        <v>317</v>
      </c>
      <c r="AC637" s="2" t="s">
        <v>176</v>
      </c>
      <c r="AD637" s="2" t="s">
        <v>42</v>
      </c>
      <c r="AE637" s="4" t="s">
        <v>318</v>
      </c>
      <c r="AF637" s="2" t="s">
        <v>60</v>
      </c>
      <c r="AG637" s="4" t="s">
        <v>42</v>
      </c>
      <c r="AH637" s="2" t="s">
        <v>61</v>
      </c>
      <c r="AI637" s="2" t="s">
        <v>61</v>
      </c>
      <c r="AJ637" s="2" t="s">
        <v>42</v>
      </c>
      <c r="AK637" s="2" t="s">
        <v>42</v>
      </c>
      <c r="AL637" s="28">
        <v>45985</v>
      </c>
      <c r="AM637" s="4" t="s">
        <v>42</v>
      </c>
      <c r="AN637" s="8" t="str">
        <f>HYPERLINK("https://my.pitchbook.com?p=391901-41P", "View People Online")</f>
        <v>View People Online</v>
      </c>
    </row>
    <row r="638" spans="1:40" x14ac:dyDescent="0.2">
      <c r="A638" s="3" t="s">
        <v>5399</v>
      </c>
      <c r="B638" s="3" t="s">
        <v>5400</v>
      </c>
      <c r="C638" s="3" t="s">
        <v>42</v>
      </c>
      <c r="D638" s="3" t="s">
        <v>42</v>
      </c>
      <c r="E638" s="3" t="s">
        <v>5399</v>
      </c>
      <c r="F638" s="3" t="s">
        <v>5401</v>
      </c>
      <c r="G638" s="3" t="s">
        <v>467</v>
      </c>
      <c r="H638" s="3" t="s">
        <v>42</v>
      </c>
      <c r="I638" s="3" t="s">
        <v>46</v>
      </c>
      <c r="J638" s="3" t="s">
        <v>47</v>
      </c>
      <c r="K638" s="3" t="s">
        <v>641</v>
      </c>
      <c r="L638" s="3" t="s">
        <v>111</v>
      </c>
      <c r="M638" s="9" t="str">
        <f>HYPERLINK("http://www.anb.com.sa", "www.anb.com.sa")</f>
        <v>www.anb.com.sa</v>
      </c>
      <c r="N638" s="3" t="s">
        <v>534</v>
      </c>
      <c r="O638" s="3" t="s">
        <v>42</v>
      </c>
      <c r="P638" s="3" t="s">
        <v>5402</v>
      </c>
      <c r="Q638" s="3" t="s">
        <v>42</v>
      </c>
      <c r="R638" s="17" t="s">
        <v>42</v>
      </c>
      <c r="S638" s="17">
        <v>1</v>
      </c>
      <c r="T638" s="17">
        <v>1</v>
      </c>
      <c r="U638" s="17" t="s">
        <v>42</v>
      </c>
      <c r="V638" s="17" t="s">
        <v>42</v>
      </c>
      <c r="W638" s="5" t="s">
        <v>643</v>
      </c>
      <c r="X638" s="3" t="s">
        <v>5403</v>
      </c>
      <c r="Y638" s="9" t="str">
        <f>HYPERLINK("http://linkedin.com/in/saad-al-dughish-275a3897/", "http://linkedin.com/in/saad-al-dughish-275a3897/")</f>
        <v>http://linkedin.com/in/saad-al-dughish-275a3897/</v>
      </c>
      <c r="Z638" s="3" t="s">
        <v>55</v>
      </c>
      <c r="AA638" s="3" t="s">
        <v>645</v>
      </c>
      <c r="AB638" s="3" t="s">
        <v>42</v>
      </c>
      <c r="AC638" s="3" t="s">
        <v>58</v>
      </c>
      <c r="AD638" s="3" t="s">
        <v>42</v>
      </c>
      <c r="AE638" s="5" t="s">
        <v>646</v>
      </c>
      <c r="AF638" s="3" t="s">
        <v>60</v>
      </c>
      <c r="AG638" s="5" t="s">
        <v>647</v>
      </c>
      <c r="AH638" s="3" t="s">
        <v>61</v>
      </c>
      <c r="AI638" s="3" t="s">
        <v>61</v>
      </c>
      <c r="AJ638" s="3" t="s">
        <v>42</v>
      </c>
      <c r="AK638" s="3" t="s">
        <v>42</v>
      </c>
      <c r="AL638" s="29">
        <v>45987</v>
      </c>
      <c r="AM638" s="5" t="s">
        <v>42</v>
      </c>
      <c r="AN638" s="9" t="str">
        <f>HYPERLINK("https://my.pitchbook.com?p=369770-59P", "View People Online")</f>
        <v>View People Online</v>
      </c>
    </row>
    <row r="639" spans="1:40" x14ac:dyDescent="0.2">
      <c r="A639" s="2" t="s">
        <v>5404</v>
      </c>
      <c r="B639" s="2" t="s">
        <v>5405</v>
      </c>
      <c r="C639" s="2" t="s">
        <v>42</v>
      </c>
      <c r="D639" s="2" t="s">
        <v>42</v>
      </c>
      <c r="E639" s="2" t="s">
        <v>5404</v>
      </c>
      <c r="F639" s="2" t="s">
        <v>1487</v>
      </c>
      <c r="G639" s="2" t="s">
        <v>467</v>
      </c>
      <c r="H639" s="2" t="s">
        <v>42</v>
      </c>
      <c r="I639" s="2" t="s">
        <v>46</v>
      </c>
      <c r="J639" s="2" t="s">
        <v>47</v>
      </c>
      <c r="K639" s="2" t="s">
        <v>5406</v>
      </c>
      <c r="L639" s="2" t="s">
        <v>111</v>
      </c>
      <c r="M639" s="8" t="str">
        <f>HYPERLINK("http://www.foodsgate.sa", "www.foodsgate.sa")</f>
        <v>www.foodsgate.sa</v>
      </c>
      <c r="N639" s="2" t="s">
        <v>3022</v>
      </c>
      <c r="O639" s="2" t="s">
        <v>42</v>
      </c>
      <c r="P639" s="2" t="s">
        <v>5407</v>
      </c>
      <c r="Q639" s="2" t="s">
        <v>42</v>
      </c>
      <c r="R639" s="16" t="s">
        <v>42</v>
      </c>
      <c r="S639" s="16">
        <v>1</v>
      </c>
      <c r="T639" s="16">
        <v>1</v>
      </c>
      <c r="U639" s="16" t="s">
        <v>42</v>
      </c>
      <c r="V639" s="16" t="s">
        <v>42</v>
      </c>
      <c r="W639" s="4" t="s">
        <v>5408</v>
      </c>
      <c r="X639" s="2" t="s">
        <v>42</v>
      </c>
      <c r="Y639" s="8" t="str">
        <f>HYPERLINK("http://linkedin.com/in/saad-aldrees-692284bb/", "http://linkedin.com/in/saad-aldrees-692284bb/")</f>
        <v>http://linkedin.com/in/saad-aldrees-692284bb/</v>
      </c>
      <c r="Z639" s="2" t="s">
        <v>55</v>
      </c>
      <c r="AA639" s="2" t="s">
        <v>5409</v>
      </c>
      <c r="AB639" s="2" t="s">
        <v>5410</v>
      </c>
      <c r="AC639" s="2" t="s">
        <v>58</v>
      </c>
      <c r="AD639" s="2" t="s">
        <v>42</v>
      </c>
      <c r="AE639" s="4" t="s">
        <v>75</v>
      </c>
      <c r="AF639" s="2" t="s">
        <v>60</v>
      </c>
      <c r="AG639" s="4" t="s">
        <v>5411</v>
      </c>
      <c r="AH639" s="2" t="s">
        <v>61</v>
      </c>
      <c r="AI639" s="2" t="s">
        <v>61</v>
      </c>
      <c r="AJ639" s="2" t="s">
        <v>42</v>
      </c>
      <c r="AK639" s="2" t="s">
        <v>42</v>
      </c>
      <c r="AL639" s="28">
        <v>45807</v>
      </c>
      <c r="AM639" s="4" t="s">
        <v>42</v>
      </c>
      <c r="AN639" s="8" t="str">
        <f>HYPERLINK("https://my.pitchbook.com?p=341003-80P", "View People Online")</f>
        <v>View People Online</v>
      </c>
    </row>
    <row r="640" spans="1:40" x14ac:dyDescent="0.2">
      <c r="A640" s="3" t="s">
        <v>5412</v>
      </c>
      <c r="B640" s="3" t="s">
        <v>5413</v>
      </c>
      <c r="C640" s="3" t="s">
        <v>42</v>
      </c>
      <c r="D640" s="3" t="s">
        <v>42</v>
      </c>
      <c r="E640" s="3" t="s">
        <v>5412</v>
      </c>
      <c r="F640" s="3" t="s">
        <v>5414</v>
      </c>
      <c r="G640" s="3" t="s">
        <v>467</v>
      </c>
      <c r="H640" s="3" t="s">
        <v>5415</v>
      </c>
      <c r="I640" s="3" t="s">
        <v>42</v>
      </c>
      <c r="J640" s="3" t="s">
        <v>47</v>
      </c>
      <c r="K640" s="3" t="s">
        <v>2820</v>
      </c>
      <c r="L640" s="3" t="s">
        <v>111</v>
      </c>
      <c r="M640" s="9" t="str">
        <f>HYPERLINK("http://www.nayifat.com", "www.nayifat.com")</f>
        <v>www.nayifat.com</v>
      </c>
      <c r="N640" s="3" t="s">
        <v>69</v>
      </c>
      <c r="O640" s="3" t="s">
        <v>42</v>
      </c>
      <c r="P640" s="3" t="s">
        <v>5416</v>
      </c>
      <c r="Q640" s="3" t="s">
        <v>42</v>
      </c>
      <c r="R640" s="17">
        <v>1</v>
      </c>
      <c r="S640" s="17">
        <v>1</v>
      </c>
      <c r="T640" s="17" t="s">
        <v>42</v>
      </c>
      <c r="U640" s="17" t="s">
        <v>42</v>
      </c>
      <c r="V640" s="17" t="s">
        <v>42</v>
      </c>
      <c r="W640" s="5" t="s">
        <v>2822</v>
      </c>
      <c r="X640" s="3" t="s">
        <v>42</v>
      </c>
      <c r="Y640" s="3" t="s">
        <v>42</v>
      </c>
      <c r="Z640" s="3" t="s">
        <v>55</v>
      </c>
      <c r="AA640" s="3" t="s">
        <v>2823</v>
      </c>
      <c r="AB640" s="3" t="s">
        <v>2824</v>
      </c>
      <c r="AC640" s="3" t="s">
        <v>58</v>
      </c>
      <c r="AD640" s="3" t="s">
        <v>42</v>
      </c>
      <c r="AE640" s="5" t="s">
        <v>2825</v>
      </c>
      <c r="AF640" s="3" t="s">
        <v>60</v>
      </c>
      <c r="AG640" s="5" t="s">
        <v>42</v>
      </c>
      <c r="AH640" s="3" t="s">
        <v>61</v>
      </c>
      <c r="AI640" s="3" t="s">
        <v>61</v>
      </c>
      <c r="AJ640" s="3" t="s">
        <v>42</v>
      </c>
      <c r="AK640" s="3" t="s">
        <v>42</v>
      </c>
      <c r="AL640" s="29">
        <v>45868</v>
      </c>
      <c r="AM640" s="5" t="s">
        <v>42</v>
      </c>
      <c r="AN640" s="9" t="str">
        <f>HYPERLINK("https://my.pitchbook.com?p=343198-99P", "View People Online")</f>
        <v>View People Online</v>
      </c>
    </row>
    <row r="641" spans="1:40" x14ac:dyDescent="0.2">
      <c r="A641" s="2" t="s">
        <v>5417</v>
      </c>
      <c r="B641" s="2" t="s">
        <v>5418</v>
      </c>
      <c r="C641" s="2" t="s">
        <v>42</v>
      </c>
      <c r="D641" s="2" t="s">
        <v>42</v>
      </c>
      <c r="E641" s="2" t="s">
        <v>5417</v>
      </c>
      <c r="F641" s="2" t="s">
        <v>967</v>
      </c>
      <c r="G641" s="2" t="s">
        <v>5419</v>
      </c>
      <c r="H641" s="2" t="s">
        <v>66</v>
      </c>
      <c r="I641" s="2" t="s">
        <v>46</v>
      </c>
      <c r="J641" s="2" t="s">
        <v>47</v>
      </c>
      <c r="K641" s="2" t="s">
        <v>1592</v>
      </c>
      <c r="L641" s="2" t="s">
        <v>111</v>
      </c>
      <c r="M641" s="8" t="str">
        <f>HYPERLINK("http://www.chemanol.com", "www.chemanol.com")</f>
        <v>www.chemanol.com</v>
      </c>
      <c r="N641" s="2" t="s">
        <v>112</v>
      </c>
      <c r="O641" s="2" t="s">
        <v>42</v>
      </c>
      <c r="P641" s="2" t="s">
        <v>5420</v>
      </c>
      <c r="Q641" s="2" t="s">
        <v>42</v>
      </c>
      <c r="R641" s="16">
        <v>1</v>
      </c>
      <c r="S641" s="16">
        <v>1</v>
      </c>
      <c r="T641" s="16">
        <v>1</v>
      </c>
      <c r="U641" s="16" t="s">
        <v>42</v>
      </c>
      <c r="V641" s="16" t="s">
        <v>42</v>
      </c>
      <c r="W641" s="4" t="s">
        <v>1596</v>
      </c>
      <c r="X641" s="2" t="s">
        <v>42</v>
      </c>
      <c r="Y641" s="8" t="str">
        <f>HYPERLINK("http://linkedin.com/in/sabri-alghamdi-76716313/", "http://linkedin.com/in/sabri-alghamdi-76716313/")</f>
        <v>http://linkedin.com/in/sabri-alghamdi-76716313/</v>
      </c>
      <c r="Z641" s="2" t="s">
        <v>383</v>
      </c>
      <c r="AA641" s="2" t="s">
        <v>1598</v>
      </c>
      <c r="AB641" s="2" t="s">
        <v>1599</v>
      </c>
      <c r="AC641" s="2" t="s">
        <v>385</v>
      </c>
      <c r="AD641" s="2" t="s">
        <v>42</v>
      </c>
      <c r="AE641" s="4" t="s">
        <v>1600</v>
      </c>
      <c r="AF641" s="2" t="s">
        <v>60</v>
      </c>
      <c r="AG641" s="4" t="s">
        <v>1601</v>
      </c>
      <c r="AH641" s="2" t="s">
        <v>61</v>
      </c>
      <c r="AI641" s="2" t="s">
        <v>61</v>
      </c>
      <c r="AJ641" s="2" t="s">
        <v>42</v>
      </c>
      <c r="AK641" s="2" t="s">
        <v>42</v>
      </c>
      <c r="AL641" s="28">
        <v>45842</v>
      </c>
      <c r="AM641" s="4" t="s">
        <v>42</v>
      </c>
      <c r="AN641" s="8" t="str">
        <f>HYPERLINK("https://my.pitchbook.com?p=329787-82P", "View People Online")</f>
        <v>View People Online</v>
      </c>
    </row>
    <row r="642" spans="1:40" x14ac:dyDescent="0.2">
      <c r="A642" s="3" t="s">
        <v>5421</v>
      </c>
      <c r="B642" s="3" t="s">
        <v>5422</v>
      </c>
      <c r="C642" s="3" t="s">
        <v>42</v>
      </c>
      <c r="D642" s="3" t="s">
        <v>42</v>
      </c>
      <c r="E642" s="3" t="s">
        <v>5421</v>
      </c>
      <c r="F642" s="3" t="s">
        <v>821</v>
      </c>
      <c r="G642" s="3" t="s">
        <v>968</v>
      </c>
      <c r="H642" s="3" t="s">
        <v>284</v>
      </c>
      <c r="I642" s="3" t="s">
        <v>46</v>
      </c>
      <c r="J642" s="3" t="s">
        <v>47</v>
      </c>
      <c r="K642" s="3" t="s">
        <v>969</v>
      </c>
      <c r="L642" s="3" t="s">
        <v>111</v>
      </c>
      <c r="M642" s="9" t="str">
        <f>HYPERLINK("http://www.jabalomar.com.sa", "www.jabalomar.com.sa")</f>
        <v>www.jabalomar.com.sa</v>
      </c>
      <c r="N642" s="3" t="s">
        <v>1058</v>
      </c>
      <c r="O642" s="3" t="s">
        <v>42</v>
      </c>
      <c r="P642" s="3" t="s">
        <v>5423</v>
      </c>
      <c r="Q642" s="3" t="s">
        <v>42</v>
      </c>
      <c r="R642" s="17">
        <v>1</v>
      </c>
      <c r="S642" s="17">
        <v>1</v>
      </c>
      <c r="T642" s="17" t="s">
        <v>42</v>
      </c>
      <c r="U642" s="17" t="s">
        <v>42</v>
      </c>
      <c r="V642" s="17" t="s">
        <v>42</v>
      </c>
      <c r="W642" s="5" t="s">
        <v>971</v>
      </c>
      <c r="X642" s="3" t="s">
        <v>42</v>
      </c>
      <c r="Y642" s="3" t="s">
        <v>42</v>
      </c>
      <c r="Z642" s="3" t="s">
        <v>174</v>
      </c>
      <c r="AA642" s="3" t="s">
        <v>973</v>
      </c>
      <c r="AB642" s="3" t="s">
        <v>974</v>
      </c>
      <c r="AC642" s="3" t="s">
        <v>176</v>
      </c>
      <c r="AD642" s="3" t="s">
        <v>42</v>
      </c>
      <c r="AE642" s="5" t="s">
        <v>42</v>
      </c>
      <c r="AF642" s="3" t="s">
        <v>60</v>
      </c>
      <c r="AG642" s="5" t="s">
        <v>42</v>
      </c>
      <c r="AH642" s="3" t="s">
        <v>61</v>
      </c>
      <c r="AI642" s="3" t="s">
        <v>61</v>
      </c>
      <c r="AJ642" s="3" t="s">
        <v>42</v>
      </c>
      <c r="AK642" s="3" t="s">
        <v>42</v>
      </c>
      <c r="AL642" s="29">
        <v>45950</v>
      </c>
      <c r="AM642" s="5" t="s">
        <v>42</v>
      </c>
      <c r="AN642" s="9" t="str">
        <f>HYPERLINK("https://my.pitchbook.com?p=410769-73P", "View People Online")</f>
        <v>View People Online</v>
      </c>
    </row>
    <row r="643" spans="1:40" x14ac:dyDescent="0.2">
      <c r="A643" s="2" t="s">
        <v>5424</v>
      </c>
      <c r="B643" s="2" t="s">
        <v>5425</v>
      </c>
      <c r="C643" s="2" t="s">
        <v>42</v>
      </c>
      <c r="D643" s="2" t="s">
        <v>42</v>
      </c>
      <c r="E643" s="2" t="s">
        <v>5424</v>
      </c>
      <c r="F643" s="2" t="s">
        <v>5426</v>
      </c>
      <c r="G643" s="2" t="s">
        <v>5427</v>
      </c>
      <c r="H643" s="2" t="s">
        <v>42</v>
      </c>
      <c r="I643" s="2" t="s">
        <v>46</v>
      </c>
      <c r="J643" s="2" t="s">
        <v>47</v>
      </c>
      <c r="K643" s="2" t="s">
        <v>2312</v>
      </c>
      <c r="L643" s="2" t="s">
        <v>111</v>
      </c>
      <c r="M643" s="8" t="str">
        <f>HYPERLINK("http://www.arabianmills.com", "www.arabianmills.com")</f>
        <v>www.arabianmills.com</v>
      </c>
      <c r="N643" s="2" t="s">
        <v>534</v>
      </c>
      <c r="O643" s="2" t="s">
        <v>42</v>
      </c>
      <c r="P643" s="2" t="s">
        <v>5428</v>
      </c>
      <c r="Q643" s="2" t="s">
        <v>42</v>
      </c>
      <c r="R643" s="16" t="s">
        <v>42</v>
      </c>
      <c r="S643" s="16">
        <v>1</v>
      </c>
      <c r="T643" s="16">
        <v>1</v>
      </c>
      <c r="U643" s="16" t="s">
        <v>42</v>
      </c>
      <c r="V643" s="16" t="s">
        <v>42</v>
      </c>
      <c r="W643" s="4" t="s">
        <v>42</v>
      </c>
      <c r="X643" s="2" t="s">
        <v>42</v>
      </c>
      <c r="Y643" s="2" t="s">
        <v>42</v>
      </c>
      <c r="Z643" s="2" t="s">
        <v>55</v>
      </c>
      <c r="AA643" s="2" t="s">
        <v>2314</v>
      </c>
      <c r="AB643" s="2" t="s">
        <v>42</v>
      </c>
      <c r="AC643" s="2" t="s">
        <v>58</v>
      </c>
      <c r="AD643" s="2" t="s">
        <v>42</v>
      </c>
      <c r="AE643" s="4" t="s">
        <v>2315</v>
      </c>
      <c r="AF643" s="2" t="s">
        <v>60</v>
      </c>
      <c r="AG643" s="4" t="s">
        <v>42</v>
      </c>
      <c r="AH643" s="2" t="s">
        <v>61</v>
      </c>
      <c r="AI643" s="2" t="s">
        <v>61</v>
      </c>
      <c r="AJ643" s="2" t="s">
        <v>42</v>
      </c>
      <c r="AK643" s="2" t="s">
        <v>42</v>
      </c>
      <c r="AL643" s="28">
        <v>45544</v>
      </c>
      <c r="AM643" s="4" t="s">
        <v>42</v>
      </c>
      <c r="AN643" s="8" t="str">
        <f>HYPERLINK("https://my.pitchbook.com?p=412032-43P", "View People Online")</f>
        <v>View People Online</v>
      </c>
    </row>
    <row r="644" spans="1:40" x14ac:dyDescent="0.2">
      <c r="A644" s="3" t="s">
        <v>5429</v>
      </c>
      <c r="B644" s="3" t="s">
        <v>5430</v>
      </c>
      <c r="C644" s="3" t="s">
        <v>42</v>
      </c>
      <c r="D644" s="3" t="s">
        <v>42</v>
      </c>
      <c r="E644" s="3" t="s">
        <v>5429</v>
      </c>
      <c r="F644" s="3" t="s">
        <v>5431</v>
      </c>
      <c r="G644" s="3" t="s">
        <v>5432</v>
      </c>
      <c r="H644" s="3" t="s">
        <v>5433</v>
      </c>
      <c r="I644" s="3" t="s">
        <v>46</v>
      </c>
      <c r="J644" s="3" t="s">
        <v>47</v>
      </c>
      <c r="K644" s="3" t="s">
        <v>5434</v>
      </c>
      <c r="L644" s="3" t="s">
        <v>111</v>
      </c>
      <c r="M644" s="9" t="str">
        <f>HYPERLINK("http://www.aljaziratakaful.com.sa", "www.aljaziratakaful.com.sa")</f>
        <v>www.aljaziratakaful.com.sa</v>
      </c>
      <c r="N644" s="3" t="s">
        <v>447</v>
      </c>
      <c r="O644" s="3" t="s">
        <v>42</v>
      </c>
      <c r="P644" s="3" t="s">
        <v>5435</v>
      </c>
      <c r="Q644" s="3" t="s">
        <v>42</v>
      </c>
      <c r="R644" s="17" t="s">
        <v>42</v>
      </c>
      <c r="S644" s="17">
        <v>1</v>
      </c>
      <c r="T644" s="17">
        <v>1</v>
      </c>
      <c r="U644" s="17" t="s">
        <v>42</v>
      </c>
      <c r="V644" s="17" t="s">
        <v>42</v>
      </c>
      <c r="W644" s="5" t="s">
        <v>5436</v>
      </c>
      <c r="X644" s="3" t="s">
        <v>5437</v>
      </c>
      <c r="Y644" s="9" t="str">
        <f>HYPERLINK("http://linkedin.com/in/sager-nadershah-17a52727/", "http://linkedin.com/in/sager-nadershah-17a52727/")</f>
        <v>http://linkedin.com/in/sager-nadershah-17a52727/</v>
      </c>
      <c r="Z644" s="3" t="s">
        <v>174</v>
      </c>
      <c r="AA644" s="3" t="s">
        <v>5438</v>
      </c>
      <c r="AB644" s="3" t="s">
        <v>5439</v>
      </c>
      <c r="AC644" s="3" t="s">
        <v>176</v>
      </c>
      <c r="AD644" s="3" t="s">
        <v>42</v>
      </c>
      <c r="AE644" s="5" t="s">
        <v>879</v>
      </c>
      <c r="AF644" s="3" t="s">
        <v>60</v>
      </c>
      <c r="AG644" s="5" t="s">
        <v>5440</v>
      </c>
      <c r="AH644" s="3" t="s">
        <v>61</v>
      </c>
      <c r="AI644" s="3" t="s">
        <v>61</v>
      </c>
      <c r="AJ644" s="3" t="s">
        <v>42</v>
      </c>
      <c r="AK644" s="3" t="s">
        <v>42</v>
      </c>
      <c r="AL644" s="29">
        <v>46052</v>
      </c>
      <c r="AM644" s="5" t="s">
        <v>42</v>
      </c>
      <c r="AN644" s="9" t="str">
        <f>HYPERLINK("https://my.pitchbook.com?p=339604-93P", "View People Online")</f>
        <v>View People Online</v>
      </c>
    </row>
    <row r="645" spans="1:40" x14ac:dyDescent="0.2">
      <c r="A645" s="2" t="s">
        <v>5441</v>
      </c>
      <c r="B645" s="2" t="s">
        <v>5442</v>
      </c>
      <c r="C645" s="2" t="s">
        <v>42</v>
      </c>
      <c r="D645" s="2" t="s">
        <v>42</v>
      </c>
      <c r="E645" s="2" t="s">
        <v>5441</v>
      </c>
      <c r="F645" s="2" t="s">
        <v>5443</v>
      </c>
      <c r="G645" s="2" t="s">
        <v>5444</v>
      </c>
      <c r="H645" s="2" t="s">
        <v>5445</v>
      </c>
      <c r="I645" s="2" t="s">
        <v>46</v>
      </c>
      <c r="J645" s="2" t="s">
        <v>47</v>
      </c>
      <c r="K645" s="2" t="s">
        <v>446</v>
      </c>
      <c r="L645" s="2" t="s">
        <v>111</v>
      </c>
      <c r="M645" s="8" t="str">
        <f>HYPERLINK("http://www.alhammadi.com", "www.alhammadi.com")</f>
        <v>www.alhammadi.com</v>
      </c>
      <c r="N645" s="2" t="s">
        <v>534</v>
      </c>
      <c r="O645" s="2" t="s">
        <v>42</v>
      </c>
      <c r="P645" s="2" t="s">
        <v>5446</v>
      </c>
      <c r="Q645" s="2" t="s">
        <v>42</v>
      </c>
      <c r="R645" s="16" t="s">
        <v>42</v>
      </c>
      <c r="S645" s="16">
        <v>1</v>
      </c>
      <c r="T645" s="16">
        <v>1</v>
      </c>
      <c r="U645" s="16" t="s">
        <v>42</v>
      </c>
      <c r="V645" s="16" t="s">
        <v>42</v>
      </c>
      <c r="W645" s="4" t="s">
        <v>449</v>
      </c>
      <c r="X645" s="2" t="s">
        <v>42</v>
      </c>
      <c r="Y645" s="2" t="s">
        <v>42</v>
      </c>
      <c r="Z645" s="2" t="s">
        <v>55</v>
      </c>
      <c r="AA645" s="2" t="s">
        <v>451</v>
      </c>
      <c r="AB645" s="2" t="s">
        <v>452</v>
      </c>
      <c r="AC645" s="2" t="s">
        <v>58</v>
      </c>
      <c r="AD645" s="2" t="s">
        <v>453</v>
      </c>
      <c r="AE645" s="4" t="s">
        <v>454</v>
      </c>
      <c r="AF645" s="2" t="s">
        <v>60</v>
      </c>
      <c r="AG645" s="4" t="s">
        <v>455</v>
      </c>
      <c r="AH645" s="2" t="s">
        <v>61</v>
      </c>
      <c r="AI645" s="2" t="s">
        <v>61</v>
      </c>
      <c r="AJ645" s="2" t="s">
        <v>42</v>
      </c>
      <c r="AK645" s="2" t="s">
        <v>42</v>
      </c>
      <c r="AL645" s="28">
        <v>45666</v>
      </c>
      <c r="AM645" s="4" t="s">
        <v>42</v>
      </c>
      <c r="AN645" s="8" t="str">
        <f>HYPERLINK("https://my.pitchbook.com?p=342922-15P", "View People Online")</f>
        <v>View People Online</v>
      </c>
    </row>
    <row r="646" spans="1:40" x14ac:dyDescent="0.2">
      <c r="A646" s="3" t="s">
        <v>5447</v>
      </c>
      <c r="B646" s="3" t="s">
        <v>5448</v>
      </c>
      <c r="C646" s="3" t="s">
        <v>42</v>
      </c>
      <c r="D646" s="3" t="s">
        <v>42</v>
      </c>
      <c r="E646" s="3" t="s">
        <v>5447</v>
      </c>
      <c r="F646" s="3" t="s">
        <v>5449</v>
      </c>
      <c r="G646" s="3" t="s">
        <v>5450</v>
      </c>
      <c r="H646" s="3" t="s">
        <v>42</v>
      </c>
      <c r="I646" s="3" t="s">
        <v>46</v>
      </c>
      <c r="J646" s="3" t="s">
        <v>47</v>
      </c>
      <c r="K646" s="3" t="s">
        <v>5451</v>
      </c>
      <c r="L646" s="3" t="s">
        <v>111</v>
      </c>
      <c r="M646" s="9" t="str">
        <f>HYPERLINK("http://www.unitedholding.com.sa", "www.unitedholding.com.sa")</f>
        <v>www.unitedholding.com.sa</v>
      </c>
      <c r="N646" s="3" t="s">
        <v>210</v>
      </c>
      <c r="O646" s="3" t="s">
        <v>42</v>
      </c>
      <c r="P646" s="3" t="s">
        <v>5452</v>
      </c>
      <c r="Q646" s="3" t="s">
        <v>42</v>
      </c>
      <c r="R646" s="17" t="s">
        <v>42</v>
      </c>
      <c r="S646" s="17">
        <v>1</v>
      </c>
      <c r="T646" s="17">
        <v>1</v>
      </c>
      <c r="U646" s="17" t="s">
        <v>42</v>
      </c>
      <c r="V646" s="17" t="s">
        <v>42</v>
      </c>
      <c r="W646" s="5" t="s">
        <v>5453</v>
      </c>
      <c r="X646" s="3" t="s">
        <v>5454</v>
      </c>
      <c r="Y646" s="3" t="s">
        <v>42</v>
      </c>
      <c r="Z646" s="3" t="s">
        <v>595</v>
      </c>
      <c r="AA646" s="3" t="s">
        <v>5455</v>
      </c>
      <c r="AB646" s="3" t="s">
        <v>5456</v>
      </c>
      <c r="AC646" s="3" t="s">
        <v>598</v>
      </c>
      <c r="AD646" s="3" t="s">
        <v>5457</v>
      </c>
      <c r="AE646" s="5" t="s">
        <v>599</v>
      </c>
      <c r="AF646" s="3" t="s">
        <v>60</v>
      </c>
      <c r="AG646" s="5" t="s">
        <v>5458</v>
      </c>
      <c r="AH646" s="3" t="s">
        <v>61</v>
      </c>
      <c r="AI646" s="3" t="s">
        <v>61</v>
      </c>
      <c r="AJ646" s="3" t="s">
        <v>42</v>
      </c>
      <c r="AK646" s="3" t="s">
        <v>42</v>
      </c>
      <c r="AL646" s="29">
        <v>45813</v>
      </c>
      <c r="AM646" s="5" t="s">
        <v>42</v>
      </c>
      <c r="AN646" s="9" t="str">
        <f>HYPERLINK("https://my.pitchbook.com?p=418033-00P", "View People Online")</f>
        <v>View People Online</v>
      </c>
    </row>
    <row r="647" spans="1:40" x14ac:dyDescent="0.2">
      <c r="A647" s="2" t="s">
        <v>5459</v>
      </c>
      <c r="B647" s="2" t="s">
        <v>5460</v>
      </c>
      <c r="C647" s="2" t="s">
        <v>42</v>
      </c>
      <c r="D647" s="2" t="s">
        <v>42</v>
      </c>
      <c r="E647" s="2" t="s">
        <v>5459</v>
      </c>
      <c r="F647" s="2" t="s">
        <v>5461</v>
      </c>
      <c r="G647" s="2" t="s">
        <v>5462</v>
      </c>
      <c r="H647" s="2" t="s">
        <v>284</v>
      </c>
      <c r="I647" s="2" t="s">
        <v>46</v>
      </c>
      <c r="J647" s="2" t="s">
        <v>47</v>
      </c>
      <c r="K647" s="2" t="s">
        <v>4032</v>
      </c>
      <c r="L647" s="2" t="s">
        <v>111</v>
      </c>
      <c r="M647" s="8" t="str">
        <f>HYPERLINK("http://www.sabic.com", "www.sabic.com")</f>
        <v>www.sabic.com</v>
      </c>
      <c r="N647" s="2" t="s">
        <v>5463</v>
      </c>
      <c r="O647" s="2" t="s">
        <v>42</v>
      </c>
      <c r="P647" s="2" t="s">
        <v>5464</v>
      </c>
      <c r="Q647" s="2" t="s">
        <v>42</v>
      </c>
      <c r="R647" s="16" t="s">
        <v>42</v>
      </c>
      <c r="S647" s="16">
        <v>1</v>
      </c>
      <c r="T647" s="16">
        <v>1</v>
      </c>
      <c r="U647" s="16" t="s">
        <v>42</v>
      </c>
      <c r="V647" s="16" t="s">
        <v>42</v>
      </c>
      <c r="W647" s="4" t="s">
        <v>188</v>
      </c>
      <c r="X647" s="2" t="s">
        <v>42</v>
      </c>
      <c r="Y647" s="8" t="str">
        <f>HYPERLINK("http://sa.linkedin.com/in/salah-al-hareky-a60557219?original_referer=www.google.com/", "http://sa.linkedin.com/in/salah-al-hareky-a60557219?original_referer=www.google.com/")</f>
        <v>http://sa.linkedin.com/in/salah-al-hareky-a60557219?original_referer=www.google.com/</v>
      </c>
      <c r="Z647" s="2" t="s">
        <v>55</v>
      </c>
      <c r="AA647" s="2" t="s">
        <v>189</v>
      </c>
      <c r="AB647" s="2" t="s">
        <v>42</v>
      </c>
      <c r="AC647" s="2" t="s">
        <v>58</v>
      </c>
      <c r="AD647" s="2" t="s">
        <v>42</v>
      </c>
      <c r="AE647" s="4" t="s">
        <v>190</v>
      </c>
      <c r="AF647" s="2" t="s">
        <v>60</v>
      </c>
      <c r="AG647" s="4" t="s">
        <v>191</v>
      </c>
      <c r="AH647" s="2" t="s">
        <v>61</v>
      </c>
      <c r="AI647" s="2" t="s">
        <v>61</v>
      </c>
      <c r="AJ647" s="2" t="s">
        <v>42</v>
      </c>
      <c r="AK647" s="2" t="s">
        <v>42</v>
      </c>
      <c r="AL647" s="28">
        <v>45915</v>
      </c>
      <c r="AM647" s="4" t="s">
        <v>42</v>
      </c>
      <c r="AN647" s="8" t="str">
        <f>HYPERLINK("https://my.pitchbook.com?p=395268-49P", "View People Online")</f>
        <v>View People Online</v>
      </c>
    </row>
    <row r="648" spans="1:40" x14ac:dyDescent="0.2">
      <c r="A648" s="3" t="s">
        <v>5465</v>
      </c>
      <c r="B648" s="3" t="s">
        <v>5466</v>
      </c>
      <c r="C648" s="3" t="s">
        <v>42</v>
      </c>
      <c r="D648" s="3" t="s">
        <v>42</v>
      </c>
      <c r="E648" s="3" t="s">
        <v>5465</v>
      </c>
      <c r="F648" s="3" t="s">
        <v>5467</v>
      </c>
      <c r="G648" s="3" t="s">
        <v>5462</v>
      </c>
      <c r="H648" s="3" t="s">
        <v>3077</v>
      </c>
      <c r="I648" s="3" t="s">
        <v>46</v>
      </c>
      <c r="J648" s="3" t="s">
        <v>47</v>
      </c>
      <c r="K648" s="3" t="s">
        <v>641</v>
      </c>
      <c r="L648" s="3" t="s">
        <v>111</v>
      </c>
      <c r="M648" s="9" t="str">
        <f>HYPERLINK("http://www.anb.com.sa", "www.anb.com.sa")</f>
        <v>www.anb.com.sa</v>
      </c>
      <c r="N648" s="3" t="s">
        <v>69</v>
      </c>
      <c r="O648" s="3" t="s">
        <v>42</v>
      </c>
      <c r="P648" s="3" t="s">
        <v>5468</v>
      </c>
      <c r="Q648" s="3" t="s">
        <v>42</v>
      </c>
      <c r="R648" s="17">
        <v>1</v>
      </c>
      <c r="S648" s="17">
        <v>1</v>
      </c>
      <c r="T648" s="17" t="s">
        <v>42</v>
      </c>
      <c r="U648" s="17" t="s">
        <v>42</v>
      </c>
      <c r="V648" s="17" t="s">
        <v>42</v>
      </c>
      <c r="W648" s="5" t="s">
        <v>643</v>
      </c>
      <c r="X648" s="3" t="s">
        <v>5469</v>
      </c>
      <c r="Y648" s="3" t="s">
        <v>42</v>
      </c>
      <c r="Z648" s="3" t="s">
        <v>55</v>
      </c>
      <c r="AA648" s="3" t="s">
        <v>645</v>
      </c>
      <c r="AB648" s="3" t="s">
        <v>42</v>
      </c>
      <c r="AC648" s="3" t="s">
        <v>58</v>
      </c>
      <c r="AD648" s="3" t="s">
        <v>42</v>
      </c>
      <c r="AE648" s="5" t="s">
        <v>646</v>
      </c>
      <c r="AF648" s="3" t="s">
        <v>60</v>
      </c>
      <c r="AG648" s="5" t="s">
        <v>647</v>
      </c>
      <c r="AH648" s="3" t="s">
        <v>61</v>
      </c>
      <c r="AI648" s="3" t="s">
        <v>61</v>
      </c>
      <c r="AJ648" s="3" t="s">
        <v>42</v>
      </c>
      <c r="AK648" s="3" t="s">
        <v>42</v>
      </c>
      <c r="AL648" s="29">
        <v>45870</v>
      </c>
      <c r="AM648" s="5" t="s">
        <v>42</v>
      </c>
      <c r="AN648" s="9" t="str">
        <f>HYPERLINK("https://my.pitchbook.com?p=394694-29P", "View People Online")</f>
        <v>View People Online</v>
      </c>
    </row>
    <row r="649" spans="1:40" x14ac:dyDescent="0.2">
      <c r="A649" s="2" t="s">
        <v>5470</v>
      </c>
      <c r="B649" s="2" t="s">
        <v>5471</v>
      </c>
      <c r="C649" s="2" t="s">
        <v>42</v>
      </c>
      <c r="D649" s="2" t="s">
        <v>42</v>
      </c>
      <c r="E649" s="2" t="s">
        <v>5470</v>
      </c>
      <c r="F649" s="2" t="s">
        <v>284</v>
      </c>
      <c r="G649" s="2" t="s">
        <v>5462</v>
      </c>
      <c r="H649" s="2" t="s">
        <v>5472</v>
      </c>
      <c r="I649" s="2" t="s">
        <v>46</v>
      </c>
      <c r="J649" s="2" t="s">
        <v>47</v>
      </c>
      <c r="K649" s="2" t="s">
        <v>3089</v>
      </c>
      <c r="L649" s="2" t="s">
        <v>111</v>
      </c>
      <c r="M649" s="8" t="str">
        <f>HYPERLINK("http://www.nbm.com.sa", "www.nbm.com.sa")</f>
        <v>www.nbm.com.sa</v>
      </c>
      <c r="N649" s="2" t="s">
        <v>534</v>
      </c>
      <c r="O649" s="2" t="s">
        <v>42</v>
      </c>
      <c r="P649" s="2" t="s">
        <v>5473</v>
      </c>
      <c r="Q649" s="2" t="s">
        <v>42</v>
      </c>
      <c r="R649" s="16" t="s">
        <v>42</v>
      </c>
      <c r="S649" s="16">
        <v>1</v>
      </c>
      <c r="T649" s="16">
        <v>1</v>
      </c>
      <c r="U649" s="16" t="s">
        <v>42</v>
      </c>
      <c r="V649" s="16" t="s">
        <v>42</v>
      </c>
      <c r="W649" s="4" t="s">
        <v>3091</v>
      </c>
      <c r="X649" s="2" t="s">
        <v>5474</v>
      </c>
      <c r="Y649" s="2" t="s">
        <v>42</v>
      </c>
      <c r="Z649" s="2" t="s">
        <v>55</v>
      </c>
      <c r="AA649" s="2" t="s">
        <v>2687</v>
      </c>
      <c r="AB649" s="2" t="s">
        <v>3092</v>
      </c>
      <c r="AC649" s="2" t="s">
        <v>58</v>
      </c>
      <c r="AD649" s="2" t="s">
        <v>42</v>
      </c>
      <c r="AE649" s="4" t="s">
        <v>3093</v>
      </c>
      <c r="AF649" s="2" t="s">
        <v>60</v>
      </c>
      <c r="AG649" s="4" t="s">
        <v>3094</v>
      </c>
      <c r="AH649" s="2" t="s">
        <v>61</v>
      </c>
      <c r="AI649" s="2" t="s">
        <v>61</v>
      </c>
      <c r="AJ649" s="2" t="s">
        <v>42</v>
      </c>
      <c r="AK649" s="2" t="s">
        <v>42</v>
      </c>
      <c r="AL649" s="28">
        <v>45936</v>
      </c>
      <c r="AM649" s="4" t="s">
        <v>42</v>
      </c>
      <c r="AN649" s="8" t="str">
        <f>HYPERLINK("https://my.pitchbook.com?p=340981-03P", "View People Online")</f>
        <v>View People Online</v>
      </c>
    </row>
    <row r="650" spans="1:40" x14ac:dyDescent="0.2">
      <c r="A650" s="3" t="s">
        <v>5475</v>
      </c>
      <c r="B650" s="3" t="s">
        <v>5476</v>
      </c>
      <c r="C650" s="3" t="s">
        <v>42</v>
      </c>
      <c r="D650" s="3" t="s">
        <v>42</v>
      </c>
      <c r="E650" s="3" t="s">
        <v>5475</v>
      </c>
      <c r="F650" s="3" t="s">
        <v>5477</v>
      </c>
      <c r="G650" s="3" t="s">
        <v>5478</v>
      </c>
      <c r="H650" s="3" t="s">
        <v>42</v>
      </c>
      <c r="I650" s="3" t="s">
        <v>46</v>
      </c>
      <c r="J650" s="3" t="s">
        <v>47</v>
      </c>
      <c r="K650" s="3" t="s">
        <v>4039</v>
      </c>
      <c r="L650" s="3" t="s">
        <v>111</v>
      </c>
      <c r="M650" s="9" t="str">
        <f>HYPERLINK("http://www.alujain.sa", "www.alujain.sa")</f>
        <v>www.alujain.sa</v>
      </c>
      <c r="N650" s="3" t="s">
        <v>5479</v>
      </c>
      <c r="O650" s="3" t="s">
        <v>42</v>
      </c>
      <c r="P650" s="3" t="s">
        <v>5480</v>
      </c>
      <c r="Q650" s="3" t="s">
        <v>42</v>
      </c>
      <c r="R650" s="17" t="s">
        <v>42</v>
      </c>
      <c r="S650" s="17">
        <v>1</v>
      </c>
      <c r="T650" s="17">
        <v>1</v>
      </c>
      <c r="U650" s="17" t="s">
        <v>42</v>
      </c>
      <c r="V650" s="17" t="s">
        <v>42</v>
      </c>
      <c r="W650" s="5" t="s">
        <v>4041</v>
      </c>
      <c r="X650" s="3" t="s">
        <v>5481</v>
      </c>
      <c r="Y650" s="9" t="str">
        <f>HYPERLINK("http://linkedin.com/in/saleem-akhtar-76947aa/?originalsubdomain=sa", "http://linkedin.com/in/saleem-akhtar-76947aa/?originalsubdomain=sa")</f>
        <v>http://linkedin.com/in/saleem-akhtar-76947aa/?originalsubdomain=sa</v>
      </c>
      <c r="Z650" s="3" t="s">
        <v>55</v>
      </c>
      <c r="AA650" s="3" t="s">
        <v>4043</v>
      </c>
      <c r="AB650" s="3" t="s">
        <v>3752</v>
      </c>
      <c r="AC650" s="3" t="s">
        <v>58</v>
      </c>
      <c r="AD650" s="3" t="s">
        <v>42</v>
      </c>
      <c r="AE650" s="5" t="s">
        <v>4044</v>
      </c>
      <c r="AF650" s="3" t="s">
        <v>60</v>
      </c>
      <c r="AG650" s="5" t="s">
        <v>4045</v>
      </c>
      <c r="AH650" s="3" t="s">
        <v>61</v>
      </c>
      <c r="AI650" s="3" t="s">
        <v>61</v>
      </c>
      <c r="AJ650" s="3" t="s">
        <v>42</v>
      </c>
      <c r="AK650" s="3" t="s">
        <v>2073</v>
      </c>
      <c r="AL650" s="29">
        <v>46052</v>
      </c>
      <c r="AM650" s="5" t="s">
        <v>42</v>
      </c>
      <c r="AN650" s="9" t="str">
        <f>HYPERLINK("https://my.pitchbook.com?p=484320-25P", "View People Online")</f>
        <v>View People Online</v>
      </c>
    </row>
    <row r="651" spans="1:40" x14ac:dyDescent="0.2">
      <c r="A651" s="2" t="s">
        <v>5482</v>
      </c>
      <c r="B651" s="2" t="s">
        <v>5483</v>
      </c>
      <c r="C651" s="2" t="s">
        <v>42</v>
      </c>
      <c r="D651" s="2" t="s">
        <v>42</v>
      </c>
      <c r="E651" s="2" t="s">
        <v>5482</v>
      </c>
      <c r="F651" s="2" t="s">
        <v>5484</v>
      </c>
      <c r="G651" s="2" t="s">
        <v>1352</v>
      </c>
      <c r="H651" s="2" t="s">
        <v>5485</v>
      </c>
      <c r="I651" s="2" t="s">
        <v>46</v>
      </c>
      <c r="J651" s="2" t="s">
        <v>47</v>
      </c>
      <c r="K651" s="2" t="s">
        <v>5486</v>
      </c>
      <c r="L651" s="2" t="s">
        <v>111</v>
      </c>
      <c r="M651" s="8" t="str">
        <f>HYPERLINK("http://www.cleanlife.sa", "www.cleanlife.sa")</f>
        <v>www.cleanlife.sa</v>
      </c>
      <c r="N651" s="2" t="s">
        <v>534</v>
      </c>
      <c r="O651" s="2" t="s">
        <v>42</v>
      </c>
      <c r="P651" s="2" t="s">
        <v>5487</v>
      </c>
      <c r="Q651" s="2" t="s">
        <v>128</v>
      </c>
      <c r="R651" s="16" t="s">
        <v>42</v>
      </c>
      <c r="S651" s="16">
        <v>1</v>
      </c>
      <c r="T651" s="16">
        <v>1</v>
      </c>
      <c r="U651" s="16" t="s">
        <v>42</v>
      </c>
      <c r="V651" s="16" t="s">
        <v>42</v>
      </c>
      <c r="W651" s="4" t="s">
        <v>5488</v>
      </c>
      <c r="X651" s="2" t="s">
        <v>42</v>
      </c>
      <c r="Y651" s="2" t="s">
        <v>42</v>
      </c>
      <c r="Z651" s="2" t="s">
        <v>55</v>
      </c>
      <c r="AA651" s="2" t="s">
        <v>5489</v>
      </c>
      <c r="AB651" s="2" t="s">
        <v>42</v>
      </c>
      <c r="AC651" s="2" t="s">
        <v>58</v>
      </c>
      <c r="AD651" s="2" t="s">
        <v>42</v>
      </c>
      <c r="AE651" s="4" t="s">
        <v>42</v>
      </c>
      <c r="AF651" s="2" t="s">
        <v>60</v>
      </c>
      <c r="AG651" s="4" t="s">
        <v>42</v>
      </c>
      <c r="AH651" s="2" t="s">
        <v>61</v>
      </c>
      <c r="AI651" s="2" t="s">
        <v>61</v>
      </c>
      <c r="AJ651" s="2" t="s">
        <v>42</v>
      </c>
      <c r="AK651" s="2" t="s">
        <v>42</v>
      </c>
      <c r="AL651" s="28">
        <v>45957</v>
      </c>
      <c r="AM651" s="4" t="s">
        <v>42</v>
      </c>
      <c r="AN651" s="8" t="str">
        <f>HYPERLINK("https://my.pitchbook.com?p=361615-06P", "View People Online")</f>
        <v>View People Online</v>
      </c>
    </row>
    <row r="652" spans="1:40" x14ac:dyDescent="0.2">
      <c r="A652" s="3" t="s">
        <v>5490</v>
      </c>
      <c r="B652" s="3" t="s">
        <v>5491</v>
      </c>
      <c r="C652" s="3" t="s">
        <v>42</v>
      </c>
      <c r="D652" s="3" t="s">
        <v>42</v>
      </c>
      <c r="E652" s="3" t="s">
        <v>5490</v>
      </c>
      <c r="F652" s="3" t="s">
        <v>5492</v>
      </c>
      <c r="G652" s="3" t="s">
        <v>1352</v>
      </c>
      <c r="H652" s="3" t="s">
        <v>5493</v>
      </c>
      <c r="I652" s="3" t="s">
        <v>46</v>
      </c>
      <c r="J652" s="3" t="s">
        <v>47</v>
      </c>
      <c r="K652" s="3" t="s">
        <v>801</v>
      </c>
      <c r="L652" s="3" t="s">
        <v>111</v>
      </c>
      <c r="M652" s="9" t="str">
        <f>HYPERLINK("http://www.srmg.com", "www.srmg.com")</f>
        <v>www.srmg.com</v>
      </c>
      <c r="N652" s="3" t="s">
        <v>370</v>
      </c>
      <c r="O652" s="3" t="s">
        <v>42</v>
      </c>
      <c r="P652" s="3" t="s">
        <v>5494</v>
      </c>
      <c r="Q652" s="3" t="s">
        <v>42</v>
      </c>
      <c r="R652" s="17" t="s">
        <v>42</v>
      </c>
      <c r="S652" s="17">
        <v>1</v>
      </c>
      <c r="T652" s="17">
        <v>1</v>
      </c>
      <c r="U652" s="17" t="s">
        <v>42</v>
      </c>
      <c r="V652" s="17" t="s">
        <v>42</v>
      </c>
      <c r="W652" s="5" t="s">
        <v>804</v>
      </c>
      <c r="X652" s="3" t="s">
        <v>5495</v>
      </c>
      <c r="Y652" s="9" t="str">
        <f>HYPERLINK("http://linkedin.com/in/saleh-aldowais-098b08273/", "http://linkedin.com/in/saleh-aldowais-098b08273/")</f>
        <v>http://linkedin.com/in/saleh-aldowais-098b08273/</v>
      </c>
      <c r="Z652" s="3" t="s">
        <v>55</v>
      </c>
      <c r="AA652" s="3" t="s">
        <v>806</v>
      </c>
      <c r="AB652" s="3" t="s">
        <v>807</v>
      </c>
      <c r="AC652" s="3" t="s">
        <v>58</v>
      </c>
      <c r="AD652" s="3" t="s">
        <v>42</v>
      </c>
      <c r="AE652" s="5" t="s">
        <v>42</v>
      </c>
      <c r="AF652" s="3" t="s">
        <v>60</v>
      </c>
      <c r="AG652" s="5" t="s">
        <v>42</v>
      </c>
      <c r="AH652" s="3" t="s">
        <v>61</v>
      </c>
      <c r="AI652" s="3" t="s">
        <v>61</v>
      </c>
      <c r="AJ652" s="3" t="s">
        <v>42</v>
      </c>
      <c r="AK652" s="3" t="s">
        <v>42</v>
      </c>
      <c r="AL652" s="29">
        <v>45908</v>
      </c>
      <c r="AM652" s="5" t="s">
        <v>42</v>
      </c>
      <c r="AN652" s="9" t="str">
        <f>HYPERLINK("https://my.pitchbook.com?p=328622-23P", "View People Online")</f>
        <v>View People Online</v>
      </c>
    </row>
    <row r="653" spans="1:40" x14ac:dyDescent="0.2">
      <c r="A653" s="2" t="s">
        <v>5496</v>
      </c>
      <c r="B653" s="2" t="s">
        <v>5497</v>
      </c>
      <c r="C653" s="2" t="s">
        <v>42</v>
      </c>
      <c r="D653" s="2" t="s">
        <v>42</v>
      </c>
      <c r="E653" s="2" t="s">
        <v>5496</v>
      </c>
      <c r="F653" s="2" t="s">
        <v>2447</v>
      </c>
      <c r="G653" s="2" t="s">
        <v>1352</v>
      </c>
      <c r="H653" s="2" t="s">
        <v>5498</v>
      </c>
      <c r="I653" s="2" t="s">
        <v>46</v>
      </c>
      <c r="J653" s="2" t="s">
        <v>47</v>
      </c>
      <c r="K653" s="2" t="s">
        <v>969</v>
      </c>
      <c r="L653" s="2" t="s">
        <v>111</v>
      </c>
      <c r="M653" s="8" t="str">
        <f>HYPERLINK("http://www.jabalomar.com.sa", "www.jabalomar.com.sa")</f>
        <v>www.jabalomar.com.sa</v>
      </c>
      <c r="N653" s="2" t="s">
        <v>210</v>
      </c>
      <c r="O653" s="2" t="s">
        <v>42</v>
      </c>
      <c r="P653" s="2" t="s">
        <v>5499</v>
      </c>
      <c r="Q653" s="2" t="s">
        <v>42</v>
      </c>
      <c r="R653" s="16" t="s">
        <v>42</v>
      </c>
      <c r="S653" s="16">
        <v>1</v>
      </c>
      <c r="T653" s="16">
        <v>1</v>
      </c>
      <c r="U653" s="16" t="s">
        <v>42</v>
      </c>
      <c r="V653" s="16" t="s">
        <v>42</v>
      </c>
      <c r="W653" s="4" t="s">
        <v>971</v>
      </c>
      <c r="X653" s="2" t="s">
        <v>42</v>
      </c>
      <c r="Y653" s="2" t="s">
        <v>42</v>
      </c>
      <c r="Z653" s="2" t="s">
        <v>174</v>
      </c>
      <c r="AA653" s="2" t="s">
        <v>973</v>
      </c>
      <c r="AB653" s="2" t="s">
        <v>974</v>
      </c>
      <c r="AC653" s="2" t="s">
        <v>176</v>
      </c>
      <c r="AD653" s="2" t="s">
        <v>42</v>
      </c>
      <c r="AE653" s="4" t="s">
        <v>42</v>
      </c>
      <c r="AF653" s="2" t="s">
        <v>60</v>
      </c>
      <c r="AG653" s="4" t="s">
        <v>42</v>
      </c>
      <c r="AH653" s="2" t="s">
        <v>61</v>
      </c>
      <c r="AI653" s="2" t="s">
        <v>61</v>
      </c>
      <c r="AJ653" s="2" t="s">
        <v>42</v>
      </c>
      <c r="AK653" s="2" t="s">
        <v>42</v>
      </c>
      <c r="AL653" s="28">
        <v>45950</v>
      </c>
      <c r="AM653" s="4" t="s">
        <v>42</v>
      </c>
      <c r="AN653" s="8" t="str">
        <f>HYPERLINK("https://my.pitchbook.com?p=442203-94P", "View People Online")</f>
        <v>View People Online</v>
      </c>
    </row>
    <row r="654" spans="1:40" x14ac:dyDescent="0.2">
      <c r="A654" s="3" t="s">
        <v>5500</v>
      </c>
      <c r="B654" s="3" t="s">
        <v>5501</v>
      </c>
      <c r="C654" s="3" t="s">
        <v>42</v>
      </c>
      <c r="D654" s="3" t="s">
        <v>42</v>
      </c>
      <c r="E654" s="3" t="s">
        <v>5500</v>
      </c>
      <c r="F654" s="3" t="s">
        <v>5502</v>
      </c>
      <c r="G654" s="3" t="s">
        <v>1352</v>
      </c>
      <c r="H654" s="3" t="s">
        <v>698</v>
      </c>
      <c r="I654" s="3" t="s">
        <v>42</v>
      </c>
      <c r="J654" s="3" t="s">
        <v>47</v>
      </c>
      <c r="K654" s="3" t="s">
        <v>2472</v>
      </c>
      <c r="L654" s="3" t="s">
        <v>111</v>
      </c>
      <c r="M654" s="9" t="str">
        <f>HYPERLINK("http://www.almunajemfoods.com", "www.almunajemfoods.com")</f>
        <v>www.almunajemfoods.com</v>
      </c>
      <c r="N654" s="3" t="s">
        <v>69</v>
      </c>
      <c r="O654" s="3" t="s">
        <v>42</v>
      </c>
      <c r="P654" s="3" t="s">
        <v>5503</v>
      </c>
      <c r="Q654" s="3" t="s">
        <v>42</v>
      </c>
      <c r="R654" s="17">
        <v>1</v>
      </c>
      <c r="S654" s="17">
        <v>1</v>
      </c>
      <c r="T654" s="17" t="s">
        <v>42</v>
      </c>
      <c r="U654" s="17" t="s">
        <v>42</v>
      </c>
      <c r="V654" s="17" t="s">
        <v>42</v>
      </c>
      <c r="W654" s="5" t="s">
        <v>2474</v>
      </c>
      <c r="X654" s="3" t="s">
        <v>42</v>
      </c>
      <c r="Y654" s="3" t="s">
        <v>42</v>
      </c>
      <c r="Z654" s="3" t="s">
        <v>55</v>
      </c>
      <c r="AA654" s="3" t="s">
        <v>2476</v>
      </c>
      <c r="AB654" s="3" t="s">
        <v>2477</v>
      </c>
      <c r="AC654" s="3" t="s">
        <v>58</v>
      </c>
      <c r="AD654" s="3" t="s">
        <v>42</v>
      </c>
      <c r="AE654" s="5" t="s">
        <v>2478</v>
      </c>
      <c r="AF654" s="3" t="s">
        <v>60</v>
      </c>
      <c r="AG654" s="5" t="s">
        <v>42</v>
      </c>
      <c r="AH654" s="3" t="s">
        <v>61</v>
      </c>
      <c r="AI654" s="3" t="s">
        <v>61</v>
      </c>
      <c r="AJ654" s="3" t="s">
        <v>42</v>
      </c>
      <c r="AK654" s="3" t="s">
        <v>42</v>
      </c>
      <c r="AL654" s="29">
        <v>45786</v>
      </c>
      <c r="AM654" s="5" t="s">
        <v>42</v>
      </c>
      <c r="AN654" s="9" t="str">
        <f>HYPERLINK("https://my.pitchbook.com?p=320486-95P", "View People Online")</f>
        <v>View People Online</v>
      </c>
    </row>
    <row r="655" spans="1:40" x14ac:dyDescent="0.2">
      <c r="A655" s="2" t="s">
        <v>5504</v>
      </c>
      <c r="B655" s="2" t="s">
        <v>5505</v>
      </c>
      <c r="C655" s="2" t="s">
        <v>42</v>
      </c>
      <c r="D655" s="2" t="s">
        <v>42</v>
      </c>
      <c r="E655" s="2" t="s">
        <v>5504</v>
      </c>
      <c r="F655" s="2" t="s">
        <v>5506</v>
      </c>
      <c r="G655" s="2" t="s">
        <v>1352</v>
      </c>
      <c r="H655" s="2" t="s">
        <v>5507</v>
      </c>
      <c r="I655" s="2" t="s">
        <v>46</v>
      </c>
      <c r="J655" s="2" t="s">
        <v>47</v>
      </c>
      <c r="K655" s="2" t="s">
        <v>5486</v>
      </c>
      <c r="L655" s="2" t="s">
        <v>111</v>
      </c>
      <c r="M655" s="8" t="str">
        <f>HYPERLINK("http://www.cleanlife.sa", "www.cleanlife.sa")</f>
        <v>www.cleanlife.sa</v>
      </c>
      <c r="N655" s="2" t="s">
        <v>534</v>
      </c>
      <c r="O655" s="2" t="s">
        <v>42</v>
      </c>
      <c r="P655" s="2" t="s">
        <v>5508</v>
      </c>
      <c r="Q655" s="2" t="s">
        <v>42</v>
      </c>
      <c r="R655" s="16" t="s">
        <v>42</v>
      </c>
      <c r="S655" s="16">
        <v>1</v>
      </c>
      <c r="T655" s="16">
        <v>1</v>
      </c>
      <c r="U655" s="16" t="s">
        <v>42</v>
      </c>
      <c r="V655" s="16" t="s">
        <v>42</v>
      </c>
      <c r="W655" s="4" t="s">
        <v>5488</v>
      </c>
      <c r="X655" s="2" t="s">
        <v>42</v>
      </c>
      <c r="Y655" s="2" t="s">
        <v>42</v>
      </c>
      <c r="Z655" s="2" t="s">
        <v>55</v>
      </c>
      <c r="AA655" s="2" t="s">
        <v>5489</v>
      </c>
      <c r="AB655" s="2" t="s">
        <v>42</v>
      </c>
      <c r="AC655" s="2" t="s">
        <v>58</v>
      </c>
      <c r="AD655" s="2" t="s">
        <v>42</v>
      </c>
      <c r="AE655" s="4" t="s">
        <v>42</v>
      </c>
      <c r="AF655" s="2" t="s">
        <v>60</v>
      </c>
      <c r="AG655" s="4" t="s">
        <v>42</v>
      </c>
      <c r="AH655" s="2" t="s">
        <v>61</v>
      </c>
      <c r="AI655" s="2" t="s">
        <v>61</v>
      </c>
      <c r="AJ655" s="2" t="s">
        <v>42</v>
      </c>
      <c r="AK655" s="2" t="s">
        <v>42</v>
      </c>
      <c r="AL655" s="28">
        <v>45940</v>
      </c>
      <c r="AM655" s="4" t="s">
        <v>42</v>
      </c>
      <c r="AN655" s="8" t="str">
        <f>HYPERLINK("https://my.pitchbook.com?p=372249-28P", "View People Online")</f>
        <v>View People Online</v>
      </c>
    </row>
    <row r="656" spans="1:40" x14ac:dyDescent="0.2">
      <c r="A656" s="3" t="s">
        <v>5509</v>
      </c>
      <c r="B656" s="3" t="s">
        <v>5510</v>
      </c>
      <c r="C656" s="3" t="s">
        <v>42</v>
      </c>
      <c r="D656" s="3" t="s">
        <v>42</v>
      </c>
      <c r="E656" s="3" t="s">
        <v>5509</v>
      </c>
      <c r="F656" s="3" t="s">
        <v>5511</v>
      </c>
      <c r="G656" s="3" t="s">
        <v>1352</v>
      </c>
      <c r="H656" s="3" t="s">
        <v>284</v>
      </c>
      <c r="I656" s="3" t="s">
        <v>46</v>
      </c>
      <c r="J656" s="3" t="s">
        <v>47</v>
      </c>
      <c r="K656" s="3" t="s">
        <v>5512</v>
      </c>
      <c r="L656" s="3" t="s">
        <v>111</v>
      </c>
      <c r="M656" s="9" t="str">
        <f>HYPERLINK("http://www.sahatalmajd-co.com", "www.sahatalmajd-co.com")</f>
        <v>www.sahatalmajd-co.com</v>
      </c>
      <c r="N656" s="3" t="s">
        <v>139</v>
      </c>
      <c r="O656" s="3" t="s">
        <v>42</v>
      </c>
      <c r="P656" s="3" t="s">
        <v>5513</v>
      </c>
      <c r="Q656" s="3" t="s">
        <v>42</v>
      </c>
      <c r="R656" s="17">
        <v>1</v>
      </c>
      <c r="S656" s="17">
        <v>1</v>
      </c>
      <c r="T656" s="17">
        <v>1</v>
      </c>
      <c r="U656" s="17" t="s">
        <v>42</v>
      </c>
      <c r="V656" s="17" t="s">
        <v>42</v>
      </c>
      <c r="W656" s="5" t="s">
        <v>5514</v>
      </c>
      <c r="X656" s="3" t="s">
        <v>42</v>
      </c>
      <c r="Y656" s="3" t="s">
        <v>42</v>
      </c>
      <c r="Z656" s="3" t="s">
        <v>55</v>
      </c>
      <c r="AA656" s="3" t="s">
        <v>5515</v>
      </c>
      <c r="AB656" s="3" t="s">
        <v>5516</v>
      </c>
      <c r="AC656" s="3" t="s">
        <v>58</v>
      </c>
      <c r="AD656" s="3" t="s">
        <v>42</v>
      </c>
      <c r="AE656" s="5" t="s">
        <v>42</v>
      </c>
      <c r="AF656" s="3" t="s">
        <v>60</v>
      </c>
      <c r="AG656" s="5" t="s">
        <v>42</v>
      </c>
      <c r="AH656" s="3" t="s">
        <v>61</v>
      </c>
      <c r="AI656" s="3" t="s">
        <v>61</v>
      </c>
      <c r="AJ656" s="3" t="s">
        <v>42</v>
      </c>
      <c r="AK656" s="3" t="s">
        <v>42</v>
      </c>
      <c r="AL656" s="29">
        <v>45929</v>
      </c>
      <c r="AM656" s="5" t="s">
        <v>42</v>
      </c>
      <c r="AN656" s="9" t="str">
        <f>HYPERLINK("https://my.pitchbook.com?p=467103-16P", "View People Online")</f>
        <v>View People Online</v>
      </c>
    </row>
    <row r="657" spans="1:40" x14ac:dyDescent="0.2">
      <c r="A657" s="2" t="s">
        <v>5517</v>
      </c>
      <c r="B657" s="2" t="s">
        <v>5518</v>
      </c>
      <c r="C657" s="2" t="s">
        <v>42</v>
      </c>
      <c r="D657" s="2" t="s">
        <v>42</v>
      </c>
      <c r="E657" s="2" t="s">
        <v>5517</v>
      </c>
      <c r="F657" s="2" t="s">
        <v>1352</v>
      </c>
      <c r="G657" s="2" t="s">
        <v>1352</v>
      </c>
      <c r="H657" s="2" t="s">
        <v>42</v>
      </c>
      <c r="I657" s="2" t="s">
        <v>46</v>
      </c>
      <c r="J657" s="2" t="s">
        <v>47</v>
      </c>
      <c r="K657" s="2" t="s">
        <v>3667</v>
      </c>
      <c r="L657" s="2" t="s">
        <v>481</v>
      </c>
      <c r="M657" s="8" t="str">
        <f>HYPERLINK("http://www.alahli.com", "www.alahli.com")</f>
        <v>www.alahli.com</v>
      </c>
      <c r="N657" s="2" t="s">
        <v>5519</v>
      </c>
      <c r="O657" s="2" t="s">
        <v>42</v>
      </c>
      <c r="P657" s="2" t="s">
        <v>5520</v>
      </c>
      <c r="Q657" s="2" t="s">
        <v>42</v>
      </c>
      <c r="R657" s="16" t="s">
        <v>42</v>
      </c>
      <c r="S657" s="16">
        <v>1</v>
      </c>
      <c r="T657" s="16">
        <v>1</v>
      </c>
      <c r="U657" s="16" t="s">
        <v>42</v>
      </c>
      <c r="V657" s="16" t="s">
        <v>42</v>
      </c>
      <c r="W657" s="4" t="s">
        <v>3669</v>
      </c>
      <c r="X657" s="2" t="s">
        <v>5521</v>
      </c>
      <c r="Y657" s="8" t="str">
        <f>HYPERLINK("http://linkedin.com/in/sasaleh/", "http://linkedin.com/in/sasaleh/")</f>
        <v>http://linkedin.com/in/sasaleh/</v>
      </c>
      <c r="Z657" s="2" t="s">
        <v>55</v>
      </c>
      <c r="AA657" s="2" t="s">
        <v>3671</v>
      </c>
      <c r="AB657" s="2" t="s">
        <v>3672</v>
      </c>
      <c r="AC657" s="2" t="s">
        <v>58</v>
      </c>
      <c r="AD657" s="2" t="s">
        <v>3673</v>
      </c>
      <c r="AE657" s="4" t="s">
        <v>3674</v>
      </c>
      <c r="AF657" s="2" t="s">
        <v>60</v>
      </c>
      <c r="AG657" s="4" t="s">
        <v>42</v>
      </c>
      <c r="AH657" s="2" t="s">
        <v>61</v>
      </c>
      <c r="AI657" s="2" t="s">
        <v>61</v>
      </c>
      <c r="AJ657" s="2" t="s">
        <v>42</v>
      </c>
      <c r="AK657" s="2" t="s">
        <v>42</v>
      </c>
      <c r="AL657" s="28">
        <v>45968</v>
      </c>
      <c r="AM657" s="4">
        <v>1972</v>
      </c>
      <c r="AN657" s="8" t="str">
        <f>HYPERLINK("https://my.pitchbook.com?p=273897-01P", "View People Online")</f>
        <v>View People Online</v>
      </c>
    </row>
    <row r="658" spans="1:40" x14ac:dyDescent="0.2">
      <c r="A658" s="3" t="s">
        <v>5522</v>
      </c>
      <c r="B658" s="3" t="s">
        <v>5523</v>
      </c>
      <c r="C658" s="3" t="s">
        <v>42</v>
      </c>
      <c r="D658" s="3" t="s">
        <v>42</v>
      </c>
      <c r="E658" s="3" t="s">
        <v>5522</v>
      </c>
      <c r="F658" s="3" t="s">
        <v>5524</v>
      </c>
      <c r="G658" s="3" t="s">
        <v>5525</v>
      </c>
      <c r="H658" s="3" t="s">
        <v>42</v>
      </c>
      <c r="I658" s="3" t="s">
        <v>46</v>
      </c>
      <c r="J658" s="3" t="s">
        <v>47</v>
      </c>
      <c r="K658" s="3" t="s">
        <v>1992</v>
      </c>
      <c r="L658" s="3" t="s">
        <v>111</v>
      </c>
      <c r="M658" s="9" t="str">
        <f>HYPERLINK("http://www.cenomiretail.com", "www.cenomiretail.com")</f>
        <v>www.cenomiretail.com</v>
      </c>
      <c r="N658" s="3" t="s">
        <v>5526</v>
      </c>
      <c r="O658" s="3" t="s">
        <v>42</v>
      </c>
      <c r="P658" s="3" t="s">
        <v>5527</v>
      </c>
      <c r="Q658" s="3" t="s">
        <v>42</v>
      </c>
      <c r="R658" s="17" t="s">
        <v>42</v>
      </c>
      <c r="S658" s="17">
        <v>1</v>
      </c>
      <c r="T658" s="17">
        <v>1</v>
      </c>
      <c r="U658" s="17" t="s">
        <v>42</v>
      </c>
      <c r="V658" s="17" t="s">
        <v>42</v>
      </c>
      <c r="W658" s="5" t="s">
        <v>1995</v>
      </c>
      <c r="X658" s="3" t="s">
        <v>5528</v>
      </c>
      <c r="Y658" s="9" t="str">
        <f>HYPERLINK("http://linkedin.com/in/salim-fakhouri-b2257130/?originalsubdomain=sa", "http://linkedin.com/in/salim-fakhouri-b2257130/?originalsubdomain=sa")</f>
        <v>http://linkedin.com/in/salim-fakhouri-b2257130/?originalsubdomain=sa</v>
      </c>
      <c r="Z658" s="3" t="s">
        <v>55</v>
      </c>
      <c r="AA658" s="3" t="s">
        <v>1997</v>
      </c>
      <c r="AB658" s="3" t="s">
        <v>1998</v>
      </c>
      <c r="AC658" s="3" t="s">
        <v>58</v>
      </c>
      <c r="AD658" s="3" t="s">
        <v>42</v>
      </c>
      <c r="AE658" s="5" t="s">
        <v>1999</v>
      </c>
      <c r="AF658" s="3" t="s">
        <v>60</v>
      </c>
      <c r="AG658" s="5" t="s">
        <v>1995</v>
      </c>
      <c r="AH658" s="3" t="s">
        <v>61</v>
      </c>
      <c r="AI658" s="3" t="s">
        <v>61</v>
      </c>
      <c r="AJ658" s="3" t="s">
        <v>42</v>
      </c>
      <c r="AK658" s="3" t="s">
        <v>42</v>
      </c>
      <c r="AL658" s="29">
        <v>45917</v>
      </c>
      <c r="AM658" s="5">
        <v>1989</v>
      </c>
      <c r="AN658" s="9" t="str">
        <f>HYPERLINK("https://my.pitchbook.com?p=396394-21P", "View People Online")</f>
        <v>View People Online</v>
      </c>
    </row>
    <row r="659" spans="1:40" x14ac:dyDescent="0.2">
      <c r="A659" s="2" t="s">
        <v>5529</v>
      </c>
      <c r="B659" s="2" t="s">
        <v>5530</v>
      </c>
      <c r="C659" s="2" t="s">
        <v>42</v>
      </c>
      <c r="D659" s="2" t="s">
        <v>42</v>
      </c>
      <c r="E659" s="2" t="s">
        <v>5529</v>
      </c>
      <c r="F659" s="2" t="s">
        <v>5531</v>
      </c>
      <c r="G659" s="2" t="s">
        <v>5525</v>
      </c>
      <c r="H659" s="2" t="s">
        <v>42</v>
      </c>
      <c r="I659" s="2" t="s">
        <v>46</v>
      </c>
      <c r="J659" s="2" t="s">
        <v>47</v>
      </c>
      <c r="K659" s="2" t="s">
        <v>630</v>
      </c>
      <c r="L659" s="2" t="s">
        <v>111</v>
      </c>
      <c r="M659" s="8" t="str">
        <f>HYPERLINK("http://www.bindawoodholding.com", "www.bindawoodholding.com")</f>
        <v>www.bindawoodholding.com</v>
      </c>
      <c r="N659" s="2" t="s">
        <v>534</v>
      </c>
      <c r="O659" s="2" t="s">
        <v>42</v>
      </c>
      <c r="P659" s="2" t="s">
        <v>5532</v>
      </c>
      <c r="Q659" s="2" t="s">
        <v>42</v>
      </c>
      <c r="R659" s="16" t="s">
        <v>42</v>
      </c>
      <c r="S659" s="16">
        <v>1</v>
      </c>
      <c r="T659" s="16">
        <v>1</v>
      </c>
      <c r="U659" s="16" t="s">
        <v>42</v>
      </c>
      <c r="V659" s="16" t="s">
        <v>42</v>
      </c>
      <c r="W659" s="4" t="s">
        <v>632</v>
      </c>
      <c r="X659" s="2" t="s">
        <v>5533</v>
      </c>
      <c r="Y659" s="8" t="str">
        <f>HYPERLINK("http://linkedin.com/in/salimpatka/?originalsubdomain=sa", "http://linkedin.com/in/salimpatka/?originalsubdomain=sa")</f>
        <v>http://linkedin.com/in/salimpatka/?originalsubdomain=sa</v>
      </c>
      <c r="Z659" s="2" t="s">
        <v>174</v>
      </c>
      <c r="AA659" s="2" t="s">
        <v>634</v>
      </c>
      <c r="AB659" s="2" t="s">
        <v>635</v>
      </c>
      <c r="AC659" s="2" t="s">
        <v>176</v>
      </c>
      <c r="AD659" s="2" t="s">
        <v>42</v>
      </c>
      <c r="AE659" s="4" t="s">
        <v>636</v>
      </c>
      <c r="AF659" s="2" t="s">
        <v>60</v>
      </c>
      <c r="AG659" s="4" t="s">
        <v>42</v>
      </c>
      <c r="AH659" s="2" t="s">
        <v>61</v>
      </c>
      <c r="AI659" s="2" t="s">
        <v>61</v>
      </c>
      <c r="AJ659" s="2" t="s">
        <v>42</v>
      </c>
      <c r="AK659" s="2" t="s">
        <v>42</v>
      </c>
      <c r="AL659" s="28">
        <v>45839</v>
      </c>
      <c r="AM659" s="4">
        <v>1969</v>
      </c>
      <c r="AN659" s="8" t="str">
        <f>HYPERLINK("https://my.pitchbook.com?p=240770-89P", "View People Online")</f>
        <v>View People Online</v>
      </c>
    </row>
    <row r="660" spans="1:40" x14ac:dyDescent="0.2">
      <c r="A660" s="3" t="s">
        <v>5534</v>
      </c>
      <c r="B660" s="3" t="s">
        <v>5535</v>
      </c>
      <c r="C660" s="3" t="s">
        <v>42</v>
      </c>
      <c r="D660" s="3" t="s">
        <v>42</v>
      </c>
      <c r="E660" s="3" t="s">
        <v>5534</v>
      </c>
      <c r="F660" s="3" t="s">
        <v>5536</v>
      </c>
      <c r="G660" s="3" t="s">
        <v>3203</v>
      </c>
      <c r="H660" s="3" t="s">
        <v>5537</v>
      </c>
      <c r="I660" s="3" t="s">
        <v>46</v>
      </c>
      <c r="J660" s="3" t="s">
        <v>47</v>
      </c>
      <c r="K660" s="3" t="s">
        <v>2056</v>
      </c>
      <c r="L660" s="3" t="s">
        <v>111</v>
      </c>
      <c r="M660" s="9" t="str">
        <f>HYPERLINK("http://www.lanamedical.com", "www.lanamedical.com")</f>
        <v>www.lanamedical.com</v>
      </c>
      <c r="N660" s="3" t="s">
        <v>112</v>
      </c>
      <c r="O660" s="3" t="s">
        <v>42</v>
      </c>
      <c r="P660" s="3" t="s">
        <v>5538</v>
      </c>
      <c r="Q660" s="3" t="s">
        <v>42</v>
      </c>
      <c r="R660" s="17">
        <v>1</v>
      </c>
      <c r="S660" s="17">
        <v>1</v>
      </c>
      <c r="T660" s="17">
        <v>1</v>
      </c>
      <c r="U660" s="17" t="s">
        <v>42</v>
      </c>
      <c r="V660" s="17" t="s">
        <v>42</v>
      </c>
      <c r="W660" s="5" t="s">
        <v>2058</v>
      </c>
      <c r="X660" s="3" t="s">
        <v>5539</v>
      </c>
      <c r="Y660" s="9" t="str">
        <f>HYPERLINK("http://linkedin.com/in/salman-al-fuzan-82951b263/", "http://linkedin.com/in/salman-al-fuzan-82951b263/")</f>
        <v>http://linkedin.com/in/salman-al-fuzan-82951b263/</v>
      </c>
      <c r="Z660" s="3" t="s">
        <v>55</v>
      </c>
      <c r="AA660" s="3" t="s">
        <v>2060</v>
      </c>
      <c r="AB660" s="3" t="s">
        <v>42</v>
      </c>
      <c r="AC660" s="3" t="s">
        <v>58</v>
      </c>
      <c r="AD660" s="3" t="s">
        <v>42</v>
      </c>
      <c r="AE660" s="5" t="s">
        <v>2061</v>
      </c>
      <c r="AF660" s="3" t="s">
        <v>60</v>
      </c>
      <c r="AG660" s="5" t="s">
        <v>42</v>
      </c>
      <c r="AH660" s="3" t="s">
        <v>61</v>
      </c>
      <c r="AI660" s="3" t="s">
        <v>61</v>
      </c>
      <c r="AJ660" s="3" t="s">
        <v>42</v>
      </c>
      <c r="AK660" s="3" t="s">
        <v>42</v>
      </c>
      <c r="AL660" s="29">
        <v>45903</v>
      </c>
      <c r="AM660" s="5" t="s">
        <v>42</v>
      </c>
      <c r="AN660" s="9" t="str">
        <f>HYPERLINK("https://my.pitchbook.com?p=368581-06P", "View People Online")</f>
        <v>View People Online</v>
      </c>
    </row>
    <row r="661" spans="1:40" x14ac:dyDescent="0.2">
      <c r="A661" s="2" t="s">
        <v>5540</v>
      </c>
      <c r="B661" s="2" t="s">
        <v>5541</v>
      </c>
      <c r="C661" s="2" t="s">
        <v>42</v>
      </c>
      <c r="D661" s="2" t="s">
        <v>42</v>
      </c>
      <c r="E661" s="2" t="s">
        <v>5540</v>
      </c>
      <c r="F661" s="2" t="s">
        <v>5542</v>
      </c>
      <c r="G661" s="2" t="s">
        <v>5543</v>
      </c>
      <c r="H661" s="2" t="s">
        <v>2504</v>
      </c>
      <c r="I661" s="2" t="s">
        <v>42</v>
      </c>
      <c r="J661" s="2" t="s">
        <v>47</v>
      </c>
      <c r="K661" s="2" t="s">
        <v>1120</v>
      </c>
      <c r="L661" s="2" t="s">
        <v>111</v>
      </c>
      <c r="M661" s="8" t="str">
        <f>HYPERLINK("http://www.saco.sa", "www.saco.sa")</f>
        <v>www.saco.sa</v>
      </c>
      <c r="N661" s="2" t="s">
        <v>5544</v>
      </c>
      <c r="O661" s="2" t="s">
        <v>42</v>
      </c>
      <c r="P661" s="2" t="s">
        <v>5545</v>
      </c>
      <c r="Q661" s="2" t="s">
        <v>42</v>
      </c>
      <c r="R661" s="16">
        <v>1</v>
      </c>
      <c r="S661" s="16">
        <v>1</v>
      </c>
      <c r="T661" s="16" t="s">
        <v>42</v>
      </c>
      <c r="U661" s="16" t="s">
        <v>42</v>
      </c>
      <c r="V661" s="16" t="s">
        <v>42</v>
      </c>
      <c r="W661" s="4" t="s">
        <v>1122</v>
      </c>
      <c r="X661" s="2" t="s">
        <v>42</v>
      </c>
      <c r="Y661" s="8" t="str">
        <f>HYPERLINK("http://linkedin.com/in/sameer-baeisa-575bb5bb/", "http://linkedin.com/in/sameer-baeisa-575bb5bb/")</f>
        <v>http://linkedin.com/in/sameer-baeisa-575bb5bb/</v>
      </c>
      <c r="Z661" s="2" t="s">
        <v>55</v>
      </c>
      <c r="AA661" s="2" t="s">
        <v>1124</v>
      </c>
      <c r="AB661" s="2" t="s">
        <v>1125</v>
      </c>
      <c r="AC661" s="2" t="s">
        <v>58</v>
      </c>
      <c r="AD661" s="2" t="s">
        <v>42</v>
      </c>
      <c r="AE661" s="4" t="s">
        <v>1126</v>
      </c>
      <c r="AF661" s="2" t="s">
        <v>60</v>
      </c>
      <c r="AG661" s="4" t="s">
        <v>1127</v>
      </c>
      <c r="AH661" s="2" t="s">
        <v>61</v>
      </c>
      <c r="AI661" s="2" t="s">
        <v>61</v>
      </c>
      <c r="AJ661" s="2" t="s">
        <v>42</v>
      </c>
      <c r="AK661" s="2" t="s">
        <v>42</v>
      </c>
      <c r="AL661" s="28">
        <v>45868</v>
      </c>
      <c r="AM661" s="4" t="s">
        <v>42</v>
      </c>
      <c r="AN661" s="8" t="str">
        <f>HYPERLINK("https://my.pitchbook.com?p=282888-28P", "View People Online")</f>
        <v>View People Online</v>
      </c>
    </row>
    <row r="662" spans="1:40" x14ac:dyDescent="0.2">
      <c r="A662" s="3" t="s">
        <v>5546</v>
      </c>
      <c r="B662" s="3" t="s">
        <v>5547</v>
      </c>
      <c r="C662" s="3" t="s">
        <v>42</v>
      </c>
      <c r="D662" s="3" t="s">
        <v>42</v>
      </c>
      <c r="E662" s="3" t="s">
        <v>5546</v>
      </c>
      <c r="F662" s="3" t="s">
        <v>2218</v>
      </c>
      <c r="G662" s="3" t="s">
        <v>5548</v>
      </c>
      <c r="H662" s="3" t="s">
        <v>42</v>
      </c>
      <c r="I662" s="3" t="s">
        <v>46</v>
      </c>
      <c r="J662" s="3" t="s">
        <v>47</v>
      </c>
      <c r="K662" s="3" t="s">
        <v>5549</v>
      </c>
      <c r="L662" s="3" t="s">
        <v>111</v>
      </c>
      <c r="M662" s="9" t="str">
        <f>HYPERLINK("http://www.savola.com", "www.savola.com")</f>
        <v>www.savola.com</v>
      </c>
      <c r="N662" s="3" t="s">
        <v>210</v>
      </c>
      <c r="O662" s="3" t="s">
        <v>42</v>
      </c>
      <c r="P662" s="3" t="s">
        <v>5550</v>
      </c>
      <c r="Q662" s="3" t="s">
        <v>42</v>
      </c>
      <c r="R662" s="17" t="s">
        <v>42</v>
      </c>
      <c r="S662" s="17">
        <v>1</v>
      </c>
      <c r="T662" s="17">
        <v>1</v>
      </c>
      <c r="U662" s="17" t="s">
        <v>42</v>
      </c>
      <c r="V662" s="17" t="s">
        <v>42</v>
      </c>
      <c r="W662" s="5" t="s">
        <v>5551</v>
      </c>
      <c r="X662" s="3" t="s">
        <v>42</v>
      </c>
      <c r="Y662" s="3" t="s">
        <v>42</v>
      </c>
      <c r="Z662" s="3" t="s">
        <v>174</v>
      </c>
      <c r="AA662" s="3" t="s">
        <v>5552</v>
      </c>
      <c r="AB662" s="3" t="s">
        <v>5553</v>
      </c>
      <c r="AC662" s="3" t="s">
        <v>176</v>
      </c>
      <c r="AD662" s="3" t="s">
        <v>5554</v>
      </c>
      <c r="AE662" s="5" t="s">
        <v>42</v>
      </c>
      <c r="AF662" s="3" t="s">
        <v>60</v>
      </c>
      <c r="AG662" s="5" t="s">
        <v>42</v>
      </c>
      <c r="AH662" s="3" t="s">
        <v>61</v>
      </c>
      <c r="AI662" s="3" t="s">
        <v>61</v>
      </c>
      <c r="AJ662" s="3" t="s">
        <v>42</v>
      </c>
      <c r="AK662" s="3" t="s">
        <v>42</v>
      </c>
      <c r="AL662" s="29">
        <v>45844</v>
      </c>
      <c r="AM662" s="5" t="s">
        <v>42</v>
      </c>
      <c r="AN662" s="9" t="str">
        <f>HYPERLINK("https://my.pitchbook.com?p=437143-78P", "View People Online")</f>
        <v>View People Online</v>
      </c>
    </row>
    <row r="663" spans="1:40" x14ac:dyDescent="0.2">
      <c r="A663" s="2" t="s">
        <v>5555</v>
      </c>
      <c r="B663" s="2" t="s">
        <v>5556</v>
      </c>
      <c r="C663" s="2" t="s">
        <v>42</v>
      </c>
      <c r="D663" s="2" t="s">
        <v>42</v>
      </c>
      <c r="E663" s="2" t="s">
        <v>5555</v>
      </c>
      <c r="F663" s="2" t="s">
        <v>5557</v>
      </c>
      <c r="G663" s="2" t="s">
        <v>5558</v>
      </c>
      <c r="H663" s="2" t="s">
        <v>622</v>
      </c>
      <c r="I663" s="2" t="s">
        <v>46</v>
      </c>
      <c r="J663" s="2" t="s">
        <v>47</v>
      </c>
      <c r="K663" s="2" t="s">
        <v>245</v>
      </c>
      <c r="L663" s="2" t="s">
        <v>111</v>
      </c>
      <c r="M663" s="8" t="str">
        <f>HYPERLINK("http://www.luberef.com", "www.luberef.com")</f>
        <v>www.luberef.com</v>
      </c>
      <c r="N663" s="2" t="s">
        <v>1003</v>
      </c>
      <c r="O663" s="2" t="s">
        <v>42</v>
      </c>
      <c r="P663" s="2" t="s">
        <v>5559</v>
      </c>
      <c r="Q663" s="2" t="s">
        <v>5560</v>
      </c>
      <c r="R663" s="16" t="s">
        <v>42</v>
      </c>
      <c r="S663" s="16">
        <v>1</v>
      </c>
      <c r="T663" s="16">
        <v>1</v>
      </c>
      <c r="U663" s="16" t="s">
        <v>42</v>
      </c>
      <c r="V663" s="16" t="s">
        <v>42</v>
      </c>
      <c r="W663" s="4" t="s">
        <v>249</v>
      </c>
      <c r="X663" s="2" t="s">
        <v>42</v>
      </c>
      <c r="Y663" s="8" t="str">
        <f>HYPERLINK("http://linkedin.com/in/samer-a-al-hokail-308aaa56", "http://linkedin.com/in/samer-a-al-hokail-308aaa56")</f>
        <v>http://linkedin.com/in/samer-a-al-hokail-308aaa56</v>
      </c>
      <c r="Z663" s="2" t="s">
        <v>174</v>
      </c>
      <c r="AA663" s="2" t="s">
        <v>250</v>
      </c>
      <c r="AB663" s="2" t="s">
        <v>251</v>
      </c>
      <c r="AC663" s="2" t="s">
        <v>176</v>
      </c>
      <c r="AD663" s="2" t="s">
        <v>42</v>
      </c>
      <c r="AE663" s="4" t="s">
        <v>252</v>
      </c>
      <c r="AF663" s="2" t="s">
        <v>60</v>
      </c>
      <c r="AG663" s="4" t="s">
        <v>253</v>
      </c>
      <c r="AH663" s="2" t="s">
        <v>61</v>
      </c>
      <c r="AI663" s="2" t="s">
        <v>61</v>
      </c>
      <c r="AJ663" s="2" t="s">
        <v>42</v>
      </c>
      <c r="AK663" s="2" t="s">
        <v>42</v>
      </c>
      <c r="AL663" s="28">
        <v>45903</v>
      </c>
      <c r="AM663" s="4" t="s">
        <v>42</v>
      </c>
      <c r="AN663" s="8" t="str">
        <f>HYPERLINK("https://my.pitchbook.com?p=385531-84P", "View People Online")</f>
        <v>View People Online</v>
      </c>
    </row>
    <row r="664" spans="1:40" x14ac:dyDescent="0.2">
      <c r="A664" s="3" t="s">
        <v>5561</v>
      </c>
      <c r="B664" s="3" t="s">
        <v>5562</v>
      </c>
      <c r="C664" s="3" t="s">
        <v>42</v>
      </c>
      <c r="D664" s="3" t="s">
        <v>42</v>
      </c>
      <c r="E664" s="3" t="s">
        <v>5561</v>
      </c>
      <c r="F664" s="3" t="s">
        <v>5563</v>
      </c>
      <c r="G664" s="3" t="s">
        <v>5558</v>
      </c>
      <c r="H664" s="3" t="s">
        <v>42</v>
      </c>
      <c r="I664" s="3" t="s">
        <v>46</v>
      </c>
      <c r="J664" s="3" t="s">
        <v>47</v>
      </c>
      <c r="K664" s="3" t="s">
        <v>959</v>
      </c>
      <c r="L664" s="3" t="s">
        <v>111</v>
      </c>
      <c r="M664" s="9" t="str">
        <f>HYPERLINK("http://www.aig.sa", "www.aig.sa")</f>
        <v>www.aig.sa</v>
      </c>
      <c r="N664" s="3" t="s">
        <v>5564</v>
      </c>
      <c r="O664" s="3" t="s">
        <v>42</v>
      </c>
      <c r="P664" s="3" t="s">
        <v>5565</v>
      </c>
      <c r="Q664" s="3" t="s">
        <v>42</v>
      </c>
      <c r="R664" s="17" t="s">
        <v>42</v>
      </c>
      <c r="S664" s="17">
        <v>1</v>
      </c>
      <c r="T664" s="17">
        <v>1</v>
      </c>
      <c r="U664" s="17" t="s">
        <v>42</v>
      </c>
      <c r="V664" s="17" t="s">
        <v>42</v>
      </c>
      <c r="W664" s="5" t="s">
        <v>961</v>
      </c>
      <c r="X664" s="3" t="s">
        <v>5566</v>
      </c>
      <c r="Y664" s="9" t="str">
        <f>HYPERLINK("http://linkedin.com/in/samer-hendawi-a9948a3b/", "http://linkedin.com/in/samer-hendawi-a9948a3b/")</f>
        <v>http://linkedin.com/in/samer-hendawi-a9948a3b/</v>
      </c>
      <c r="Z664" s="3" t="s">
        <v>55</v>
      </c>
      <c r="AA664" s="3" t="s">
        <v>962</v>
      </c>
      <c r="AB664" s="3" t="s">
        <v>42</v>
      </c>
      <c r="AC664" s="3" t="s">
        <v>58</v>
      </c>
      <c r="AD664" s="3" t="s">
        <v>42</v>
      </c>
      <c r="AE664" s="5" t="s">
        <v>963</v>
      </c>
      <c r="AF664" s="3" t="s">
        <v>60</v>
      </c>
      <c r="AG664" s="5" t="s">
        <v>964</v>
      </c>
      <c r="AH664" s="3" t="s">
        <v>61</v>
      </c>
      <c r="AI664" s="3" t="s">
        <v>61</v>
      </c>
      <c r="AJ664" s="3" t="s">
        <v>42</v>
      </c>
      <c r="AK664" s="3" t="s">
        <v>42</v>
      </c>
      <c r="AL664" s="29">
        <v>45722</v>
      </c>
      <c r="AM664" s="5" t="s">
        <v>42</v>
      </c>
      <c r="AN664" s="9" t="str">
        <f>HYPERLINK("https://my.pitchbook.com?p=385213-42P", "View People Online")</f>
        <v>View People Online</v>
      </c>
    </row>
    <row r="665" spans="1:40" x14ac:dyDescent="0.2">
      <c r="A665" s="2" t="s">
        <v>5567</v>
      </c>
      <c r="B665" s="2" t="s">
        <v>5568</v>
      </c>
      <c r="C665" s="2" t="s">
        <v>42</v>
      </c>
      <c r="D665" s="2" t="s">
        <v>42</v>
      </c>
      <c r="E665" s="2" t="s">
        <v>5567</v>
      </c>
      <c r="F665" s="2" t="s">
        <v>4275</v>
      </c>
      <c r="G665" s="2" t="s">
        <v>946</v>
      </c>
      <c r="H665" s="2" t="s">
        <v>42</v>
      </c>
      <c r="I665" s="2" t="s">
        <v>46</v>
      </c>
      <c r="J665" s="2" t="s">
        <v>47</v>
      </c>
      <c r="K665" s="2" t="s">
        <v>2192</v>
      </c>
      <c r="L665" s="2" t="s">
        <v>111</v>
      </c>
      <c r="M665" s="8" t="str">
        <f>HYPERLINK("http://www.alhokair.com", "www.alhokair.com")</f>
        <v>www.alhokair.com</v>
      </c>
      <c r="N665" s="2" t="s">
        <v>246</v>
      </c>
      <c r="O665" s="2" t="s">
        <v>42</v>
      </c>
      <c r="P665" s="2" t="s">
        <v>5569</v>
      </c>
      <c r="Q665" s="2" t="s">
        <v>128</v>
      </c>
      <c r="R665" s="16">
        <v>1</v>
      </c>
      <c r="S665" s="16">
        <v>1</v>
      </c>
      <c r="T665" s="16">
        <v>1</v>
      </c>
      <c r="U665" s="16" t="s">
        <v>42</v>
      </c>
      <c r="V665" s="16" t="s">
        <v>42</v>
      </c>
      <c r="W665" s="4" t="s">
        <v>2194</v>
      </c>
      <c r="X665" s="2" t="s">
        <v>5570</v>
      </c>
      <c r="Y665" s="8" t="str">
        <f>HYPERLINK("http://sa.linkedin.com/in/sami-hokair-8173b7a", "http://sa.linkedin.com/in/sami-hokair-8173b7a")</f>
        <v>http://sa.linkedin.com/in/sami-hokair-8173b7a</v>
      </c>
      <c r="Z665" s="2" t="s">
        <v>55</v>
      </c>
      <c r="AA665" s="2" t="s">
        <v>2196</v>
      </c>
      <c r="AB665" s="2" t="s">
        <v>2197</v>
      </c>
      <c r="AC665" s="2" t="s">
        <v>58</v>
      </c>
      <c r="AD665" s="2" t="s">
        <v>42</v>
      </c>
      <c r="AE665" s="4" t="s">
        <v>2198</v>
      </c>
      <c r="AF665" s="2" t="s">
        <v>60</v>
      </c>
      <c r="AG665" s="4" t="s">
        <v>42</v>
      </c>
      <c r="AH665" s="2" t="s">
        <v>61</v>
      </c>
      <c r="AI665" s="2" t="s">
        <v>61</v>
      </c>
      <c r="AJ665" s="2" t="s">
        <v>42</v>
      </c>
      <c r="AK665" s="2" t="s">
        <v>42</v>
      </c>
      <c r="AL665" s="28">
        <v>46057</v>
      </c>
      <c r="AM665" s="4" t="s">
        <v>42</v>
      </c>
      <c r="AN665" s="8" t="str">
        <f>HYPERLINK("https://my.pitchbook.com?p=57046-24P", "View People Online")</f>
        <v>View People Online</v>
      </c>
    </row>
    <row r="666" spans="1:40" x14ac:dyDescent="0.2">
      <c r="A666" s="3" t="s">
        <v>5571</v>
      </c>
      <c r="B666" s="3" t="s">
        <v>5572</v>
      </c>
      <c r="C666" s="3" t="s">
        <v>42</v>
      </c>
      <c r="D666" s="3" t="s">
        <v>42</v>
      </c>
      <c r="E666" s="3" t="s">
        <v>5571</v>
      </c>
      <c r="F666" s="3" t="s">
        <v>968</v>
      </c>
      <c r="G666" s="3" t="s">
        <v>946</v>
      </c>
      <c r="H666" s="3" t="s">
        <v>5573</v>
      </c>
      <c r="I666" s="3" t="s">
        <v>46</v>
      </c>
      <c r="J666" s="3" t="s">
        <v>47</v>
      </c>
      <c r="K666" s="3" t="s">
        <v>2890</v>
      </c>
      <c r="L666" s="3" t="s">
        <v>111</v>
      </c>
      <c r="M666" s="9" t="str">
        <f>HYPERLINK("http://www.miraldental.com", "www.miraldental.com")</f>
        <v>www.miraldental.com</v>
      </c>
      <c r="N666" s="3" t="s">
        <v>210</v>
      </c>
      <c r="O666" s="3" t="s">
        <v>42</v>
      </c>
      <c r="P666" s="3" t="s">
        <v>5574</v>
      </c>
      <c r="Q666" s="3" t="s">
        <v>42</v>
      </c>
      <c r="R666" s="17" t="s">
        <v>42</v>
      </c>
      <c r="S666" s="17">
        <v>1</v>
      </c>
      <c r="T666" s="17">
        <v>1</v>
      </c>
      <c r="U666" s="17" t="s">
        <v>42</v>
      </c>
      <c r="V666" s="17" t="s">
        <v>42</v>
      </c>
      <c r="W666" s="5" t="s">
        <v>42</v>
      </c>
      <c r="X666" s="3" t="s">
        <v>5575</v>
      </c>
      <c r="Y666" s="3" t="s">
        <v>42</v>
      </c>
      <c r="Z666" s="3" t="s">
        <v>55</v>
      </c>
      <c r="AA666" s="3" t="s">
        <v>2893</v>
      </c>
      <c r="AB666" s="3" t="s">
        <v>42</v>
      </c>
      <c r="AC666" s="3" t="s">
        <v>58</v>
      </c>
      <c r="AD666" s="3" t="s">
        <v>42</v>
      </c>
      <c r="AE666" s="5" t="s">
        <v>2894</v>
      </c>
      <c r="AF666" s="3" t="s">
        <v>60</v>
      </c>
      <c r="AG666" s="5" t="s">
        <v>2895</v>
      </c>
      <c r="AH666" s="3" t="s">
        <v>61</v>
      </c>
      <c r="AI666" s="3" t="s">
        <v>61</v>
      </c>
      <c r="AJ666" s="3" t="s">
        <v>42</v>
      </c>
      <c r="AK666" s="3" t="s">
        <v>42</v>
      </c>
      <c r="AL666" s="29">
        <v>45441</v>
      </c>
      <c r="AM666" s="5" t="s">
        <v>42</v>
      </c>
      <c r="AN666" s="9" t="str">
        <f>HYPERLINK("https://my.pitchbook.com?p=398789-11P", "View People Online")</f>
        <v>View People Online</v>
      </c>
    </row>
    <row r="667" spans="1:40" x14ac:dyDescent="0.2">
      <c r="A667" s="2" t="s">
        <v>5576</v>
      </c>
      <c r="B667" s="2" t="s">
        <v>5577</v>
      </c>
      <c r="C667" s="2" t="s">
        <v>42</v>
      </c>
      <c r="D667" s="2" t="s">
        <v>42</v>
      </c>
      <c r="E667" s="2" t="s">
        <v>5576</v>
      </c>
      <c r="F667" s="2" t="s">
        <v>5578</v>
      </c>
      <c r="G667" s="2" t="s">
        <v>5579</v>
      </c>
      <c r="H667" s="2" t="s">
        <v>223</v>
      </c>
      <c r="I667" s="2" t="s">
        <v>46</v>
      </c>
      <c r="J667" s="2" t="s">
        <v>47</v>
      </c>
      <c r="K667" s="2" t="s">
        <v>3772</v>
      </c>
      <c r="L667" s="2" t="s">
        <v>111</v>
      </c>
      <c r="M667" s="8" t="str">
        <f>HYPERLINK("http://www.mc4.com.sa", "www.mc4.com.sa")</f>
        <v>www.mc4.com.sa</v>
      </c>
      <c r="N667" s="2" t="s">
        <v>370</v>
      </c>
      <c r="O667" s="2" t="s">
        <v>42</v>
      </c>
      <c r="P667" s="2" t="s">
        <v>5580</v>
      </c>
      <c r="Q667" s="2" t="s">
        <v>42</v>
      </c>
      <c r="R667" s="16" t="s">
        <v>42</v>
      </c>
      <c r="S667" s="16">
        <v>1</v>
      </c>
      <c r="T667" s="16">
        <v>1</v>
      </c>
      <c r="U667" s="16" t="s">
        <v>42</v>
      </c>
      <c r="V667" s="16" t="s">
        <v>42</v>
      </c>
      <c r="W667" s="4" t="s">
        <v>3775</v>
      </c>
      <c r="X667" s="2" t="s">
        <v>42</v>
      </c>
      <c r="Y667" s="8" t="str">
        <f>HYPERLINK("http://linkedin.com/in/samir-m-al-hamdan-3061a9167/", "http://linkedin.com/in/samir-m-al-hamdan-3061a9167/")</f>
        <v>http://linkedin.com/in/samir-m-al-hamdan-3061a9167/</v>
      </c>
      <c r="Z667" s="2" t="s">
        <v>383</v>
      </c>
      <c r="AA667" s="2" t="s">
        <v>3776</v>
      </c>
      <c r="AB667" s="2" t="s">
        <v>42</v>
      </c>
      <c r="AC667" s="2" t="s">
        <v>385</v>
      </c>
      <c r="AD667" s="2" t="s">
        <v>42</v>
      </c>
      <c r="AE667" s="4" t="s">
        <v>3777</v>
      </c>
      <c r="AF667" s="2" t="s">
        <v>60</v>
      </c>
      <c r="AG667" s="4" t="s">
        <v>3778</v>
      </c>
      <c r="AH667" s="2" t="s">
        <v>61</v>
      </c>
      <c r="AI667" s="2" t="s">
        <v>61</v>
      </c>
      <c r="AJ667" s="2" t="s">
        <v>42</v>
      </c>
      <c r="AK667" s="2" t="s">
        <v>42</v>
      </c>
      <c r="AL667" s="28">
        <v>45868</v>
      </c>
      <c r="AM667" s="4">
        <v>1966</v>
      </c>
      <c r="AN667" s="8" t="str">
        <f>HYPERLINK("https://my.pitchbook.com?p=263695-69P", "View People Online")</f>
        <v>View People Online</v>
      </c>
    </row>
    <row r="668" spans="1:40" x14ac:dyDescent="0.2">
      <c r="A668" s="3" t="s">
        <v>5581</v>
      </c>
      <c r="B668" s="3" t="s">
        <v>5582</v>
      </c>
      <c r="C668" s="3" t="s">
        <v>42</v>
      </c>
      <c r="D668" s="3" t="s">
        <v>42</v>
      </c>
      <c r="E668" s="3" t="s">
        <v>5581</v>
      </c>
      <c r="F668" s="3" t="s">
        <v>5583</v>
      </c>
      <c r="G668" s="3" t="s">
        <v>5579</v>
      </c>
      <c r="H668" s="3" t="s">
        <v>42</v>
      </c>
      <c r="I668" s="3" t="s">
        <v>46</v>
      </c>
      <c r="J668" s="3" t="s">
        <v>47</v>
      </c>
      <c r="K668" s="3" t="s">
        <v>2370</v>
      </c>
      <c r="L668" s="3" t="s">
        <v>111</v>
      </c>
      <c r="M668" s="9" t="str">
        <f>HYPERLINK("http://www.joufcem.com.sa", "www.joufcem.com.sa")</f>
        <v>www.joufcem.com.sa</v>
      </c>
      <c r="N668" s="3" t="s">
        <v>210</v>
      </c>
      <c r="O668" s="3" t="s">
        <v>42</v>
      </c>
      <c r="P668" s="3" t="s">
        <v>5584</v>
      </c>
      <c r="Q668" s="3" t="s">
        <v>42</v>
      </c>
      <c r="R668" s="17" t="s">
        <v>42</v>
      </c>
      <c r="S668" s="17">
        <v>1</v>
      </c>
      <c r="T668" s="17">
        <v>1</v>
      </c>
      <c r="U668" s="17" t="s">
        <v>42</v>
      </c>
      <c r="V668" s="17" t="s">
        <v>42</v>
      </c>
      <c r="W668" s="5" t="s">
        <v>2372</v>
      </c>
      <c r="X668" s="3" t="s">
        <v>5585</v>
      </c>
      <c r="Y668" s="3" t="s">
        <v>42</v>
      </c>
      <c r="Z668" s="3" t="s">
        <v>55</v>
      </c>
      <c r="AA668" s="3" t="s">
        <v>2374</v>
      </c>
      <c r="AB668" s="3" t="s">
        <v>2375</v>
      </c>
      <c r="AC668" s="3" t="s">
        <v>58</v>
      </c>
      <c r="AD668" s="3" t="s">
        <v>42</v>
      </c>
      <c r="AE668" s="5" t="s">
        <v>618</v>
      </c>
      <c r="AF668" s="3" t="s">
        <v>60</v>
      </c>
      <c r="AG668" s="5" t="s">
        <v>2376</v>
      </c>
      <c r="AH668" s="3" t="s">
        <v>61</v>
      </c>
      <c r="AI668" s="3" t="s">
        <v>61</v>
      </c>
      <c r="AJ668" s="3" t="s">
        <v>42</v>
      </c>
      <c r="AK668" s="3" t="s">
        <v>42</v>
      </c>
      <c r="AL668" s="29">
        <v>45930</v>
      </c>
      <c r="AM668" s="5" t="s">
        <v>42</v>
      </c>
      <c r="AN668" s="9" t="str">
        <f>HYPERLINK("https://my.pitchbook.com?p=466811-74P", "View People Online")</f>
        <v>View People Online</v>
      </c>
    </row>
    <row r="669" spans="1:40" x14ac:dyDescent="0.2">
      <c r="A669" s="2" t="s">
        <v>5586</v>
      </c>
      <c r="B669" s="2" t="s">
        <v>5587</v>
      </c>
      <c r="C669" s="2" t="s">
        <v>42</v>
      </c>
      <c r="D669" s="2" t="s">
        <v>42</v>
      </c>
      <c r="E669" s="2" t="s">
        <v>5586</v>
      </c>
      <c r="F669" s="2" t="s">
        <v>5588</v>
      </c>
      <c r="G669" s="2" t="s">
        <v>5589</v>
      </c>
      <c r="H669" s="2" t="s">
        <v>5590</v>
      </c>
      <c r="I669" s="2" t="s">
        <v>799</v>
      </c>
      <c r="J669" s="2" t="s">
        <v>800</v>
      </c>
      <c r="K669" s="2" t="s">
        <v>812</v>
      </c>
      <c r="L669" s="2" t="s">
        <v>111</v>
      </c>
      <c r="M669" s="8" t="str">
        <f>HYPERLINK("http://www.tadawulgroup.sa", "www.tadawulgroup.sa")</f>
        <v>www.tadawulgroup.sa</v>
      </c>
      <c r="N669" s="2" t="s">
        <v>69</v>
      </c>
      <c r="O669" s="2" t="s">
        <v>42</v>
      </c>
      <c r="P669" s="2" t="s">
        <v>5591</v>
      </c>
      <c r="Q669" s="2" t="s">
        <v>128</v>
      </c>
      <c r="R669" s="16">
        <v>1</v>
      </c>
      <c r="S669" s="16">
        <v>1</v>
      </c>
      <c r="T669" s="16" t="s">
        <v>42</v>
      </c>
      <c r="U669" s="16" t="s">
        <v>42</v>
      </c>
      <c r="V669" s="16" t="s">
        <v>42</v>
      </c>
      <c r="W669" s="4" t="s">
        <v>42</v>
      </c>
      <c r="X669" s="2" t="s">
        <v>42</v>
      </c>
      <c r="Y669" s="8" t="str">
        <f>HYPERLINK("http://linkedin.com/in/sarah-alsuhaimi-789b8318a/?miniprofileurn=urn:li:fs_miniprofile:acoaacyrbjkbupyqsjdhk7ua9qatwy4frec3hxi", "http://linkedin.com/in/sarah-alsuhaimi-789b8318a/?miniprofileurn=urn:li:fs_miniprofile:acoaacyrbjkbupyqsjdhk7ua9qatwy4frec3hxi")</f>
        <v>http://linkedin.com/in/sarah-alsuhaimi-789b8318a/?miniprofileurn=urn:li:fs_miniprofile:acoaacyrbjkbupyqsjdhk7ua9qatwy4frec3hxi</v>
      </c>
      <c r="Z669" s="2" t="s">
        <v>55</v>
      </c>
      <c r="AA669" s="2" t="s">
        <v>816</v>
      </c>
      <c r="AB669" s="2" t="s">
        <v>817</v>
      </c>
      <c r="AC669" s="2" t="s">
        <v>58</v>
      </c>
      <c r="AD669" s="2" t="s">
        <v>42</v>
      </c>
      <c r="AE669" s="4" t="s">
        <v>818</v>
      </c>
      <c r="AF669" s="2" t="s">
        <v>60</v>
      </c>
      <c r="AG669" s="4" t="s">
        <v>42</v>
      </c>
      <c r="AH669" s="2" t="s">
        <v>61</v>
      </c>
      <c r="AI669" s="2" t="s">
        <v>61</v>
      </c>
      <c r="AJ669" s="2" t="s">
        <v>42</v>
      </c>
      <c r="AK669" s="2" t="s">
        <v>42</v>
      </c>
      <c r="AL669" s="28">
        <v>46032</v>
      </c>
      <c r="AM669" s="4" t="s">
        <v>42</v>
      </c>
      <c r="AN669" s="8" t="str">
        <f>HYPERLINK("https://my.pitchbook.com?p=270325-27P", "View People Online")</f>
        <v>View People Online</v>
      </c>
    </row>
    <row r="670" spans="1:40" x14ac:dyDescent="0.2">
      <c r="A670" s="3" t="s">
        <v>5592</v>
      </c>
      <c r="B670" s="3" t="s">
        <v>5593</v>
      </c>
      <c r="C670" s="3" t="s">
        <v>42</v>
      </c>
      <c r="D670" s="3" t="s">
        <v>42</v>
      </c>
      <c r="E670" s="3" t="s">
        <v>5592</v>
      </c>
      <c r="F670" s="3" t="s">
        <v>5594</v>
      </c>
      <c r="G670" s="3" t="s">
        <v>985</v>
      </c>
      <c r="H670" s="3" t="s">
        <v>42</v>
      </c>
      <c r="I670" s="3" t="s">
        <v>46</v>
      </c>
      <c r="J670" s="3" t="s">
        <v>47</v>
      </c>
      <c r="K670" s="3" t="s">
        <v>1520</v>
      </c>
      <c r="L670" s="3" t="s">
        <v>1316</v>
      </c>
      <c r="M670" s="9" t="str">
        <f>HYPERLINK("http://www.alrajhitakaful.com", "www.alrajhitakaful.com")</f>
        <v>www.alrajhitakaful.com</v>
      </c>
      <c r="N670" s="3" t="s">
        <v>210</v>
      </c>
      <c r="O670" s="3" t="s">
        <v>42</v>
      </c>
      <c r="P670" s="3" t="s">
        <v>5595</v>
      </c>
      <c r="Q670" s="3" t="s">
        <v>42</v>
      </c>
      <c r="R670" s="17" t="s">
        <v>42</v>
      </c>
      <c r="S670" s="17">
        <v>1</v>
      </c>
      <c r="T670" s="17">
        <v>1</v>
      </c>
      <c r="U670" s="17" t="s">
        <v>42</v>
      </c>
      <c r="V670" s="17" t="s">
        <v>42</v>
      </c>
      <c r="W670" s="5" t="s">
        <v>1522</v>
      </c>
      <c r="X670" s="3" t="s">
        <v>5596</v>
      </c>
      <c r="Y670" s="9" t="str">
        <f>HYPERLINK("http://linkedin.com/in/saud-al-ghonaim-96aaa040/?originalsubdomain=sa", "http://linkedin.com/in/saud-al-ghonaim-96aaa040/?originalsubdomain=sa")</f>
        <v>http://linkedin.com/in/saud-al-ghonaim-96aaa040/?originalsubdomain=sa</v>
      </c>
      <c r="Z670" s="3" t="s">
        <v>55</v>
      </c>
      <c r="AA670" s="3" t="s">
        <v>1523</v>
      </c>
      <c r="AB670" s="3" t="s">
        <v>1524</v>
      </c>
      <c r="AC670" s="3" t="s">
        <v>58</v>
      </c>
      <c r="AD670" s="3" t="s">
        <v>1525</v>
      </c>
      <c r="AE670" s="5" t="s">
        <v>1526</v>
      </c>
      <c r="AF670" s="3" t="s">
        <v>60</v>
      </c>
      <c r="AG670" s="5" t="s">
        <v>1527</v>
      </c>
      <c r="AH670" s="3" t="s">
        <v>61</v>
      </c>
      <c r="AI670" s="3" t="s">
        <v>61</v>
      </c>
      <c r="AJ670" s="3" t="s">
        <v>42</v>
      </c>
      <c r="AK670" s="3" t="s">
        <v>42</v>
      </c>
      <c r="AL670" s="29">
        <v>45818</v>
      </c>
      <c r="AM670" s="5" t="s">
        <v>42</v>
      </c>
      <c r="AN670" s="9" t="str">
        <f>HYPERLINK("https://my.pitchbook.com?p=337813-48P", "View People Online")</f>
        <v>View People Online</v>
      </c>
    </row>
    <row r="671" spans="1:40" x14ac:dyDescent="0.2">
      <c r="A671" s="2" t="s">
        <v>5597</v>
      </c>
      <c r="B671" s="2" t="s">
        <v>5598</v>
      </c>
      <c r="C671" s="2" t="s">
        <v>42</v>
      </c>
      <c r="D671" s="2" t="s">
        <v>42</v>
      </c>
      <c r="E671" s="2" t="s">
        <v>5597</v>
      </c>
      <c r="F671" s="2" t="s">
        <v>1609</v>
      </c>
      <c r="G671" s="2" t="s">
        <v>985</v>
      </c>
      <c r="H671" s="2" t="s">
        <v>284</v>
      </c>
      <c r="I671" s="2" t="s">
        <v>46</v>
      </c>
      <c r="J671" s="2" t="s">
        <v>47</v>
      </c>
      <c r="K671" s="2" t="s">
        <v>5599</v>
      </c>
      <c r="L671" s="2" t="s">
        <v>111</v>
      </c>
      <c r="M671" s="8" t="str">
        <f>HYPERLINK("http://www.surepay.sa", "www.surepay.sa")</f>
        <v>www.surepay.sa</v>
      </c>
      <c r="N671" s="2" t="s">
        <v>1201</v>
      </c>
      <c r="O671" s="2" t="s">
        <v>42</v>
      </c>
      <c r="P671" s="2" t="s">
        <v>5600</v>
      </c>
      <c r="Q671" s="2" t="s">
        <v>42</v>
      </c>
      <c r="R671" s="16" t="s">
        <v>42</v>
      </c>
      <c r="S671" s="16">
        <v>1</v>
      </c>
      <c r="T671" s="16">
        <v>1</v>
      </c>
      <c r="U671" s="16" t="s">
        <v>42</v>
      </c>
      <c r="V671" s="16" t="s">
        <v>42</v>
      </c>
      <c r="W671" s="4" t="s">
        <v>5601</v>
      </c>
      <c r="X671" s="2" t="s">
        <v>42</v>
      </c>
      <c r="Y671" s="2" t="s">
        <v>42</v>
      </c>
      <c r="Z671" s="2" t="s">
        <v>55</v>
      </c>
      <c r="AA671" s="2" t="s">
        <v>5602</v>
      </c>
      <c r="AB671" s="2" t="s">
        <v>5603</v>
      </c>
      <c r="AC671" s="2" t="s">
        <v>58</v>
      </c>
      <c r="AD671" s="2" t="s">
        <v>1525</v>
      </c>
      <c r="AE671" s="4" t="s">
        <v>1809</v>
      </c>
      <c r="AF671" s="2" t="s">
        <v>60</v>
      </c>
      <c r="AG671" s="4" t="s">
        <v>42</v>
      </c>
      <c r="AH671" s="2" t="s">
        <v>61</v>
      </c>
      <c r="AI671" s="2" t="s">
        <v>61</v>
      </c>
      <c r="AJ671" s="2" t="s">
        <v>42</v>
      </c>
      <c r="AK671" s="2" t="s">
        <v>42</v>
      </c>
      <c r="AL671" s="28">
        <v>45524</v>
      </c>
      <c r="AM671" s="4" t="s">
        <v>42</v>
      </c>
      <c r="AN671" s="8" t="str">
        <f>HYPERLINK("https://my.pitchbook.com?p=329991-31P", "View People Online")</f>
        <v>View People Online</v>
      </c>
    </row>
    <row r="672" spans="1:40" x14ac:dyDescent="0.2">
      <c r="A672" s="3" t="s">
        <v>5604</v>
      </c>
      <c r="B672" s="3" t="s">
        <v>5605</v>
      </c>
      <c r="C672" s="3" t="s">
        <v>42</v>
      </c>
      <c r="D672" s="3" t="s">
        <v>42</v>
      </c>
      <c r="E672" s="3" t="s">
        <v>5604</v>
      </c>
      <c r="F672" s="3" t="s">
        <v>5606</v>
      </c>
      <c r="G672" s="3" t="s">
        <v>5607</v>
      </c>
      <c r="H672" s="3" t="s">
        <v>66</v>
      </c>
      <c r="I672" s="3" t="s">
        <v>46</v>
      </c>
      <c r="J672" s="3" t="s">
        <v>47</v>
      </c>
      <c r="K672" s="3" t="s">
        <v>2255</v>
      </c>
      <c r="L672" s="3" t="s">
        <v>111</v>
      </c>
      <c r="M672" s="9" t="str">
        <f>HYPERLINK("http://www.aictec.com", "www.aictec.com")</f>
        <v>www.aictec.com</v>
      </c>
      <c r="N672" s="3" t="s">
        <v>5608</v>
      </c>
      <c r="O672" s="3" t="s">
        <v>42</v>
      </c>
      <c r="P672" s="3" t="s">
        <v>5609</v>
      </c>
      <c r="Q672" s="3" t="s">
        <v>42</v>
      </c>
      <c r="R672" s="17" t="s">
        <v>42</v>
      </c>
      <c r="S672" s="17">
        <v>1</v>
      </c>
      <c r="T672" s="17">
        <v>1</v>
      </c>
      <c r="U672" s="17" t="s">
        <v>42</v>
      </c>
      <c r="V672" s="17" t="s">
        <v>42</v>
      </c>
      <c r="W672" s="5" t="s">
        <v>42</v>
      </c>
      <c r="X672" s="3" t="s">
        <v>5610</v>
      </c>
      <c r="Y672" s="3" t="s">
        <v>42</v>
      </c>
      <c r="Z672" s="3" t="s">
        <v>55</v>
      </c>
      <c r="AA672" s="3" t="s">
        <v>2258</v>
      </c>
      <c r="AB672" s="3" t="s">
        <v>2259</v>
      </c>
      <c r="AC672" s="3" t="s">
        <v>58</v>
      </c>
      <c r="AD672" s="3" t="s">
        <v>42</v>
      </c>
      <c r="AE672" s="5" t="s">
        <v>2260</v>
      </c>
      <c r="AF672" s="3" t="s">
        <v>60</v>
      </c>
      <c r="AG672" s="5" t="s">
        <v>42</v>
      </c>
      <c r="AH672" s="3" t="s">
        <v>61</v>
      </c>
      <c r="AI672" s="3" t="s">
        <v>61</v>
      </c>
      <c r="AJ672" s="3" t="s">
        <v>42</v>
      </c>
      <c r="AK672" s="3" t="s">
        <v>42</v>
      </c>
      <c r="AL672" s="29">
        <v>45971</v>
      </c>
      <c r="AM672" s="5" t="s">
        <v>42</v>
      </c>
      <c r="AN672" s="9" t="str">
        <f>HYPERLINK("https://my.pitchbook.com?p=298820-89P", "View People Online")</f>
        <v>View People Online</v>
      </c>
    </row>
    <row r="673" spans="1:40" x14ac:dyDescent="0.2">
      <c r="A673" s="2" t="s">
        <v>5611</v>
      </c>
      <c r="B673" s="2" t="s">
        <v>5612</v>
      </c>
      <c r="C673" s="2" t="s">
        <v>42</v>
      </c>
      <c r="D673" s="2" t="s">
        <v>42</v>
      </c>
      <c r="E673" s="2" t="s">
        <v>5611</v>
      </c>
      <c r="F673" s="2" t="s">
        <v>5613</v>
      </c>
      <c r="G673" s="2" t="s">
        <v>5614</v>
      </c>
      <c r="H673" s="2" t="s">
        <v>42</v>
      </c>
      <c r="I673" s="2" t="s">
        <v>46</v>
      </c>
      <c r="J673" s="2" t="s">
        <v>47</v>
      </c>
      <c r="K673" s="2" t="s">
        <v>335</v>
      </c>
      <c r="L673" s="2" t="s">
        <v>111</v>
      </c>
      <c r="M673" s="8" t="str">
        <f>HYPERLINK("http://www.maaden.com", "www.maaden.com")</f>
        <v>www.maaden.com</v>
      </c>
      <c r="N673" s="2" t="s">
        <v>5615</v>
      </c>
      <c r="O673" s="2" t="s">
        <v>42</v>
      </c>
      <c r="P673" s="2" t="s">
        <v>5616</v>
      </c>
      <c r="Q673" s="2" t="s">
        <v>5617</v>
      </c>
      <c r="R673" s="16" t="s">
        <v>42</v>
      </c>
      <c r="S673" s="16">
        <v>1</v>
      </c>
      <c r="T673" s="16">
        <v>1</v>
      </c>
      <c r="U673" s="16" t="s">
        <v>42</v>
      </c>
      <c r="V673" s="16" t="s">
        <v>42</v>
      </c>
      <c r="W673" s="4" t="s">
        <v>337</v>
      </c>
      <c r="X673" s="2" t="s">
        <v>5618</v>
      </c>
      <c r="Y673" s="8" t="str">
        <f>HYPERLINK("http://linkedin.com/in/saulat1sultan", "http://linkedin.com/in/saulat1sultan")</f>
        <v>http://linkedin.com/in/saulat1sultan</v>
      </c>
      <c r="Z673" s="2" t="s">
        <v>55</v>
      </c>
      <c r="AA673" s="2" t="s">
        <v>339</v>
      </c>
      <c r="AB673" s="2" t="s">
        <v>42</v>
      </c>
      <c r="AC673" s="2" t="s">
        <v>58</v>
      </c>
      <c r="AD673" s="2" t="s">
        <v>42</v>
      </c>
      <c r="AE673" s="4" t="s">
        <v>340</v>
      </c>
      <c r="AF673" s="2" t="s">
        <v>60</v>
      </c>
      <c r="AG673" s="4" t="s">
        <v>42</v>
      </c>
      <c r="AH673" s="2" t="s">
        <v>61</v>
      </c>
      <c r="AI673" s="2" t="s">
        <v>61</v>
      </c>
      <c r="AJ673" s="2" t="s">
        <v>42</v>
      </c>
      <c r="AK673" s="2" t="s">
        <v>42</v>
      </c>
      <c r="AL673" s="28">
        <v>45916</v>
      </c>
      <c r="AM673" s="4" t="s">
        <v>42</v>
      </c>
      <c r="AN673" s="8" t="str">
        <f>HYPERLINK("https://my.pitchbook.com?p=462996-64P", "View People Online")</f>
        <v>View People Online</v>
      </c>
    </row>
    <row r="674" spans="1:40" x14ac:dyDescent="0.2">
      <c r="A674" s="3" t="s">
        <v>5619</v>
      </c>
      <c r="B674" s="3" t="s">
        <v>5620</v>
      </c>
      <c r="C674" s="3" t="s">
        <v>42</v>
      </c>
      <c r="D674" s="3" t="s">
        <v>42</v>
      </c>
      <c r="E674" s="3" t="s">
        <v>5619</v>
      </c>
      <c r="F674" s="3" t="s">
        <v>5621</v>
      </c>
      <c r="G674" s="3" t="s">
        <v>5622</v>
      </c>
      <c r="H674" s="3" t="s">
        <v>2353</v>
      </c>
      <c r="I674" s="3" t="s">
        <v>46</v>
      </c>
      <c r="J674" s="3" t="s">
        <v>47</v>
      </c>
      <c r="K674" s="3" t="s">
        <v>3523</v>
      </c>
      <c r="L674" s="3" t="s">
        <v>111</v>
      </c>
      <c r="M674" s="9" t="str">
        <f>HYPERLINK("http://www.canadian-mc.com", "www.canadian-mc.com")</f>
        <v>www.canadian-mc.com</v>
      </c>
      <c r="N674" s="3" t="s">
        <v>534</v>
      </c>
      <c r="O674" s="3" t="s">
        <v>42</v>
      </c>
      <c r="P674" s="3" t="s">
        <v>5623</v>
      </c>
      <c r="Q674" s="3" t="s">
        <v>42</v>
      </c>
      <c r="R674" s="17" t="s">
        <v>42</v>
      </c>
      <c r="S674" s="17">
        <v>1</v>
      </c>
      <c r="T674" s="17">
        <v>1</v>
      </c>
      <c r="U674" s="17" t="s">
        <v>42</v>
      </c>
      <c r="V674" s="17" t="s">
        <v>42</v>
      </c>
      <c r="W674" s="5" t="s">
        <v>3525</v>
      </c>
      <c r="X674" s="3" t="s">
        <v>42</v>
      </c>
      <c r="Y674" s="3" t="s">
        <v>42</v>
      </c>
      <c r="Z674" s="3" t="s">
        <v>383</v>
      </c>
      <c r="AA674" s="3" t="s">
        <v>3527</v>
      </c>
      <c r="AB674" s="3" t="s">
        <v>3528</v>
      </c>
      <c r="AC674" s="3" t="s">
        <v>385</v>
      </c>
      <c r="AD674" s="3" t="s">
        <v>42</v>
      </c>
      <c r="AE674" s="5" t="s">
        <v>42</v>
      </c>
      <c r="AF674" s="3" t="s">
        <v>60</v>
      </c>
      <c r="AG674" s="5" t="s">
        <v>42</v>
      </c>
      <c r="AH674" s="3" t="s">
        <v>61</v>
      </c>
      <c r="AI674" s="3" t="s">
        <v>61</v>
      </c>
      <c r="AJ674" s="3" t="s">
        <v>42</v>
      </c>
      <c r="AK674" s="3" t="s">
        <v>42</v>
      </c>
      <c r="AL674" s="29">
        <v>45670</v>
      </c>
      <c r="AM674" s="5" t="s">
        <v>42</v>
      </c>
      <c r="AN674" s="9" t="str">
        <f>HYPERLINK("https://my.pitchbook.com?p=326163-07P", "View People Online")</f>
        <v>View People Online</v>
      </c>
    </row>
    <row r="675" spans="1:40" x14ac:dyDescent="0.2">
      <c r="A675" s="2" t="s">
        <v>5624</v>
      </c>
      <c r="B675" s="2" t="s">
        <v>5625</v>
      </c>
      <c r="C675" s="2" t="s">
        <v>42</v>
      </c>
      <c r="D675" s="2" t="s">
        <v>42</v>
      </c>
      <c r="E675" s="2" t="s">
        <v>5624</v>
      </c>
      <c r="F675" s="2" t="s">
        <v>5626</v>
      </c>
      <c r="G675" s="2" t="s">
        <v>5627</v>
      </c>
      <c r="H675" s="2" t="s">
        <v>5628</v>
      </c>
      <c r="I675" s="2" t="s">
        <v>46</v>
      </c>
      <c r="J675" s="2" t="s">
        <v>47</v>
      </c>
      <c r="K675" s="2" t="s">
        <v>3923</v>
      </c>
      <c r="L675" s="2" t="s">
        <v>111</v>
      </c>
      <c r="M675" s="8" t="str">
        <f>HYPERLINK("http://www.jamjoomfashion.com", "www.jamjoomfashion.com")</f>
        <v>www.jamjoomfashion.com</v>
      </c>
      <c r="N675" s="2" t="s">
        <v>1281</v>
      </c>
      <c r="O675" s="2" t="s">
        <v>42</v>
      </c>
      <c r="P675" s="2" t="s">
        <v>5629</v>
      </c>
      <c r="Q675" s="2" t="s">
        <v>42</v>
      </c>
      <c r="R675" s="16" t="s">
        <v>42</v>
      </c>
      <c r="S675" s="16">
        <v>1</v>
      </c>
      <c r="T675" s="16">
        <v>1</v>
      </c>
      <c r="U675" s="16" t="s">
        <v>42</v>
      </c>
      <c r="V675" s="16" t="s">
        <v>42</v>
      </c>
      <c r="W675" s="4" t="s">
        <v>3925</v>
      </c>
      <c r="X675" s="2" t="s">
        <v>5630</v>
      </c>
      <c r="Y675" s="8" t="str">
        <f>HYPERLINK("http://linkedin.com/in/scott-bisset-16b2b024", "http://linkedin.com/in/scott-bisset-16b2b024")</f>
        <v>http://linkedin.com/in/scott-bisset-16b2b024</v>
      </c>
      <c r="Z675" s="2" t="s">
        <v>174</v>
      </c>
      <c r="AA675" s="2" t="s">
        <v>3927</v>
      </c>
      <c r="AB675" s="2" t="s">
        <v>3928</v>
      </c>
      <c r="AC675" s="2" t="s">
        <v>176</v>
      </c>
      <c r="AD675" s="2" t="s">
        <v>42</v>
      </c>
      <c r="AE675" s="4" t="s">
        <v>42</v>
      </c>
      <c r="AF675" s="2" t="s">
        <v>60</v>
      </c>
      <c r="AG675" s="4" t="s">
        <v>42</v>
      </c>
      <c r="AH675" s="2" t="s">
        <v>61</v>
      </c>
      <c r="AI675" s="2" t="s">
        <v>61</v>
      </c>
      <c r="AJ675" s="2" t="s">
        <v>42</v>
      </c>
      <c r="AK675" s="2" t="s">
        <v>42</v>
      </c>
      <c r="AL675" s="28">
        <v>45884</v>
      </c>
      <c r="AM675" s="4" t="s">
        <v>42</v>
      </c>
      <c r="AN675" s="8" t="str">
        <f>HYPERLINK("https://my.pitchbook.com?p=460432-27P", "View People Online")</f>
        <v>View People Online</v>
      </c>
    </row>
    <row r="676" spans="1:40" x14ac:dyDescent="0.2">
      <c r="A676" s="3" t="s">
        <v>5631</v>
      </c>
      <c r="B676" s="3" t="s">
        <v>5632</v>
      </c>
      <c r="C676" s="3" t="s">
        <v>42</v>
      </c>
      <c r="D676" s="3" t="s">
        <v>42</v>
      </c>
      <c r="E676" s="3" t="s">
        <v>5631</v>
      </c>
      <c r="F676" s="3" t="s">
        <v>5633</v>
      </c>
      <c r="G676" s="3" t="s">
        <v>5634</v>
      </c>
      <c r="H676" s="3" t="s">
        <v>5635</v>
      </c>
      <c r="I676" s="3" t="s">
        <v>46</v>
      </c>
      <c r="J676" s="3" t="s">
        <v>47</v>
      </c>
      <c r="K676" s="3" t="s">
        <v>3486</v>
      </c>
      <c r="L676" s="3" t="s">
        <v>1316</v>
      </c>
      <c r="M676" s="9" t="str">
        <f>HYPERLINK("http://www.chubb.com.sa", "www.chubb.com.sa")</f>
        <v>www.chubb.com.sa</v>
      </c>
      <c r="N676" s="3" t="s">
        <v>246</v>
      </c>
      <c r="O676" s="3" t="s">
        <v>42</v>
      </c>
      <c r="P676" s="3" t="s">
        <v>5636</v>
      </c>
      <c r="Q676" s="3" t="s">
        <v>42</v>
      </c>
      <c r="R676" s="17">
        <v>1</v>
      </c>
      <c r="S676" s="17">
        <v>1</v>
      </c>
      <c r="T676" s="17" t="s">
        <v>42</v>
      </c>
      <c r="U676" s="17" t="s">
        <v>42</v>
      </c>
      <c r="V676" s="17" t="s">
        <v>42</v>
      </c>
      <c r="W676" s="5" t="s">
        <v>3488</v>
      </c>
      <c r="X676" s="3" t="s">
        <v>5637</v>
      </c>
      <c r="Y676" s="3" t="s">
        <v>42</v>
      </c>
      <c r="Z676" s="3" t="s">
        <v>595</v>
      </c>
      <c r="AA676" s="3" t="s">
        <v>3490</v>
      </c>
      <c r="AB676" s="3" t="s">
        <v>3491</v>
      </c>
      <c r="AC676" s="3" t="s">
        <v>598</v>
      </c>
      <c r="AD676" s="3" t="s">
        <v>42</v>
      </c>
      <c r="AE676" s="5" t="s">
        <v>599</v>
      </c>
      <c r="AF676" s="3" t="s">
        <v>60</v>
      </c>
      <c r="AG676" s="5" t="s">
        <v>3492</v>
      </c>
      <c r="AH676" s="3" t="s">
        <v>61</v>
      </c>
      <c r="AI676" s="3" t="s">
        <v>61</v>
      </c>
      <c r="AJ676" s="3" t="s">
        <v>42</v>
      </c>
      <c r="AK676" s="3" t="s">
        <v>42</v>
      </c>
      <c r="AL676" s="29">
        <v>45922</v>
      </c>
      <c r="AM676" s="5" t="s">
        <v>42</v>
      </c>
      <c r="AN676" s="9" t="str">
        <f>HYPERLINK("https://my.pitchbook.com?p=465805-09P", "View People Online")</f>
        <v>View People Online</v>
      </c>
    </row>
    <row r="677" spans="1:40" x14ac:dyDescent="0.2">
      <c r="A677" s="2" t="s">
        <v>5638</v>
      </c>
      <c r="B677" s="2" t="s">
        <v>5639</v>
      </c>
      <c r="C677" s="2" t="s">
        <v>42</v>
      </c>
      <c r="D677" s="2" t="s">
        <v>42</v>
      </c>
      <c r="E677" s="2" t="s">
        <v>5638</v>
      </c>
      <c r="F677" s="2" t="s">
        <v>5640</v>
      </c>
      <c r="G677" s="2" t="s">
        <v>5641</v>
      </c>
      <c r="H677" s="2" t="s">
        <v>42</v>
      </c>
      <c r="I677" s="2" t="s">
        <v>46</v>
      </c>
      <c r="J677" s="2" t="s">
        <v>47</v>
      </c>
      <c r="K677" s="2" t="s">
        <v>2935</v>
      </c>
      <c r="L677" s="2" t="s">
        <v>1316</v>
      </c>
      <c r="M677" s="8" t="str">
        <f>HYPERLINK("http://www.alsagr.com", "www.alsagr.com")</f>
        <v>www.alsagr.com</v>
      </c>
      <c r="N677" s="2" t="s">
        <v>534</v>
      </c>
      <c r="O677" s="2" t="s">
        <v>42</v>
      </c>
      <c r="P677" s="2" t="s">
        <v>5642</v>
      </c>
      <c r="Q677" s="2" t="s">
        <v>42</v>
      </c>
      <c r="R677" s="16" t="s">
        <v>42</v>
      </c>
      <c r="S677" s="16">
        <v>1</v>
      </c>
      <c r="T677" s="16">
        <v>1</v>
      </c>
      <c r="U677" s="16" t="s">
        <v>42</v>
      </c>
      <c r="V677" s="16" t="s">
        <v>42</v>
      </c>
      <c r="W677" s="4" t="s">
        <v>42</v>
      </c>
      <c r="X677" s="2" t="s">
        <v>42</v>
      </c>
      <c r="Y677" s="2" t="s">
        <v>42</v>
      </c>
      <c r="Z677" s="2" t="s">
        <v>383</v>
      </c>
      <c r="AA677" s="2" t="s">
        <v>2938</v>
      </c>
      <c r="AB677" s="2" t="s">
        <v>2939</v>
      </c>
      <c r="AC677" s="2" t="s">
        <v>385</v>
      </c>
      <c r="AD677" s="2" t="s">
        <v>2653</v>
      </c>
      <c r="AE677" s="4" t="s">
        <v>2940</v>
      </c>
      <c r="AF677" s="2" t="s">
        <v>60</v>
      </c>
      <c r="AG677" s="4" t="s">
        <v>42</v>
      </c>
      <c r="AH677" s="2" t="s">
        <v>61</v>
      </c>
      <c r="AI677" s="2" t="s">
        <v>61</v>
      </c>
      <c r="AJ677" s="2" t="s">
        <v>42</v>
      </c>
      <c r="AK677" s="2" t="s">
        <v>42</v>
      </c>
      <c r="AL677" s="28">
        <v>45895</v>
      </c>
      <c r="AM677" s="4" t="s">
        <v>42</v>
      </c>
      <c r="AN677" s="8" t="str">
        <f>HYPERLINK("https://my.pitchbook.com?p=316711-90P", "View People Online")</f>
        <v>View People Online</v>
      </c>
    </row>
    <row r="678" spans="1:40" x14ac:dyDescent="0.2">
      <c r="A678" s="3" t="s">
        <v>5643</v>
      </c>
      <c r="B678" s="3" t="s">
        <v>5644</v>
      </c>
      <c r="C678" s="3" t="s">
        <v>42</v>
      </c>
      <c r="D678" s="3" t="s">
        <v>42</v>
      </c>
      <c r="E678" s="3" t="s">
        <v>5643</v>
      </c>
      <c r="F678" s="3" t="s">
        <v>5645</v>
      </c>
      <c r="G678" s="3" t="s">
        <v>5646</v>
      </c>
      <c r="H678" s="3" t="s">
        <v>5647</v>
      </c>
      <c r="I678" s="3" t="s">
        <v>46</v>
      </c>
      <c r="J678" s="3" t="s">
        <v>47</v>
      </c>
      <c r="K678" s="3" t="s">
        <v>5648</v>
      </c>
      <c r="L678" s="3" t="s">
        <v>111</v>
      </c>
      <c r="M678" s="3" t="s">
        <v>42</v>
      </c>
      <c r="N678" s="3" t="s">
        <v>246</v>
      </c>
      <c r="O678" s="3" t="s">
        <v>42</v>
      </c>
      <c r="P678" s="3" t="s">
        <v>5649</v>
      </c>
      <c r="Q678" s="3" t="s">
        <v>42</v>
      </c>
      <c r="R678" s="17">
        <v>1</v>
      </c>
      <c r="S678" s="17">
        <v>1</v>
      </c>
      <c r="T678" s="17">
        <v>1</v>
      </c>
      <c r="U678" s="17" t="s">
        <v>42</v>
      </c>
      <c r="V678" s="17" t="s">
        <v>42</v>
      </c>
      <c r="W678" s="5" t="s">
        <v>5650</v>
      </c>
      <c r="X678" s="3" t="s">
        <v>42</v>
      </c>
      <c r="Y678" s="3" t="s">
        <v>42</v>
      </c>
      <c r="Z678" s="3" t="s">
        <v>55</v>
      </c>
      <c r="AA678" s="3" t="s">
        <v>5651</v>
      </c>
      <c r="AB678" s="3" t="s">
        <v>42</v>
      </c>
      <c r="AC678" s="3" t="s">
        <v>58</v>
      </c>
      <c r="AD678" s="3" t="s">
        <v>42</v>
      </c>
      <c r="AE678" s="5" t="s">
        <v>5652</v>
      </c>
      <c r="AF678" s="3" t="s">
        <v>60</v>
      </c>
      <c r="AG678" s="5" t="s">
        <v>5653</v>
      </c>
      <c r="AH678" s="3" t="s">
        <v>61</v>
      </c>
      <c r="AI678" s="3" t="s">
        <v>61</v>
      </c>
      <c r="AJ678" s="3" t="s">
        <v>42</v>
      </c>
      <c r="AK678" s="3" t="s">
        <v>42</v>
      </c>
      <c r="AL678" s="29">
        <v>45768</v>
      </c>
      <c r="AM678" s="5" t="s">
        <v>42</v>
      </c>
      <c r="AN678" s="9" t="str">
        <f>HYPERLINK("https://my.pitchbook.com?p=328442-23P", "View People Online")</f>
        <v>View People Online</v>
      </c>
    </row>
    <row r="679" spans="1:40" x14ac:dyDescent="0.2">
      <c r="A679" s="2" t="s">
        <v>5654</v>
      </c>
      <c r="B679" s="2" t="s">
        <v>5655</v>
      </c>
      <c r="C679" s="2" t="s">
        <v>42</v>
      </c>
      <c r="D679" s="2" t="s">
        <v>42</v>
      </c>
      <c r="E679" s="2" t="s">
        <v>5654</v>
      </c>
      <c r="F679" s="2" t="s">
        <v>5656</v>
      </c>
      <c r="G679" s="2" t="s">
        <v>5657</v>
      </c>
      <c r="H679" s="2" t="s">
        <v>42</v>
      </c>
      <c r="I679" s="2" t="s">
        <v>46</v>
      </c>
      <c r="J679" s="2" t="s">
        <v>47</v>
      </c>
      <c r="K679" s="2" t="s">
        <v>4283</v>
      </c>
      <c r="L679" s="2" t="s">
        <v>111</v>
      </c>
      <c r="M679" s="8" t="str">
        <f>HYPERLINK("http://www.almoosahealthgroup.org", "www.almoosahealthgroup.org")</f>
        <v>www.almoosahealthgroup.org</v>
      </c>
      <c r="N679" s="2" t="s">
        <v>534</v>
      </c>
      <c r="O679" s="2" t="s">
        <v>42</v>
      </c>
      <c r="P679" s="2" t="s">
        <v>5658</v>
      </c>
      <c r="Q679" s="2" t="s">
        <v>42</v>
      </c>
      <c r="R679" s="16" t="s">
        <v>42</v>
      </c>
      <c r="S679" s="16">
        <v>1</v>
      </c>
      <c r="T679" s="16">
        <v>1</v>
      </c>
      <c r="U679" s="16" t="s">
        <v>42</v>
      </c>
      <c r="V679" s="16" t="s">
        <v>42</v>
      </c>
      <c r="W679" s="4" t="s">
        <v>42</v>
      </c>
      <c r="X679" s="2" t="s">
        <v>5659</v>
      </c>
      <c r="Y679" s="8" t="str">
        <f>HYPERLINK("http://linkedin.com/in/shailesh-chander-5a3a397/", "http://linkedin.com/in/shailesh-chander-5a3a397/")</f>
        <v>http://linkedin.com/in/shailesh-chander-5a3a397/</v>
      </c>
      <c r="Z679" s="2" t="s">
        <v>4287</v>
      </c>
      <c r="AA679" s="2" t="s">
        <v>4288</v>
      </c>
      <c r="AB679" s="2" t="s">
        <v>4289</v>
      </c>
      <c r="AC679" s="2" t="s">
        <v>4290</v>
      </c>
      <c r="AD679" s="2" t="s">
        <v>42</v>
      </c>
      <c r="AE679" s="4" t="s">
        <v>42</v>
      </c>
      <c r="AF679" s="2" t="s">
        <v>60</v>
      </c>
      <c r="AG679" s="4" t="s">
        <v>42</v>
      </c>
      <c r="AH679" s="2" t="s">
        <v>61</v>
      </c>
      <c r="AI679" s="2" t="s">
        <v>61</v>
      </c>
      <c r="AJ679" s="2" t="s">
        <v>42</v>
      </c>
      <c r="AK679" s="2" t="s">
        <v>42</v>
      </c>
      <c r="AL679" s="28">
        <v>45838</v>
      </c>
      <c r="AM679" s="4">
        <v>1983</v>
      </c>
      <c r="AN679" s="8" t="str">
        <f>HYPERLINK("https://my.pitchbook.com?p=415208-17P", "View People Online")</f>
        <v>View People Online</v>
      </c>
    </row>
    <row r="680" spans="1:40" x14ac:dyDescent="0.2">
      <c r="A680" s="3" t="s">
        <v>5660</v>
      </c>
      <c r="B680" s="3" t="s">
        <v>5661</v>
      </c>
      <c r="C680" s="3" t="s">
        <v>42</v>
      </c>
      <c r="D680" s="3" t="s">
        <v>42</v>
      </c>
      <c r="E680" s="3" t="s">
        <v>5660</v>
      </c>
      <c r="F680" s="3" t="s">
        <v>3076</v>
      </c>
      <c r="G680" s="3" t="s">
        <v>5662</v>
      </c>
      <c r="H680" s="3" t="s">
        <v>5663</v>
      </c>
      <c r="I680" s="3" t="s">
        <v>46</v>
      </c>
      <c r="J680" s="3" t="s">
        <v>47</v>
      </c>
      <c r="K680" s="3" t="s">
        <v>3214</v>
      </c>
      <c r="L680" s="3" t="s">
        <v>111</v>
      </c>
      <c r="M680" s="9" t="str">
        <f>HYPERLINK("http://www.maadaniyah.com", "www.maadaniyah.com")</f>
        <v>www.maadaniyah.com</v>
      </c>
      <c r="N680" s="3" t="s">
        <v>210</v>
      </c>
      <c r="O680" s="3" t="s">
        <v>42</v>
      </c>
      <c r="P680" s="3" t="s">
        <v>5664</v>
      </c>
      <c r="Q680" s="3" t="s">
        <v>42</v>
      </c>
      <c r="R680" s="17" t="s">
        <v>42</v>
      </c>
      <c r="S680" s="17">
        <v>1</v>
      </c>
      <c r="T680" s="17">
        <v>1</v>
      </c>
      <c r="U680" s="17" t="s">
        <v>42</v>
      </c>
      <c r="V680" s="17" t="s">
        <v>42</v>
      </c>
      <c r="W680" s="5" t="s">
        <v>3216</v>
      </c>
      <c r="X680" s="3" t="s">
        <v>5665</v>
      </c>
      <c r="Y680" s="9" t="str">
        <f>HYPERLINK("http://linkedin.com/in/shaker-otaibi-a0a7b623/", "http://linkedin.com/in/shaker-otaibi-a0a7b623/")</f>
        <v>http://linkedin.com/in/shaker-otaibi-a0a7b623/</v>
      </c>
      <c r="Z680" s="3" t="s">
        <v>396</v>
      </c>
      <c r="AA680" s="3" t="s">
        <v>3218</v>
      </c>
      <c r="AB680" s="3" t="s">
        <v>3219</v>
      </c>
      <c r="AC680" s="3" t="s">
        <v>398</v>
      </c>
      <c r="AD680" s="3" t="s">
        <v>42</v>
      </c>
      <c r="AE680" s="5" t="s">
        <v>399</v>
      </c>
      <c r="AF680" s="3" t="s">
        <v>60</v>
      </c>
      <c r="AG680" s="5" t="s">
        <v>3220</v>
      </c>
      <c r="AH680" s="3" t="s">
        <v>61</v>
      </c>
      <c r="AI680" s="3" t="s">
        <v>61</v>
      </c>
      <c r="AJ680" s="3" t="s">
        <v>42</v>
      </c>
      <c r="AK680" s="3" t="s">
        <v>42</v>
      </c>
      <c r="AL680" s="29">
        <v>45309</v>
      </c>
      <c r="AM680" s="5" t="s">
        <v>42</v>
      </c>
      <c r="AN680" s="9" t="str">
        <f>HYPERLINK("https://my.pitchbook.com?p=381219-49P", "View People Online")</f>
        <v>View People Online</v>
      </c>
    </row>
    <row r="681" spans="1:40" x14ac:dyDescent="0.2">
      <c r="A681" s="2" t="s">
        <v>5666</v>
      </c>
      <c r="B681" s="2" t="s">
        <v>5667</v>
      </c>
      <c r="C681" s="2" t="s">
        <v>42</v>
      </c>
      <c r="D681" s="2" t="s">
        <v>42</v>
      </c>
      <c r="E681" s="2" t="s">
        <v>5666</v>
      </c>
      <c r="F681" s="2" t="s">
        <v>5668</v>
      </c>
      <c r="G681" s="2" t="s">
        <v>5669</v>
      </c>
      <c r="H681" s="2" t="s">
        <v>42</v>
      </c>
      <c r="I681" s="2" t="s">
        <v>46</v>
      </c>
      <c r="J681" s="2" t="s">
        <v>47</v>
      </c>
      <c r="K681" s="2" t="s">
        <v>812</v>
      </c>
      <c r="L681" s="2" t="s">
        <v>111</v>
      </c>
      <c r="M681" s="8" t="str">
        <f>HYPERLINK("http://www.tadawulgroup.sa", "www.tadawulgroup.sa")</f>
        <v>www.tadawulgroup.sa</v>
      </c>
      <c r="N681" s="2" t="s">
        <v>1281</v>
      </c>
      <c r="O681" s="2" t="s">
        <v>42</v>
      </c>
      <c r="P681" s="2" t="s">
        <v>5670</v>
      </c>
      <c r="Q681" s="2" t="s">
        <v>42</v>
      </c>
      <c r="R681" s="16" t="s">
        <v>42</v>
      </c>
      <c r="S681" s="16">
        <v>1</v>
      </c>
      <c r="T681" s="16">
        <v>1</v>
      </c>
      <c r="U681" s="16" t="s">
        <v>42</v>
      </c>
      <c r="V681" s="16" t="s">
        <v>42</v>
      </c>
      <c r="W681" s="4" t="s">
        <v>42</v>
      </c>
      <c r="X681" s="2" t="s">
        <v>5671</v>
      </c>
      <c r="Y681" s="2" t="s">
        <v>42</v>
      </c>
      <c r="Z681" s="2" t="s">
        <v>55</v>
      </c>
      <c r="AA681" s="2" t="s">
        <v>816</v>
      </c>
      <c r="AB681" s="2" t="s">
        <v>817</v>
      </c>
      <c r="AC681" s="2" t="s">
        <v>58</v>
      </c>
      <c r="AD681" s="2" t="s">
        <v>42</v>
      </c>
      <c r="AE681" s="4" t="s">
        <v>818</v>
      </c>
      <c r="AF681" s="2" t="s">
        <v>60</v>
      </c>
      <c r="AG681" s="4" t="s">
        <v>42</v>
      </c>
      <c r="AH681" s="2" t="s">
        <v>61</v>
      </c>
      <c r="AI681" s="2" t="s">
        <v>61</v>
      </c>
      <c r="AJ681" s="2" t="s">
        <v>42</v>
      </c>
      <c r="AK681" s="2" t="s">
        <v>42</v>
      </c>
      <c r="AL681" s="28">
        <v>45777</v>
      </c>
      <c r="AM681" s="4" t="s">
        <v>42</v>
      </c>
      <c r="AN681" s="8" t="str">
        <f>HYPERLINK("https://my.pitchbook.com?p=326451-34P", "View People Online")</f>
        <v>View People Online</v>
      </c>
    </row>
    <row r="682" spans="1:40" x14ac:dyDescent="0.2">
      <c r="A682" s="3" t="s">
        <v>5672</v>
      </c>
      <c r="B682" s="3" t="s">
        <v>5673</v>
      </c>
      <c r="C682" s="3" t="s">
        <v>42</v>
      </c>
      <c r="D682" s="3" t="s">
        <v>42</v>
      </c>
      <c r="E682" s="3" t="s">
        <v>5672</v>
      </c>
      <c r="F682" s="3" t="s">
        <v>4549</v>
      </c>
      <c r="G682" s="3" t="s">
        <v>4550</v>
      </c>
      <c r="H682" s="3" t="s">
        <v>42</v>
      </c>
      <c r="I682" s="3" t="s">
        <v>46</v>
      </c>
      <c r="J682" s="3" t="s">
        <v>47</v>
      </c>
      <c r="K682" s="3" t="s">
        <v>3021</v>
      </c>
      <c r="L682" s="3" t="s">
        <v>111</v>
      </c>
      <c r="M682" s="9" t="str">
        <f>HYPERLINK("http://www.fadint.com", "www.fadint.com")</f>
        <v>www.fadint.com</v>
      </c>
      <c r="N682" s="3" t="s">
        <v>534</v>
      </c>
      <c r="O682" s="3" t="s">
        <v>42</v>
      </c>
      <c r="P682" s="3" t="s">
        <v>5674</v>
      </c>
      <c r="Q682" s="3" t="s">
        <v>3198</v>
      </c>
      <c r="R682" s="17" t="s">
        <v>42</v>
      </c>
      <c r="S682" s="17">
        <v>1</v>
      </c>
      <c r="T682" s="17">
        <v>1</v>
      </c>
      <c r="U682" s="17" t="s">
        <v>42</v>
      </c>
      <c r="V682" s="17" t="s">
        <v>42</v>
      </c>
      <c r="W682" s="5" t="s">
        <v>3024</v>
      </c>
      <c r="X682" s="3" t="s">
        <v>5675</v>
      </c>
      <c r="Y682" s="9" t="str">
        <f>HYPERLINK("http://linkedin.com/in/shazam-butt-6317a15a/", "http://linkedin.com/in/shazam-butt-6317a15a/")</f>
        <v>http://linkedin.com/in/shazam-butt-6317a15a/</v>
      </c>
      <c r="Z682" s="3" t="s">
        <v>174</v>
      </c>
      <c r="AA682" s="3" t="s">
        <v>3026</v>
      </c>
      <c r="AB682" s="3" t="s">
        <v>3027</v>
      </c>
      <c r="AC682" s="3" t="s">
        <v>176</v>
      </c>
      <c r="AD682" s="3" t="s">
        <v>42</v>
      </c>
      <c r="AE682" s="5" t="s">
        <v>3028</v>
      </c>
      <c r="AF682" s="3" t="s">
        <v>60</v>
      </c>
      <c r="AG682" s="5" t="s">
        <v>3029</v>
      </c>
      <c r="AH682" s="3" t="s">
        <v>61</v>
      </c>
      <c r="AI682" s="3" t="s">
        <v>61</v>
      </c>
      <c r="AJ682" s="3" t="s">
        <v>42</v>
      </c>
      <c r="AK682" s="3" t="s">
        <v>42</v>
      </c>
      <c r="AL682" s="29">
        <v>46009</v>
      </c>
      <c r="AM682" s="5" t="s">
        <v>42</v>
      </c>
      <c r="AN682" s="9" t="str">
        <f>HYPERLINK("https://my.pitchbook.com?p=234579-43P", "View People Online")</f>
        <v>View People Online</v>
      </c>
    </row>
    <row r="683" spans="1:40" x14ac:dyDescent="0.2">
      <c r="A683" s="2" t="s">
        <v>5676</v>
      </c>
      <c r="B683" s="2" t="s">
        <v>5677</v>
      </c>
      <c r="C683" s="2" t="s">
        <v>42</v>
      </c>
      <c r="D683" s="2" t="s">
        <v>42</v>
      </c>
      <c r="E683" s="2" t="s">
        <v>5676</v>
      </c>
      <c r="F683" s="2" t="s">
        <v>5678</v>
      </c>
      <c r="G683" s="2" t="s">
        <v>5679</v>
      </c>
      <c r="H683" s="2" t="s">
        <v>42</v>
      </c>
      <c r="I683" s="2" t="s">
        <v>46</v>
      </c>
      <c r="J683" s="2" t="s">
        <v>47</v>
      </c>
      <c r="K683" s="2" t="s">
        <v>4199</v>
      </c>
      <c r="L683" s="2" t="s">
        <v>111</v>
      </c>
      <c r="M683" s="8" t="str">
        <f>HYPERLINK("http://www.go.com.sa", "www.go.com.sa")</f>
        <v>www.go.com.sa</v>
      </c>
      <c r="N683" s="2" t="s">
        <v>534</v>
      </c>
      <c r="O683" s="2" t="s">
        <v>42</v>
      </c>
      <c r="P683" s="2" t="s">
        <v>5680</v>
      </c>
      <c r="Q683" s="2" t="s">
        <v>42</v>
      </c>
      <c r="R683" s="16" t="s">
        <v>42</v>
      </c>
      <c r="S683" s="16">
        <v>1</v>
      </c>
      <c r="T683" s="16">
        <v>1</v>
      </c>
      <c r="U683" s="16" t="s">
        <v>42</v>
      </c>
      <c r="V683" s="16" t="s">
        <v>42</v>
      </c>
      <c r="W683" s="4" t="s">
        <v>4201</v>
      </c>
      <c r="X683" s="2" t="s">
        <v>42</v>
      </c>
      <c r="Y683" s="2" t="s">
        <v>42</v>
      </c>
      <c r="Z683" s="2" t="s">
        <v>55</v>
      </c>
      <c r="AA683" s="2" t="s">
        <v>4203</v>
      </c>
      <c r="AB683" s="2" t="s">
        <v>4204</v>
      </c>
      <c r="AC683" s="2" t="s">
        <v>58</v>
      </c>
      <c r="AD683" s="2" t="s">
        <v>42</v>
      </c>
      <c r="AE683" s="4" t="s">
        <v>4205</v>
      </c>
      <c r="AF683" s="2" t="s">
        <v>60</v>
      </c>
      <c r="AG683" s="4" t="s">
        <v>42</v>
      </c>
      <c r="AH683" s="2" t="s">
        <v>61</v>
      </c>
      <c r="AI683" s="2" t="s">
        <v>61</v>
      </c>
      <c r="AJ683" s="2" t="s">
        <v>42</v>
      </c>
      <c r="AK683" s="2" t="s">
        <v>42</v>
      </c>
      <c r="AL683" s="28">
        <v>45992</v>
      </c>
      <c r="AM683" s="4" t="s">
        <v>42</v>
      </c>
      <c r="AN683" s="8" t="str">
        <f>HYPERLINK("https://my.pitchbook.com?p=72985-87P", "View People Online")</f>
        <v>View People Online</v>
      </c>
    </row>
    <row r="684" spans="1:40" x14ac:dyDescent="0.2">
      <c r="A684" s="3" t="s">
        <v>5681</v>
      </c>
      <c r="B684" s="3" t="s">
        <v>5682</v>
      </c>
      <c r="C684" s="3" t="s">
        <v>42</v>
      </c>
      <c r="D684" s="3" t="s">
        <v>42</v>
      </c>
      <c r="E684" s="3" t="s">
        <v>5681</v>
      </c>
      <c r="F684" s="3" t="s">
        <v>5683</v>
      </c>
      <c r="G684" s="3" t="s">
        <v>5684</v>
      </c>
      <c r="H684" s="3" t="s">
        <v>3843</v>
      </c>
      <c r="I684" s="3" t="s">
        <v>46</v>
      </c>
      <c r="J684" s="3" t="s">
        <v>47</v>
      </c>
      <c r="K684" s="3" t="s">
        <v>5685</v>
      </c>
      <c r="L684" s="3" t="s">
        <v>111</v>
      </c>
      <c r="M684" s="9" t="str">
        <f>HYPERLINK("http://www.riyadhcement.com.sa", "www.riyadhcement.com.sa")</f>
        <v>www.riyadhcement.com.sa</v>
      </c>
      <c r="N684" s="3" t="s">
        <v>112</v>
      </c>
      <c r="O684" s="3" t="s">
        <v>42</v>
      </c>
      <c r="P684" s="3" t="s">
        <v>5686</v>
      </c>
      <c r="Q684" s="3" t="s">
        <v>5687</v>
      </c>
      <c r="R684" s="17">
        <v>1</v>
      </c>
      <c r="S684" s="17">
        <v>1</v>
      </c>
      <c r="T684" s="17">
        <v>1</v>
      </c>
      <c r="U684" s="17" t="s">
        <v>42</v>
      </c>
      <c r="V684" s="17" t="s">
        <v>42</v>
      </c>
      <c r="W684" s="5" t="s">
        <v>5688</v>
      </c>
      <c r="X684" s="3" t="s">
        <v>5689</v>
      </c>
      <c r="Y684" s="9" t="str">
        <f>HYPERLINK("http://linkedin.com/in/shoeil-jarallah-al-ayed-bba66b3b/?originalsubdomain=sa", "http://linkedin.com/in/shoeil-jarallah-al-ayed-bba66b3b/?originalsubdomain=sa")</f>
        <v>http://linkedin.com/in/shoeil-jarallah-al-ayed-bba66b3b/?originalsubdomain=sa</v>
      </c>
      <c r="Z684" s="3" t="s">
        <v>55</v>
      </c>
      <c r="AA684" s="3" t="s">
        <v>5690</v>
      </c>
      <c r="AB684" s="3" t="s">
        <v>42</v>
      </c>
      <c r="AC684" s="3" t="s">
        <v>58</v>
      </c>
      <c r="AD684" s="3" t="s">
        <v>42</v>
      </c>
      <c r="AE684" s="5" t="s">
        <v>5691</v>
      </c>
      <c r="AF684" s="3" t="s">
        <v>60</v>
      </c>
      <c r="AG684" s="5" t="s">
        <v>5692</v>
      </c>
      <c r="AH684" s="3" t="s">
        <v>61</v>
      </c>
      <c r="AI684" s="3" t="s">
        <v>61</v>
      </c>
      <c r="AJ684" s="3" t="s">
        <v>42</v>
      </c>
      <c r="AK684" s="3" t="s">
        <v>42</v>
      </c>
      <c r="AL684" s="29">
        <v>45838</v>
      </c>
      <c r="AM684" s="5">
        <v>1961</v>
      </c>
      <c r="AN684" s="9" t="str">
        <f>HYPERLINK("https://my.pitchbook.com?p=326715-04P", "View People Online")</f>
        <v>View People Online</v>
      </c>
    </row>
    <row r="685" spans="1:40" x14ac:dyDescent="0.2">
      <c r="A685" s="2" t="s">
        <v>5693</v>
      </c>
      <c r="B685" s="2" t="s">
        <v>5694</v>
      </c>
      <c r="C685" s="2" t="s">
        <v>42</v>
      </c>
      <c r="D685" s="2" t="s">
        <v>42</v>
      </c>
      <c r="E685" s="2" t="s">
        <v>5693</v>
      </c>
      <c r="F685" s="2" t="s">
        <v>4499</v>
      </c>
      <c r="G685" s="2" t="s">
        <v>5695</v>
      </c>
      <c r="H685" s="2" t="s">
        <v>5696</v>
      </c>
      <c r="I685" s="2" t="s">
        <v>46</v>
      </c>
      <c r="J685" s="2" t="s">
        <v>47</v>
      </c>
      <c r="K685" s="2" t="s">
        <v>3366</v>
      </c>
      <c r="L685" s="2" t="s">
        <v>111</v>
      </c>
      <c r="M685" s="8" t="str">
        <f>HYPERLINK("http://www.wataniya.com.sa", "www.wataniya.com.sa")</f>
        <v>www.wataniya.com.sa</v>
      </c>
      <c r="N685" s="2" t="s">
        <v>534</v>
      </c>
      <c r="O685" s="2" t="s">
        <v>42</v>
      </c>
      <c r="P685" s="2" t="s">
        <v>5697</v>
      </c>
      <c r="Q685" s="2" t="s">
        <v>42</v>
      </c>
      <c r="R685" s="16" t="s">
        <v>42</v>
      </c>
      <c r="S685" s="16">
        <v>1</v>
      </c>
      <c r="T685" s="16">
        <v>1</v>
      </c>
      <c r="U685" s="16" t="s">
        <v>42</v>
      </c>
      <c r="V685" s="16" t="s">
        <v>42</v>
      </c>
      <c r="W685" s="4" t="s">
        <v>4247</v>
      </c>
      <c r="X685" s="2" t="s">
        <v>5698</v>
      </c>
      <c r="Y685" s="8" t="str">
        <f>HYPERLINK("http://linkedin.com/in/sohail-fazal-abbas-75035a77/", "http://linkedin.com/in/sohail-fazal-abbas-75035a77/")</f>
        <v>http://linkedin.com/in/sohail-fazal-abbas-75035a77/</v>
      </c>
      <c r="Z685" s="2" t="s">
        <v>174</v>
      </c>
      <c r="AA685" s="2" t="s">
        <v>3370</v>
      </c>
      <c r="AB685" s="2" t="s">
        <v>3371</v>
      </c>
      <c r="AC685" s="2" t="s">
        <v>176</v>
      </c>
      <c r="AD685" s="2" t="s">
        <v>42</v>
      </c>
      <c r="AE685" s="4" t="s">
        <v>3372</v>
      </c>
      <c r="AF685" s="2" t="s">
        <v>60</v>
      </c>
      <c r="AG685" s="4" t="s">
        <v>3373</v>
      </c>
      <c r="AH685" s="2" t="s">
        <v>61</v>
      </c>
      <c r="AI685" s="2" t="s">
        <v>61</v>
      </c>
      <c r="AJ685" s="2" t="s">
        <v>42</v>
      </c>
      <c r="AK685" s="2" t="s">
        <v>42</v>
      </c>
      <c r="AL685" s="28">
        <v>45210</v>
      </c>
      <c r="AM685" s="4" t="s">
        <v>42</v>
      </c>
      <c r="AN685" s="8" t="str">
        <f>HYPERLINK("https://my.pitchbook.com?p=286493-59P", "View People Online")</f>
        <v>View People Online</v>
      </c>
    </row>
    <row r="686" spans="1:40" x14ac:dyDescent="0.2">
      <c r="A686" s="3" t="s">
        <v>5699</v>
      </c>
      <c r="B686" s="3" t="s">
        <v>5700</v>
      </c>
      <c r="C686" s="3" t="s">
        <v>42</v>
      </c>
      <c r="D686" s="3" t="s">
        <v>42</v>
      </c>
      <c r="E686" s="3" t="s">
        <v>5699</v>
      </c>
      <c r="F686" s="3" t="s">
        <v>5701</v>
      </c>
      <c r="G686" s="3" t="s">
        <v>5695</v>
      </c>
      <c r="H686" s="3" t="s">
        <v>42</v>
      </c>
      <c r="I686" s="3" t="s">
        <v>46</v>
      </c>
      <c r="J686" s="3" t="s">
        <v>47</v>
      </c>
      <c r="K686" s="3" t="s">
        <v>2523</v>
      </c>
      <c r="L686" s="3" t="s">
        <v>111</v>
      </c>
      <c r="M686" s="9" t="str">
        <f>HYPERLINK("http://www.fakeeh.care", "www.fakeeh.care")</f>
        <v>www.fakeeh.care</v>
      </c>
      <c r="N686" s="3" t="s">
        <v>210</v>
      </c>
      <c r="O686" s="3" t="s">
        <v>42</v>
      </c>
      <c r="P686" s="3" t="s">
        <v>5702</v>
      </c>
      <c r="Q686" s="3" t="s">
        <v>42</v>
      </c>
      <c r="R686" s="17" t="s">
        <v>42</v>
      </c>
      <c r="S686" s="17">
        <v>1</v>
      </c>
      <c r="T686" s="17">
        <v>1</v>
      </c>
      <c r="U686" s="17" t="s">
        <v>42</v>
      </c>
      <c r="V686" s="17" t="s">
        <v>42</v>
      </c>
      <c r="W686" s="5" t="s">
        <v>2525</v>
      </c>
      <c r="X686" s="3" t="s">
        <v>5703</v>
      </c>
      <c r="Y686" s="9" t="str">
        <f>HYPERLINK("http://sa.linkedin.com/in/bajammal", "http://sa.linkedin.com/in/bajammal")</f>
        <v>http://sa.linkedin.com/in/bajammal</v>
      </c>
      <c r="Z686" s="3" t="s">
        <v>174</v>
      </c>
      <c r="AA686" s="3" t="s">
        <v>2526</v>
      </c>
      <c r="AB686" s="3" t="s">
        <v>42</v>
      </c>
      <c r="AC686" s="3" t="s">
        <v>176</v>
      </c>
      <c r="AD686" s="3" t="s">
        <v>42</v>
      </c>
      <c r="AE686" s="5" t="s">
        <v>2103</v>
      </c>
      <c r="AF686" s="3" t="s">
        <v>60</v>
      </c>
      <c r="AG686" s="5" t="s">
        <v>42</v>
      </c>
      <c r="AH686" s="3" t="s">
        <v>61</v>
      </c>
      <c r="AI686" s="3" t="s">
        <v>61</v>
      </c>
      <c r="AJ686" s="3" t="s">
        <v>42</v>
      </c>
      <c r="AK686" s="3" t="s">
        <v>42</v>
      </c>
      <c r="AL686" s="29">
        <v>45659</v>
      </c>
      <c r="AM686" s="5" t="s">
        <v>42</v>
      </c>
      <c r="AN686" s="9" t="str">
        <f>HYPERLINK("https://my.pitchbook.com?p=427063-51P", "View People Online")</f>
        <v>View People Online</v>
      </c>
    </row>
    <row r="687" spans="1:40" x14ac:dyDescent="0.2">
      <c r="A687" s="2" t="s">
        <v>5704</v>
      </c>
      <c r="B687" s="2" t="s">
        <v>5705</v>
      </c>
      <c r="C687" s="2" t="s">
        <v>42</v>
      </c>
      <c r="D687" s="2" t="s">
        <v>42</v>
      </c>
      <c r="E687" s="2" t="s">
        <v>5704</v>
      </c>
      <c r="F687" s="2" t="s">
        <v>5706</v>
      </c>
      <c r="G687" s="2" t="s">
        <v>5707</v>
      </c>
      <c r="H687" s="2" t="s">
        <v>42</v>
      </c>
      <c r="I687" s="2" t="s">
        <v>46</v>
      </c>
      <c r="J687" s="2" t="s">
        <v>47</v>
      </c>
      <c r="K687" s="2" t="s">
        <v>992</v>
      </c>
      <c r="L687" s="2" t="s">
        <v>111</v>
      </c>
      <c r="M687" s="8" t="str">
        <f>HYPERLINK("http://www.miahona.com", "www.miahona.com")</f>
        <v>www.miahona.com</v>
      </c>
      <c r="N687" s="2" t="s">
        <v>4533</v>
      </c>
      <c r="O687" s="2" t="s">
        <v>42</v>
      </c>
      <c r="P687" s="2" t="s">
        <v>5708</v>
      </c>
      <c r="Q687" s="2" t="s">
        <v>42</v>
      </c>
      <c r="R687" s="16" t="s">
        <v>42</v>
      </c>
      <c r="S687" s="16">
        <v>1</v>
      </c>
      <c r="T687" s="16">
        <v>1</v>
      </c>
      <c r="U687" s="16" t="s">
        <v>42</v>
      </c>
      <c r="V687" s="16" t="s">
        <v>42</v>
      </c>
      <c r="W687" s="4" t="s">
        <v>994</v>
      </c>
      <c r="X687" s="2" t="s">
        <v>5709</v>
      </c>
      <c r="Y687" s="8" t="str">
        <f>HYPERLINK("http://linkedin.com/in/son-le-2b13181a3/", "http://linkedin.com/in/son-le-2b13181a3/")</f>
        <v>http://linkedin.com/in/son-le-2b13181a3/</v>
      </c>
      <c r="Z687" s="2" t="s">
        <v>55</v>
      </c>
      <c r="AA687" s="2" t="s">
        <v>995</v>
      </c>
      <c r="AB687" s="2" t="s">
        <v>42</v>
      </c>
      <c r="AC687" s="2" t="s">
        <v>58</v>
      </c>
      <c r="AD687" s="2" t="s">
        <v>42</v>
      </c>
      <c r="AE687" s="4" t="s">
        <v>996</v>
      </c>
      <c r="AF687" s="2" t="s">
        <v>60</v>
      </c>
      <c r="AG687" s="4" t="s">
        <v>997</v>
      </c>
      <c r="AH687" s="2" t="s">
        <v>61</v>
      </c>
      <c r="AI687" s="2" t="s">
        <v>61</v>
      </c>
      <c r="AJ687" s="2" t="s">
        <v>42</v>
      </c>
      <c r="AK687" s="2" t="s">
        <v>42</v>
      </c>
      <c r="AL687" s="28">
        <v>45792</v>
      </c>
      <c r="AM687" s="4" t="s">
        <v>42</v>
      </c>
      <c r="AN687" s="8" t="str">
        <f>HYPERLINK("https://my.pitchbook.com?p=317662-12P", "View People Online")</f>
        <v>View People Online</v>
      </c>
    </row>
    <row r="688" spans="1:40" x14ac:dyDescent="0.2">
      <c r="A688" s="3" t="s">
        <v>5710</v>
      </c>
      <c r="B688" s="3" t="s">
        <v>5711</v>
      </c>
      <c r="C688" s="3" t="s">
        <v>42</v>
      </c>
      <c r="D688" s="3" t="s">
        <v>42</v>
      </c>
      <c r="E688" s="3" t="s">
        <v>5710</v>
      </c>
      <c r="F688" s="3" t="s">
        <v>5712</v>
      </c>
      <c r="G688" s="3" t="s">
        <v>5713</v>
      </c>
      <c r="H688" s="3" t="s">
        <v>42</v>
      </c>
      <c r="I688" s="3" t="s">
        <v>46</v>
      </c>
      <c r="J688" s="3" t="s">
        <v>47</v>
      </c>
      <c r="K688" s="3" t="s">
        <v>3342</v>
      </c>
      <c r="L688" s="3" t="s">
        <v>111</v>
      </c>
      <c r="M688" s="9" t="str">
        <f>HYPERLINK("http://www.arabdrill.com", "www.arabdrill.com")</f>
        <v>www.arabdrill.com</v>
      </c>
      <c r="N688" s="3" t="s">
        <v>370</v>
      </c>
      <c r="O688" s="3" t="s">
        <v>42</v>
      </c>
      <c r="P688" s="3" t="s">
        <v>5714</v>
      </c>
      <c r="Q688" s="3" t="s">
        <v>5715</v>
      </c>
      <c r="R688" s="17" t="s">
        <v>42</v>
      </c>
      <c r="S688" s="17">
        <v>1</v>
      </c>
      <c r="T688" s="17">
        <v>1</v>
      </c>
      <c r="U688" s="17" t="s">
        <v>42</v>
      </c>
      <c r="V688" s="17" t="s">
        <v>42</v>
      </c>
      <c r="W688" s="5" t="s">
        <v>3345</v>
      </c>
      <c r="X688" s="3" t="s">
        <v>5716</v>
      </c>
      <c r="Y688" s="9" t="str">
        <f>HYPERLINK("http://linkedin.com/in/stephane-moynet-0a35b913/", "http://linkedin.com/in/stephane-moynet-0a35b913/")</f>
        <v>http://linkedin.com/in/stephane-moynet-0a35b913/</v>
      </c>
      <c r="Z688" s="3" t="s">
        <v>782</v>
      </c>
      <c r="AA688" s="3" t="s">
        <v>3347</v>
      </c>
      <c r="AB688" s="3" t="s">
        <v>42</v>
      </c>
      <c r="AC688" s="3" t="s">
        <v>785</v>
      </c>
      <c r="AD688" s="3" t="s">
        <v>42</v>
      </c>
      <c r="AE688" s="5" t="s">
        <v>599</v>
      </c>
      <c r="AF688" s="3" t="s">
        <v>60</v>
      </c>
      <c r="AG688" s="5" t="s">
        <v>3348</v>
      </c>
      <c r="AH688" s="3" t="s">
        <v>61</v>
      </c>
      <c r="AI688" s="3" t="s">
        <v>61</v>
      </c>
      <c r="AJ688" s="3" t="s">
        <v>42</v>
      </c>
      <c r="AK688" s="3" t="s">
        <v>42</v>
      </c>
      <c r="AL688" s="29">
        <v>45687</v>
      </c>
      <c r="AM688" s="5" t="s">
        <v>42</v>
      </c>
      <c r="AN688" s="9" t="str">
        <f>HYPERLINK("https://my.pitchbook.com?p=323532-01P", "View People Online")</f>
        <v>View People Online</v>
      </c>
    </row>
    <row r="689" spans="1:40" x14ac:dyDescent="0.2">
      <c r="A689" s="2" t="s">
        <v>5717</v>
      </c>
      <c r="B689" s="2" t="s">
        <v>5718</v>
      </c>
      <c r="C689" s="2" t="s">
        <v>42</v>
      </c>
      <c r="D689" s="2" t="s">
        <v>42</v>
      </c>
      <c r="E689" s="2" t="s">
        <v>5717</v>
      </c>
      <c r="F689" s="2" t="s">
        <v>5719</v>
      </c>
      <c r="G689" s="2" t="s">
        <v>5720</v>
      </c>
      <c r="H689" s="2" t="s">
        <v>42</v>
      </c>
      <c r="I689" s="2" t="s">
        <v>46</v>
      </c>
      <c r="J689" s="2" t="s">
        <v>47</v>
      </c>
      <c r="K689" s="2" t="s">
        <v>3923</v>
      </c>
      <c r="L689" s="2" t="s">
        <v>111</v>
      </c>
      <c r="M689" s="8" t="str">
        <f>HYPERLINK("http://www.jamjoomfashion.com", "www.jamjoomfashion.com")</f>
        <v>www.jamjoomfashion.com</v>
      </c>
      <c r="N689" s="2" t="s">
        <v>2285</v>
      </c>
      <c r="O689" s="2" t="s">
        <v>42</v>
      </c>
      <c r="P689" s="2" t="s">
        <v>5721</v>
      </c>
      <c r="Q689" s="2" t="s">
        <v>42</v>
      </c>
      <c r="R689" s="16">
        <v>1</v>
      </c>
      <c r="S689" s="16">
        <v>1</v>
      </c>
      <c r="T689" s="16">
        <v>1</v>
      </c>
      <c r="U689" s="16" t="s">
        <v>42</v>
      </c>
      <c r="V689" s="16" t="s">
        <v>42</v>
      </c>
      <c r="W689" s="4" t="s">
        <v>3925</v>
      </c>
      <c r="X689" s="2" t="s">
        <v>5722</v>
      </c>
      <c r="Y689" s="8" t="str">
        <f>HYPERLINK("http://linkedin.com/in/stephen-holbrook", "http://linkedin.com/in/stephen-holbrook")</f>
        <v>http://linkedin.com/in/stephen-holbrook</v>
      </c>
      <c r="Z689" s="2" t="s">
        <v>174</v>
      </c>
      <c r="AA689" s="2" t="s">
        <v>3927</v>
      </c>
      <c r="AB689" s="2" t="s">
        <v>3928</v>
      </c>
      <c r="AC689" s="2" t="s">
        <v>176</v>
      </c>
      <c r="AD689" s="2" t="s">
        <v>42</v>
      </c>
      <c r="AE689" s="4" t="s">
        <v>42</v>
      </c>
      <c r="AF689" s="2" t="s">
        <v>60</v>
      </c>
      <c r="AG689" s="4" t="s">
        <v>42</v>
      </c>
      <c r="AH689" s="2" t="s">
        <v>61</v>
      </c>
      <c r="AI689" s="2" t="s">
        <v>61</v>
      </c>
      <c r="AJ689" s="2" t="s">
        <v>42</v>
      </c>
      <c r="AK689" s="2" t="s">
        <v>42</v>
      </c>
      <c r="AL689" s="28">
        <v>45884</v>
      </c>
      <c r="AM689" s="4" t="s">
        <v>42</v>
      </c>
      <c r="AN689" s="8" t="str">
        <f>HYPERLINK("https://my.pitchbook.com?p=460431-64P", "View People Online")</f>
        <v>View People Online</v>
      </c>
    </row>
    <row r="690" spans="1:40" x14ac:dyDescent="0.2">
      <c r="A690" s="3" t="s">
        <v>5723</v>
      </c>
      <c r="B690" s="3" t="s">
        <v>5724</v>
      </c>
      <c r="C690" s="3" t="s">
        <v>42</v>
      </c>
      <c r="D690" s="3" t="s">
        <v>42</v>
      </c>
      <c r="E690" s="3" t="s">
        <v>5723</v>
      </c>
      <c r="F690" s="3" t="s">
        <v>5725</v>
      </c>
      <c r="G690" s="3" t="s">
        <v>5726</v>
      </c>
      <c r="H690" s="3" t="s">
        <v>42</v>
      </c>
      <c r="I690" s="3" t="s">
        <v>46</v>
      </c>
      <c r="J690" s="3" t="s">
        <v>47</v>
      </c>
      <c r="K690" s="3" t="s">
        <v>924</v>
      </c>
      <c r="L690" s="3" t="s">
        <v>111</v>
      </c>
      <c r="M690" s="9" t="str">
        <f>HYPERLINK("http://www.sadafco.com", "www.sadafco.com")</f>
        <v>www.sadafco.com</v>
      </c>
      <c r="N690" s="3" t="s">
        <v>534</v>
      </c>
      <c r="O690" s="3" t="s">
        <v>42</v>
      </c>
      <c r="P690" s="3" t="s">
        <v>5727</v>
      </c>
      <c r="Q690" s="3" t="s">
        <v>5728</v>
      </c>
      <c r="R690" s="17" t="s">
        <v>42</v>
      </c>
      <c r="S690" s="17">
        <v>1</v>
      </c>
      <c r="T690" s="17">
        <v>1</v>
      </c>
      <c r="U690" s="17" t="s">
        <v>42</v>
      </c>
      <c r="V690" s="17" t="s">
        <v>42</v>
      </c>
      <c r="W690" s="5" t="s">
        <v>42</v>
      </c>
      <c r="X690" s="3" t="s">
        <v>5729</v>
      </c>
      <c r="Y690" s="9" t="str">
        <f>HYPERLINK("http://linkedin.com/in/subir-dhawan-b3784a17/", "http://linkedin.com/in/subir-dhawan-b3784a17/")</f>
        <v>http://linkedin.com/in/subir-dhawan-b3784a17/</v>
      </c>
      <c r="Z690" s="3" t="s">
        <v>174</v>
      </c>
      <c r="AA690" s="3" t="s">
        <v>928</v>
      </c>
      <c r="AB690" s="3" t="s">
        <v>929</v>
      </c>
      <c r="AC690" s="3" t="s">
        <v>176</v>
      </c>
      <c r="AD690" s="3" t="s">
        <v>930</v>
      </c>
      <c r="AE690" s="5" t="s">
        <v>879</v>
      </c>
      <c r="AF690" s="3" t="s">
        <v>60</v>
      </c>
      <c r="AG690" s="5" t="s">
        <v>42</v>
      </c>
      <c r="AH690" s="3" t="s">
        <v>61</v>
      </c>
      <c r="AI690" s="3" t="s">
        <v>61</v>
      </c>
      <c r="AJ690" s="3" t="s">
        <v>42</v>
      </c>
      <c r="AK690" s="3" t="s">
        <v>42</v>
      </c>
      <c r="AL690" s="29">
        <v>45880</v>
      </c>
      <c r="AM690" s="5" t="s">
        <v>42</v>
      </c>
      <c r="AN690" s="9" t="str">
        <f>HYPERLINK("https://my.pitchbook.com?p=365368-42P", "View People Online")</f>
        <v>View People Online</v>
      </c>
    </row>
    <row r="691" spans="1:40" x14ac:dyDescent="0.2">
      <c r="A691" s="2" t="s">
        <v>5730</v>
      </c>
      <c r="B691" s="2" t="s">
        <v>5731</v>
      </c>
      <c r="C691" s="2" t="s">
        <v>42</v>
      </c>
      <c r="D691" s="2" t="s">
        <v>42</v>
      </c>
      <c r="E691" s="2" t="s">
        <v>5730</v>
      </c>
      <c r="F691" s="2" t="s">
        <v>5732</v>
      </c>
      <c r="G691" s="2" t="s">
        <v>479</v>
      </c>
      <c r="H691" s="2" t="s">
        <v>1803</v>
      </c>
      <c r="I691" s="2" t="s">
        <v>196</v>
      </c>
      <c r="J691" s="2" t="s">
        <v>47</v>
      </c>
      <c r="K691" s="2" t="s">
        <v>2273</v>
      </c>
      <c r="L691" s="2" t="s">
        <v>111</v>
      </c>
      <c r="M691" s="8" t="str">
        <f>HYPERLINK("http://www.siec.com.sa", "www.siec.com.sa")</f>
        <v>www.siec.com.sa</v>
      </c>
      <c r="N691" s="2" t="s">
        <v>112</v>
      </c>
      <c r="O691" s="2" t="s">
        <v>42</v>
      </c>
      <c r="P691" s="2" t="s">
        <v>5733</v>
      </c>
      <c r="Q691" s="2" t="s">
        <v>42</v>
      </c>
      <c r="R691" s="16">
        <v>1</v>
      </c>
      <c r="S691" s="16">
        <v>1</v>
      </c>
      <c r="T691" s="16">
        <v>1</v>
      </c>
      <c r="U691" s="16" t="s">
        <v>42</v>
      </c>
      <c r="V691" s="16" t="s">
        <v>42</v>
      </c>
      <c r="W691" s="4" t="s">
        <v>2275</v>
      </c>
      <c r="X691" s="2" t="s">
        <v>5734</v>
      </c>
      <c r="Y691" s="8" t="str">
        <f>HYPERLINK("http://linkedin.com/in/sulaiman-al-jedaie-ph-d-123b2524/?trk=pub-pbmap&amp;originalsubdomain=sa", "http://linkedin.com/in/sulaiman-al-jedaie-ph-d-123b2524/?trk=pub-pbmap&amp;originalsubdomain=sa")</f>
        <v>http://linkedin.com/in/sulaiman-al-jedaie-ph-d-123b2524/?trk=pub-pbmap&amp;originalsubdomain=sa</v>
      </c>
      <c r="Z691" s="2" t="s">
        <v>55</v>
      </c>
      <c r="AA691" s="2" t="s">
        <v>2277</v>
      </c>
      <c r="AB691" s="2" t="s">
        <v>42</v>
      </c>
      <c r="AC691" s="2" t="s">
        <v>58</v>
      </c>
      <c r="AD691" s="2" t="s">
        <v>42</v>
      </c>
      <c r="AE691" s="4" t="s">
        <v>2278</v>
      </c>
      <c r="AF691" s="2" t="s">
        <v>60</v>
      </c>
      <c r="AG691" s="4" t="s">
        <v>2279</v>
      </c>
      <c r="AH691" s="2" t="s">
        <v>61</v>
      </c>
      <c r="AI691" s="2" t="s">
        <v>61</v>
      </c>
      <c r="AJ691" s="2" t="s">
        <v>42</v>
      </c>
      <c r="AK691" s="2" t="s">
        <v>42</v>
      </c>
      <c r="AL691" s="28">
        <v>45342</v>
      </c>
      <c r="AM691" s="4" t="s">
        <v>42</v>
      </c>
      <c r="AN691" s="8" t="str">
        <f>HYPERLINK("https://my.pitchbook.com?p=330091-21P", "View People Online")</f>
        <v>View People Online</v>
      </c>
    </row>
    <row r="692" spans="1:40" x14ac:dyDescent="0.2">
      <c r="A692" s="3" t="s">
        <v>5735</v>
      </c>
      <c r="B692" s="3" t="s">
        <v>5736</v>
      </c>
      <c r="C692" s="3" t="s">
        <v>42</v>
      </c>
      <c r="D692" s="3" t="s">
        <v>42</v>
      </c>
      <c r="E692" s="3" t="s">
        <v>5735</v>
      </c>
      <c r="F692" s="3" t="s">
        <v>3868</v>
      </c>
      <c r="G692" s="3" t="s">
        <v>479</v>
      </c>
      <c r="H692" s="3" t="s">
        <v>5737</v>
      </c>
      <c r="I692" s="3" t="s">
        <v>46</v>
      </c>
      <c r="J692" s="3" t="s">
        <v>47</v>
      </c>
      <c r="K692" s="3" t="s">
        <v>1765</v>
      </c>
      <c r="L692" s="3" t="s">
        <v>111</v>
      </c>
      <c r="M692" s="9" t="str">
        <f>HYPERLINK("http://www.armahsports.com", "www.armahsports.com")</f>
        <v>www.armahsports.com</v>
      </c>
      <c r="N692" s="3" t="s">
        <v>5738</v>
      </c>
      <c r="O692" s="3" t="s">
        <v>42</v>
      </c>
      <c r="P692" s="3" t="s">
        <v>5739</v>
      </c>
      <c r="Q692" s="3" t="s">
        <v>42</v>
      </c>
      <c r="R692" s="17" t="s">
        <v>42</v>
      </c>
      <c r="S692" s="17">
        <v>1</v>
      </c>
      <c r="T692" s="17">
        <v>1</v>
      </c>
      <c r="U692" s="17" t="s">
        <v>42</v>
      </c>
      <c r="V692" s="17" t="s">
        <v>42</v>
      </c>
      <c r="W692" s="5" t="s">
        <v>1768</v>
      </c>
      <c r="X692" s="3" t="s">
        <v>5740</v>
      </c>
      <c r="Y692" s="9" t="str">
        <f>HYPERLINK("http://linkedin.com/in/suliman-alkadi-63349443/", "http://linkedin.com/in/suliman-alkadi-63349443/")</f>
        <v>http://linkedin.com/in/suliman-alkadi-63349443/</v>
      </c>
      <c r="Z692" s="3" t="s">
        <v>55</v>
      </c>
      <c r="AA692" s="3" t="s">
        <v>1770</v>
      </c>
      <c r="AB692" s="3" t="s">
        <v>1771</v>
      </c>
      <c r="AC692" s="3" t="s">
        <v>58</v>
      </c>
      <c r="AD692" s="3" t="s">
        <v>42</v>
      </c>
      <c r="AE692" s="5" t="s">
        <v>1772</v>
      </c>
      <c r="AF692" s="3" t="s">
        <v>60</v>
      </c>
      <c r="AG692" s="5" t="s">
        <v>42</v>
      </c>
      <c r="AH692" s="3" t="s">
        <v>61</v>
      </c>
      <c r="AI692" s="3" t="s">
        <v>61</v>
      </c>
      <c r="AJ692" s="3" t="s">
        <v>42</v>
      </c>
      <c r="AK692" s="3" t="s">
        <v>42</v>
      </c>
      <c r="AL692" s="29">
        <v>45838</v>
      </c>
      <c r="AM692" s="5">
        <v>1975</v>
      </c>
      <c r="AN692" s="9" t="str">
        <f>HYPERLINK("https://my.pitchbook.com?p=371498-95P", "View People Online")</f>
        <v>View People Online</v>
      </c>
    </row>
    <row r="693" spans="1:40" x14ac:dyDescent="0.2">
      <c r="A693" s="2" t="s">
        <v>5741</v>
      </c>
      <c r="B693" s="2" t="s">
        <v>5742</v>
      </c>
      <c r="C693" s="2" t="s">
        <v>42</v>
      </c>
      <c r="D693" s="2" t="s">
        <v>42</v>
      </c>
      <c r="E693" s="2" t="s">
        <v>5741</v>
      </c>
      <c r="F693" s="2" t="s">
        <v>5743</v>
      </c>
      <c r="G693" s="2" t="s">
        <v>5744</v>
      </c>
      <c r="H693" s="2" t="s">
        <v>5745</v>
      </c>
      <c r="I693" s="2" t="s">
        <v>46</v>
      </c>
      <c r="J693" s="2" t="s">
        <v>47</v>
      </c>
      <c r="K693" s="2" t="s">
        <v>2670</v>
      </c>
      <c r="L693" s="2" t="s">
        <v>111</v>
      </c>
      <c r="M693" s="8" t="str">
        <f>HYPERLINK("http://www.altaiseer.com", "www.altaiseer.com")</f>
        <v>www.altaiseer.com</v>
      </c>
      <c r="N693" s="2" t="s">
        <v>225</v>
      </c>
      <c r="O693" s="2" t="s">
        <v>42</v>
      </c>
      <c r="P693" s="2" t="s">
        <v>5746</v>
      </c>
      <c r="Q693" s="2" t="s">
        <v>42</v>
      </c>
      <c r="R693" s="16" t="s">
        <v>42</v>
      </c>
      <c r="S693" s="16">
        <v>1</v>
      </c>
      <c r="T693" s="16">
        <v>1</v>
      </c>
      <c r="U693" s="16" t="s">
        <v>42</v>
      </c>
      <c r="V693" s="16" t="s">
        <v>42</v>
      </c>
      <c r="W693" s="4" t="s">
        <v>2672</v>
      </c>
      <c r="X693" s="2" t="s">
        <v>42</v>
      </c>
      <c r="Y693" s="8" t="str">
        <f>HYPERLINK("http://linkedin.com/in/suliman-al-oufi-81125528/", "http://linkedin.com/in/suliman-al-oufi-81125528/")</f>
        <v>http://linkedin.com/in/suliman-al-oufi-81125528/</v>
      </c>
      <c r="Z693" s="2" t="s">
        <v>55</v>
      </c>
      <c r="AA693" s="2" t="s">
        <v>2673</v>
      </c>
      <c r="AB693" s="2" t="s">
        <v>2674</v>
      </c>
      <c r="AC693" s="2" t="s">
        <v>58</v>
      </c>
      <c r="AD693" s="2" t="s">
        <v>42</v>
      </c>
      <c r="AE693" s="4" t="s">
        <v>1158</v>
      </c>
      <c r="AF693" s="2" t="s">
        <v>60</v>
      </c>
      <c r="AG693" s="4" t="s">
        <v>2675</v>
      </c>
      <c r="AH693" s="2" t="s">
        <v>61</v>
      </c>
      <c r="AI693" s="2" t="s">
        <v>61</v>
      </c>
      <c r="AJ693" s="2" t="s">
        <v>42</v>
      </c>
      <c r="AK693" s="2" t="s">
        <v>42</v>
      </c>
      <c r="AL693" s="28">
        <v>45992</v>
      </c>
      <c r="AM693" s="4">
        <v>1975</v>
      </c>
      <c r="AN693" s="8" t="str">
        <f>HYPERLINK("https://my.pitchbook.com?p=397858-96P", "View People Online")</f>
        <v>View People Online</v>
      </c>
    </row>
    <row r="694" spans="1:40" x14ac:dyDescent="0.2">
      <c r="A694" s="3" t="s">
        <v>5747</v>
      </c>
      <c r="B694" s="3" t="s">
        <v>5748</v>
      </c>
      <c r="C694" s="3" t="s">
        <v>42</v>
      </c>
      <c r="D694" s="3" t="s">
        <v>42</v>
      </c>
      <c r="E694" s="3" t="s">
        <v>5747</v>
      </c>
      <c r="F694" s="3" t="s">
        <v>1639</v>
      </c>
      <c r="G694" s="3" t="s">
        <v>5613</v>
      </c>
      <c r="H694" s="3" t="s">
        <v>42</v>
      </c>
      <c r="I694" s="3" t="s">
        <v>46</v>
      </c>
      <c r="J694" s="3" t="s">
        <v>47</v>
      </c>
      <c r="K694" s="3" t="s">
        <v>2087</v>
      </c>
      <c r="L694" s="3" t="s">
        <v>111</v>
      </c>
      <c r="M694" s="9" t="str">
        <f>HYPERLINK("http://www.horizonfood.sa", "www.horizonfood.sa")</f>
        <v>www.horizonfood.sa</v>
      </c>
      <c r="N694" s="3" t="s">
        <v>210</v>
      </c>
      <c r="O694" s="3" t="s">
        <v>42</v>
      </c>
      <c r="P694" s="3" t="s">
        <v>5749</v>
      </c>
      <c r="Q694" s="3" t="s">
        <v>42</v>
      </c>
      <c r="R694" s="17" t="s">
        <v>42</v>
      </c>
      <c r="S694" s="17">
        <v>1</v>
      </c>
      <c r="T694" s="17">
        <v>1</v>
      </c>
      <c r="U694" s="17" t="s">
        <v>42</v>
      </c>
      <c r="V694" s="17" t="s">
        <v>42</v>
      </c>
      <c r="W694" s="5" t="s">
        <v>2089</v>
      </c>
      <c r="X694" s="3" t="s">
        <v>5750</v>
      </c>
      <c r="Y694" s="9" t="str">
        <f>HYPERLINK("http://linkedin.com/in/sultan-alharbi-165730291/", "http://linkedin.com/in/sultan-alharbi-165730291/")</f>
        <v>http://linkedin.com/in/sultan-alharbi-165730291/</v>
      </c>
      <c r="Z694" s="3" t="s">
        <v>383</v>
      </c>
      <c r="AA694" s="3" t="s">
        <v>2091</v>
      </c>
      <c r="AB694" s="3" t="s">
        <v>42</v>
      </c>
      <c r="AC694" s="3" t="s">
        <v>385</v>
      </c>
      <c r="AD694" s="3" t="s">
        <v>42</v>
      </c>
      <c r="AE694" s="5" t="s">
        <v>2092</v>
      </c>
      <c r="AF694" s="3" t="s">
        <v>60</v>
      </c>
      <c r="AG694" s="5" t="s">
        <v>2093</v>
      </c>
      <c r="AH694" s="3" t="s">
        <v>61</v>
      </c>
      <c r="AI694" s="3" t="s">
        <v>61</v>
      </c>
      <c r="AJ694" s="3" t="s">
        <v>42</v>
      </c>
      <c r="AK694" s="3" t="s">
        <v>42</v>
      </c>
      <c r="AL694" s="29">
        <v>45484</v>
      </c>
      <c r="AM694" s="5" t="s">
        <v>42</v>
      </c>
      <c r="AN694" s="9" t="str">
        <f>HYPERLINK("https://my.pitchbook.com?p=404540-02P", "View People Online")</f>
        <v>View People Online</v>
      </c>
    </row>
    <row r="695" spans="1:40" x14ac:dyDescent="0.2">
      <c r="A695" s="2" t="s">
        <v>5751</v>
      </c>
      <c r="B695" s="2" t="s">
        <v>5752</v>
      </c>
      <c r="C695" s="2" t="s">
        <v>42</v>
      </c>
      <c r="D695" s="2" t="s">
        <v>42</v>
      </c>
      <c r="E695" s="2" t="s">
        <v>5751</v>
      </c>
      <c r="F695" s="2" t="s">
        <v>5753</v>
      </c>
      <c r="G695" s="2" t="s">
        <v>5613</v>
      </c>
      <c r="H695" s="2" t="s">
        <v>42</v>
      </c>
      <c r="I695" s="2" t="s">
        <v>46</v>
      </c>
      <c r="J695" s="2" t="s">
        <v>47</v>
      </c>
      <c r="K695" s="2" t="s">
        <v>5754</v>
      </c>
      <c r="L695" s="2" t="s">
        <v>111</v>
      </c>
      <c r="M695" s="8" t="str">
        <f>HYPERLINK("http://www.taiba.com.sa", "www.taiba.com.sa")</f>
        <v>www.taiba.com.sa</v>
      </c>
      <c r="N695" s="2" t="s">
        <v>210</v>
      </c>
      <c r="O695" s="2" t="s">
        <v>42</v>
      </c>
      <c r="P695" s="2" t="s">
        <v>5755</v>
      </c>
      <c r="Q695" s="2" t="s">
        <v>42</v>
      </c>
      <c r="R695" s="16" t="s">
        <v>42</v>
      </c>
      <c r="S695" s="16">
        <v>1</v>
      </c>
      <c r="T695" s="16">
        <v>1</v>
      </c>
      <c r="U695" s="16" t="s">
        <v>42</v>
      </c>
      <c r="V695" s="16" t="s">
        <v>42</v>
      </c>
      <c r="W695" s="4" t="s">
        <v>5756</v>
      </c>
      <c r="X695" s="2" t="s">
        <v>5757</v>
      </c>
      <c r="Y695" s="2" t="s">
        <v>42</v>
      </c>
      <c r="Z695" s="2" t="s">
        <v>4635</v>
      </c>
      <c r="AA695" s="2" t="s">
        <v>5758</v>
      </c>
      <c r="AB695" s="2" t="s">
        <v>42</v>
      </c>
      <c r="AC695" s="2" t="s">
        <v>4637</v>
      </c>
      <c r="AD695" s="2" t="s">
        <v>42</v>
      </c>
      <c r="AE695" s="4" t="s">
        <v>5759</v>
      </c>
      <c r="AF695" s="2" t="s">
        <v>60</v>
      </c>
      <c r="AG695" s="4" t="s">
        <v>5760</v>
      </c>
      <c r="AH695" s="2" t="s">
        <v>61</v>
      </c>
      <c r="AI695" s="2" t="s">
        <v>61</v>
      </c>
      <c r="AJ695" s="2" t="s">
        <v>42</v>
      </c>
      <c r="AK695" s="2" t="s">
        <v>42</v>
      </c>
      <c r="AL695" s="28">
        <v>45959</v>
      </c>
      <c r="AM695" s="4" t="s">
        <v>42</v>
      </c>
      <c r="AN695" s="8" t="str">
        <f>HYPERLINK("https://my.pitchbook.com?p=379076-41P", "View People Online")</f>
        <v>View People Online</v>
      </c>
    </row>
    <row r="696" spans="1:40" x14ac:dyDescent="0.2">
      <c r="A696" s="3" t="s">
        <v>5761</v>
      </c>
      <c r="B696" s="3" t="s">
        <v>5762</v>
      </c>
      <c r="C696" s="3" t="s">
        <v>42</v>
      </c>
      <c r="D696" s="3" t="s">
        <v>42</v>
      </c>
      <c r="E696" s="3" t="s">
        <v>5761</v>
      </c>
      <c r="F696" s="3" t="s">
        <v>5763</v>
      </c>
      <c r="G696" s="3" t="s">
        <v>5764</v>
      </c>
      <c r="H696" s="3" t="s">
        <v>42</v>
      </c>
      <c r="I696" s="3" t="s">
        <v>46</v>
      </c>
      <c r="J696" s="3" t="s">
        <v>47</v>
      </c>
      <c r="K696" s="3" t="s">
        <v>169</v>
      </c>
      <c r="L696" s="3" t="s">
        <v>81</v>
      </c>
      <c r="M696" s="9" t="str">
        <f>HYPERLINK("http://www.alkhabeer.com", "www.alkhabeer.com")</f>
        <v>www.alkhabeer.com</v>
      </c>
      <c r="N696" s="3" t="s">
        <v>534</v>
      </c>
      <c r="O696" s="3" t="s">
        <v>42</v>
      </c>
      <c r="P696" s="3" t="s">
        <v>5765</v>
      </c>
      <c r="Q696" s="3" t="s">
        <v>1112</v>
      </c>
      <c r="R696" s="17" t="s">
        <v>42</v>
      </c>
      <c r="S696" s="17">
        <v>1</v>
      </c>
      <c r="T696" s="17">
        <v>1</v>
      </c>
      <c r="U696" s="17" t="s">
        <v>42</v>
      </c>
      <c r="V696" s="17" t="s">
        <v>42</v>
      </c>
      <c r="W696" s="5" t="s">
        <v>172</v>
      </c>
      <c r="X696" s="3" t="s">
        <v>5766</v>
      </c>
      <c r="Y696" s="3" t="s">
        <v>42</v>
      </c>
      <c r="Z696" s="3" t="s">
        <v>174</v>
      </c>
      <c r="AA696" s="3" t="s">
        <v>175</v>
      </c>
      <c r="AB696" s="3" t="s">
        <v>42</v>
      </c>
      <c r="AC696" s="3" t="s">
        <v>176</v>
      </c>
      <c r="AD696" s="3" t="s">
        <v>42</v>
      </c>
      <c r="AE696" s="5" t="s">
        <v>177</v>
      </c>
      <c r="AF696" s="3" t="s">
        <v>60</v>
      </c>
      <c r="AG696" s="5" t="s">
        <v>178</v>
      </c>
      <c r="AH696" s="3" t="s">
        <v>61</v>
      </c>
      <c r="AI696" s="3" t="s">
        <v>61</v>
      </c>
      <c r="AJ696" s="3" t="s">
        <v>42</v>
      </c>
      <c r="AK696" s="3" t="s">
        <v>42</v>
      </c>
      <c r="AL696" s="29">
        <v>45992</v>
      </c>
      <c r="AM696" s="5" t="s">
        <v>42</v>
      </c>
      <c r="AN696" s="9" t="str">
        <f>HYPERLINK("https://my.pitchbook.com?p=55722-61P", "View People Online")</f>
        <v>View People Online</v>
      </c>
    </row>
    <row r="697" spans="1:40" x14ac:dyDescent="0.2">
      <c r="A697" s="2" t="s">
        <v>5767</v>
      </c>
      <c r="B697" s="2" t="s">
        <v>5768</v>
      </c>
      <c r="C697" s="2" t="s">
        <v>42</v>
      </c>
      <c r="D697" s="2" t="s">
        <v>42</v>
      </c>
      <c r="E697" s="2" t="s">
        <v>5767</v>
      </c>
      <c r="F697" s="2" t="s">
        <v>5769</v>
      </c>
      <c r="G697" s="2" t="s">
        <v>5764</v>
      </c>
      <c r="H697" s="2" t="s">
        <v>42</v>
      </c>
      <c r="I697" s="2" t="s">
        <v>46</v>
      </c>
      <c r="J697" s="2" t="s">
        <v>47</v>
      </c>
      <c r="K697" s="2" t="s">
        <v>3859</v>
      </c>
      <c r="L697" s="2" t="s">
        <v>111</v>
      </c>
      <c r="M697" s="8" t="str">
        <f>HYPERLINK("http://www.al-babtain.com.sa", "www.al-babtain.com.sa")</f>
        <v>www.al-babtain.com.sa</v>
      </c>
      <c r="N697" s="2" t="s">
        <v>370</v>
      </c>
      <c r="O697" s="2" t="s">
        <v>42</v>
      </c>
      <c r="P697" s="2" t="s">
        <v>5770</v>
      </c>
      <c r="Q697" s="2" t="s">
        <v>42</v>
      </c>
      <c r="R697" s="16" t="s">
        <v>42</v>
      </c>
      <c r="S697" s="16">
        <v>1</v>
      </c>
      <c r="T697" s="16">
        <v>1</v>
      </c>
      <c r="U697" s="16" t="s">
        <v>42</v>
      </c>
      <c r="V697" s="16" t="s">
        <v>42</v>
      </c>
      <c r="W697" s="4" t="s">
        <v>3861</v>
      </c>
      <c r="X697" s="2" t="s">
        <v>5771</v>
      </c>
      <c r="Y697" s="8" t="str">
        <f>HYPERLINK("http://linkedin.com/in/tamer-kalou-2223b237/", "http://linkedin.com/in/tamer-kalou-2223b237/")</f>
        <v>http://linkedin.com/in/tamer-kalou-2223b237/</v>
      </c>
      <c r="Z697" s="2" t="s">
        <v>55</v>
      </c>
      <c r="AA697" s="2" t="s">
        <v>3863</v>
      </c>
      <c r="AB697" s="2" t="s">
        <v>42</v>
      </c>
      <c r="AC697" s="2" t="s">
        <v>58</v>
      </c>
      <c r="AD697" s="2" t="s">
        <v>42</v>
      </c>
      <c r="AE697" s="4" t="s">
        <v>3864</v>
      </c>
      <c r="AF697" s="2" t="s">
        <v>60</v>
      </c>
      <c r="AG697" s="4" t="s">
        <v>3865</v>
      </c>
      <c r="AH697" s="2" t="s">
        <v>61</v>
      </c>
      <c r="AI697" s="2" t="s">
        <v>61</v>
      </c>
      <c r="AJ697" s="2" t="s">
        <v>42</v>
      </c>
      <c r="AK697" s="2" t="s">
        <v>42</v>
      </c>
      <c r="AL697" s="28">
        <v>45727</v>
      </c>
      <c r="AM697" s="4" t="s">
        <v>42</v>
      </c>
      <c r="AN697" s="8" t="str">
        <f>HYPERLINK("https://my.pitchbook.com?p=339389-11P", "View People Online")</f>
        <v>View People Online</v>
      </c>
    </row>
    <row r="698" spans="1:40" x14ac:dyDescent="0.2">
      <c r="A698" s="3" t="s">
        <v>5772</v>
      </c>
      <c r="B698" s="3" t="s">
        <v>5773</v>
      </c>
      <c r="C698" s="3" t="s">
        <v>42</v>
      </c>
      <c r="D698" s="3" t="s">
        <v>42</v>
      </c>
      <c r="E698" s="3" t="s">
        <v>5772</v>
      </c>
      <c r="F698" s="3" t="s">
        <v>5774</v>
      </c>
      <c r="G698" s="3" t="s">
        <v>1055</v>
      </c>
      <c r="H698" s="3" t="s">
        <v>42</v>
      </c>
      <c r="I698" s="3" t="s">
        <v>46</v>
      </c>
      <c r="J698" s="3" t="s">
        <v>47</v>
      </c>
      <c r="K698" s="3" t="s">
        <v>2620</v>
      </c>
      <c r="L698" s="3" t="s">
        <v>111</v>
      </c>
      <c r="M698" s="9" t="str">
        <f>HYPERLINK("http://www.jamjoompharma.com", "www.jamjoompharma.com")</f>
        <v>www.jamjoompharma.com</v>
      </c>
      <c r="N698" s="3" t="s">
        <v>210</v>
      </c>
      <c r="O698" s="3" t="s">
        <v>42</v>
      </c>
      <c r="P698" s="3" t="s">
        <v>5775</v>
      </c>
      <c r="Q698" s="3" t="s">
        <v>5776</v>
      </c>
      <c r="R698" s="17" t="s">
        <v>42</v>
      </c>
      <c r="S698" s="17">
        <v>1</v>
      </c>
      <c r="T698" s="17">
        <v>1</v>
      </c>
      <c r="U698" s="17" t="s">
        <v>42</v>
      </c>
      <c r="V698" s="17" t="s">
        <v>42</v>
      </c>
      <c r="W698" s="5" t="s">
        <v>2623</v>
      </c>
      <c r="X698" s="3" t="s">
        <v>42</v>
      </c>
      <c r="Y698" s="9" t="str">
        <f>HYPERLINK("http://linkedin.com/in/tarek-youssef-hosni-b0b19733/", "http://linkedin.com/in/tarek-youssef-hosni-b0b19733/")</f>
        <v>http://linkedin.com/in/tarek-youssef-hosni-b0b19733/</v>
      </c>
      <c r="Z698" s="3" t="s">
        <v>174</v>
      </c>
      <c r="AA698" s="3" t="s">
        <v>2624</v>
      </c>
      <c r="AB698" s="3" t="s">
        <v>2625</v>
      </c>
      <c r="AC698" s="3" t="s">
        <v>176</v>
      </c>
      <c r="AD698" s="3" t="s">
        <v>42</v>
      </c>
      <c r="AE698" s="5" t="s">
        <v>2626</v>
      </c>
      <c r="AF698" s="3" t="s">
        <v>60</v>
      </c>
      <c r="AG698" s="5" t="s">
        <v>2627</v>
      </c>
      <c r="AH698" s="3" t="s">
        <v>61</v>
      </c>
      <c r="AI698" s="3" t="s">
        <v>61</v>
      </c>
      <c r="AJ698" s="3" t="s">
        <v>42</v>
      </c>
      <c r="AK698" s="3" t="s">
        <v>42</v>
      </c>
      <c r="AL698" s="29">
        <v>46055</v>
      </c>
      <c r="AM698" s="5" t="s">
        <v>42</v>
      </c>
      <c r="AN698" s="9" t="str">
        <f>HYPERLINK("https://my.pitchbook.com?p=346078-54P", "View People Online")</f>
        <v>View People Online</v>
      </c>
    </row>
    <row r="699" spans="1:40" x14ac:dyDescent="0.2">
      <c r="A699" s="2" t="s">
        <v>5777</v>
      </c>
      <c r="B699" s="2" t="s">
        <v>5778</v>
      </c>
      <c r="C699" s="2" t="s">
        <v>42</v>
      </c>
      <c r="D699" s="2" t="s">
        <v>42</v>
      </c>
      <c r="E699" s="2" t="s">
        <v>5777</v>
      </c>
      <c r="F699" s="2" t="s">
        <v>5779</v>
      </c>
      <c r="G699" s="2" t="s">
        <v>151</v>
      </c>
      <c r="H699" s="2" t="s">
        <v>45</v>
      </c>
      <c r="I699" s="2" t="s">
        <v>42</v>
      </c>
      <c r="J699" s="2" t="s">
        <v>47</v>
      </c>
      <c r="K699" s="2" t="s">
        <v>3122</v>
      </c>
      <c r="L699" s="2" t="s">
        <v>111</v>
      </c>
      <c r="M699" s="8" t="str">
        <f>HYPERLINK("http://www.ataa.sa", "www.ataa.sa")</f>
        <v>www.ataa.sa</v>
      </c>
      <c r="N699" s="2" t="s">
        <v>69</v>
      </c>
      <c r="O699" s="2" t="s">
        <v>42</v>
      </c>
      <c r="P699" s="2" t="s">
        <v>5780</v>
      </c>
      <c r="Q699" s="2" t="s">
        <v>42</v>
      </c>
      <c r="R699" s="16">
        <v>1</v>
      </c>
      <c r="S699" s="16">
        <v>1</v>
      </c>
      <c r="T699" s="16" t="s">
        <v>42</v>
      </c>
      <c r="U699" s="16" t="s">
        <v>42</v>
      </c>
      <c r="V699" s="16" t="s">
        <v>42</v>
      </c>
      <c r="W699" s="4" t="s">
        <v>3124</v>
      </c>
      <c r="X699" s="2" t="s">
        <v>42</v>
      </c>
      <c r="Y699" s="2" t="s">
        <v>42</v>
      </c>
      <c r="Z699" s="2" t="s">
        <v>55</v>
      </c>
      <c r="AA699" s="2" t="s">
        <v>2687</v>
      </c>
      <c r="AB699" s="2" t="s">
        <v>3125</v>
      </c>
      <c r="AC699" s="2" t="s">
        <v>58</v>
      </c>
      <c r="AD699" s="2" t="s">
        <v>42</v>
      </c>
      <c r="AE699" s="4" t="s">
        <v>42</v>
      </c>
      <c r="AF699" s="2" t="s">
        <v>60</v>
      </c>
      <c r="AG699" s="4" t="s">
        <v>42</v>
      </c>
      <c r="AH699" s="2" t="s">
        <v>61</v>
      </c>
      <c r="AI699" s="2" t="s">
        <v>61</v>
      </c>
      <c r="AJ699" s="2" t="s">
        <v>42</v>
      </c>
      <c r="AK699" s="2" t="s">
        <v>42</v>
      </c>
      <c r="AL699" s="28">
        <v>45972</v>
      </c>
      <c r="AM699" s="4" t="s">
        <v>42</v>
      </c>
      <c r="AN699" s="8" t="str">
        <f>HYPERLINK("https://my.pitchbook.com?p=312740-92P", "View People Online")</f>
        <v>View People Online</v>
      </c>
    </row>
    <row r="700" spans="1:40" x14ac:dyDescent="0.2">
      <c r="A700" s="3" t="s">
        <v>5781</v>
      </c>
      <c r="B700" s="3" t="s">
        <v>5782</v>
      </c>
      <c r="C700" s="3" t="s">
        <v>42</v>
      </c>
      <c r="D700" s="3" t="s">
        <v>42</v>
      </c>
      <c r="E700" s="3" t="s">
        <v>5781</v>
      </c>
      <c r="F700" s="3" t="s">
        <v>4048</v>
      </c>
      <c r="G700" s="3" t="s">
        <v>79</v>
      </c>
      <c r="H700" s="3" t="s">
        <v>42</v>
      </c>
      <c r="I700" s="3" t="s">
        <v>196</v>
      </c>
      <c r="J700" s="3" t="s">
        <v>47</v>
      </c>
      <c r="K700" s="3" t="s">
        <v>4049</v>
      </c>
      <c r="L700" s="3" t="s">
        <v>111</v>
      </c>
      <c r="M700" s="9" t="str">
        <f>HYPERLINK("http://twareat.com", "twareat.com")</f>
        <v>twareat.com</v>
      </c>
      <c r="N700" s="3" t="s">
        <v>246</v>
      </c>
      <c r="O700" s="3" t="s">
        <v>42</v>
      </c>
      <c r="P700" s="3" t="s">
        <v>5783</v>
      </c>
      <c r="Q700" s="3" t="s">
        <v>5784</v>
      </c>
      <c r="R700" s="17">
        <v>1</v>
      </c>
      <c r="S700" s="17">
        <v>1</v>
      </c>
      <c r="T700" s="17" t="s">
        <v>42</v>
      </c>
      <c r="U700" s="17" t="s">
        <v>42</v>
      </c>
      <c r="V700" s="17" t="s">
        <v>42</v>
      </c>
      <c r="W700" s="5" t="s">
        <v>4051</v>
      </c>
      <c r="X700" s="3" t="s">
        <v>42</v>
      </c>
      <c r="Y700" s="9" t="str">
        <f>HYPERLINK("http://linkedin.com/in/tareq-al-hamdan-23192a37/", "http://linkedin.com/in/tareq-al-hamdan-23192a37/")</f>
        <v>http://linkedin.com/in/tareq-al-hamdan-23192a37/</v>
      </c>
      <c r="Z700" s="3" t="s">
        <v>595</v>
      </c>
      <c r="AA700" s="3" t="s">
        <v>4053</v>
      </c>
      <c r="AB700" s="3" t="s">
        <v>4054</v>
      </c>
      <c r="AC700" s="3" t="s">
        <v>598</v>
      </c>
      <c r="AD700" s="3" t="s">
        <v>42</v>
      </c>
      <c r="AE700" s="5" t="s">
        <v>4055</v>
      </c>
      <c r="AF700" s="3" t="s">
        <v>60</v>
      </c>
      <c r="AG700" s="5" t="s">
        <v>42</v>
      </c>
      <c r="AH700" s="3" t="s">
        <v>61</v>
      </c>
      <c r="AI700" s="3" t="s">
        <v>61</v>
      </c>
      <c r="AJ700" s="3" t="s">
        <v>42</v>
      </c>
      <c r="AK700" s="3" t="s">
        <v>42</v>
      </c>
      <c r="AL700" s="29">
        <v>45663</v>
      </c>
      <c r="AM700" s="5" t="s">
        <v>42</v>
      </c>
      <c r="AN700" s="9" t="str">
        <f>HYPERLINK("https://my.pitchbook.com?p=427538-71P", "View People Online")</f>
        <v>View People Online</v>
      </c>
    </row>
    <row r="701" spans="1:40" x14ac:dyDescent="0.2">
      <c r="A701" s="2" t="s">
        <v>5785</v>
      </c>
      <c r="B701" s="2" t="s">
        <v>5786</v>
      </c>
      <c r="C701" s="2" t="s">
        <v>42</v>
      </c>
      <c r="D701" s="2" t="s">
        <v>42</v>
      </c>
      <c r="E701" s="2" t="s">
        <v>5785</v>
      </c>
      <c r="F701" s="2" t="s">
        <v>2336</v>
      </c>
      <c r="G701" s="2" t="s">
        <v>79</v>
      </c>
      <c r="H701" s="2" t="s">
        <v>5787</v>
      </c>
      <c r="I701" s="2" t="s">
        <v>46</v>
      </c>
      <c r="J701" s="2" t="s">
        <v>47</v>
      </c>
      <c r="K701" s="2" t="s">
        <v>5788</v>
      </c>
      <c r="L701" s="2" t="s">
        <v>111</v>
      </c>
      <c r="M701" s="8" t="str">
        <f>HYPERLINK("http://www.riyalmotors.com", "www.riyalmotors.com")</f>
        <v>www.riyalmotors.com</v>
      </c>
      <c r="N701" s="2" t="s">
        <v>5789</v>
      </c>
      <c r="O701" s="2" t="s">
        <v>42</v>
      </c>
      <c r="P701" s="2" t="s">
        <v>5790</v>
      </c>
      <c r="Q701" s="2" t="s">
        <v>42</v>
      </c>
      <c r="R701" s="16">
        <v>1</v>
      </c>
      <c r="S701" s="16">
        <v>1</v>
      </c>
      <c r="T701" s="16" t="s">
        <v>42</v>
      </c>
      <c r="U701" s="16" t="s">
        <v>42</v>
      </c>
      <c r="V701" s="16" t="s">
        <v>42</v>
      </c>
      <c r="W701" s="4" t="s">
        <v>5791</v>
      </c>
      <c r="X701" s="2" t="s">
        <v>42</v>
      </c>
      <c r="Y701" s="2" t="s">
        <v>42</v>
      </c>
      <c r="Z701" s="2" t="s">
        <v>383</v>
      </c>
      <c r="AA701" s="2" t="s">
        <v>5792</v>
      </c>
      <c r="AB701" s="2" t="s">
        <v>5793</v>
      </c>
      <c r="AC701" s="2" t="s">
        <v>385</v>
      </c>
      <c r="AD701" s="2" t="s">
        <v>42</v>
      </c>
      <c r="AE701" s="4" t="s">
        <v>42</v>
      </c>
      <c r="AF701" s="2" t="s">
        <v>60</v>
      </c>
      <c r="AG701" s="4" t="s">
        <v>42</v>
      </c>
      <c r="AH701" s="2" t="s">
        <v>61</v>
      </c>
      <c r="AI701" s="2" t="s">
        <v>61</v>
      </c>
      <c r="AJ701" s="2" t="s">
        <v>42</v>
      </c>
      <c r="AK701" s="2" t="s">
        <v>42</v>
      </c>
      <c r="AL701" s="28">
        <v>45848</v>
      </c>
      <c r="AM701" s="4" t="s">
        <v>42</v>
      </c>
      <c r="AN701" s="8" t="str">
        <f>HYPERLINK("https://my.pitchbook.com?p=364283-83P", "View People Online")</f>
        <v>View People Online</v>
      </c>
    </row>
    <row r="702" spans="1:40" x14ac:dyDescent="0.2">
      <c r="A702" s="3" t="s">
        <v>5794</v>
      </c>
      <c r="B702" s="3" t="s">
        <v>5795</v>
      </c>
      <c r="C702" s="3" t="s">
        <v>42</v>
      </c>
      <c r="D702" s="3" t="s">
        <v>42</v>
      </c>
      <c r="E702" s="3" t="s">
        <v>5794</v>
      </c>
      <c r="F702" s="3" t="s">
        <v>5796</v>
      </c>
      <c r="G702" s="3" t="s">
        <v>79</v>
      </c>
      <c r="H702" s="3" t="s">
        <v>271</v>
      </c>
      <c r="I702" s="3" t="s">
        <v>46</v>
      </c>
      <c r="J702" s="3" t="s">
        <v>47</v>
      </c>
      <c r="K702" s="3" t="s">
        <v>4413</v>
      </c>
      <c r="L702" s="3" t="s">
        <v>111</v>
      </c>
      <c r="M702" s="9" t="str">
        <f>HYPERLINK("http://www.eic.com.sa", "www.eic.com.sa")</f>
        <v>www.eic.com.sa</v>
      </c>
      <c r="N702" s="3" t="s">
        <v>5797</v>
      </c>
      <c r="O702" s="3" t="s">
        <v>42</v>
      </c>
      <c r="P702" s="3" t="s">
        <v>5798</v>
      </c>
      <c r="Q702" s="3" t="s">
        <v>42</v>
      </c>
      <c r="R702" s="17">
        <v>1</v>
      </c>
      <c r="S702" s="17">
        <v>1</v>
      </c>
      <c r="T702" s="17">
        <v>1</v>
      </c>
      <c r="U702" s="17" t="s">
        <v>42</v>
      </c>
      <c r="V702" s="17" t="s">
        <v>42</v>
      </c>
      <c r="W702" s="5" t="s">
        <v>4417</v>
      </c>
      <c r="X702" s="3" t="s">
        <v>5799</v>
      </c>
      <c r="Y702" s="9" t="str">
        <f>HYPERLINK("http://linkedin.com/in/tariq-al-tahini-952736164/", "http://linkedin.com/in/tariq-al-tahini-952736164/")</f>
        <v>http://linkedin.com/in/tariq-al-tahini-952736164/</v>
      </c>
      <c r="Z702" s="3" t="s">
        <v>383</v>
      </c>
      <c r="AA702" s="3" t="s">
        <v>4419</v>
      </c>
      <c r="AB702" s="3" t="s">
        <v>4420</v>
      </c>
      <c r="AC702" s="3" t="s">
        <v>385</v>
      </c>
      <c r="AD702" s="3" t="s">
        <v>42</v>
      </c>
      <c r="AE702" s="5" t="s">
        <v>4421</v>
      </c>
      <c r="AF702" s="3" t="s">
        <v>60</v>
      </c>
      <c r="AG702" s="5" t="s">
        <v>4422</v>
      </c>
      <c r="AH702" s="3" t="s">
        <v>61</v>
      </c>
      <c r="AI702" s="3" t="s">
        <v>61</v>
      </c>
      <c r="AJ702" s="3" t="s">
        <v>42</v>
      </c>
      <c r="AK702" s="3" t="s">
        <v>42</v>
      </c>
      <c r="AL702" s="29">
        <v>45716</v>
      </c>
      <c r="AM702" s="5" t="s">
        <v>42</v>
      </c>
      <c r="AN702" s="9" t="str">
        <f>HYPERLINK("https://my.pitchbook.com?p=330200-92P", "View People Online")</f>
        <v>View People Online</v>
      </c>
    </row>
    <row r="703" spans="1:40" x14ac:dyDescent="0.2">
      <c r="A703" s="2" t="s">
        <v>5800</v>
      </c>
      <c r="B703" s="2" t="s">
        <v>5801</v>
      </c>
      <c r="C703" s="2" t="s">
        <v>42</v>
      </c>
      <c r="D703" s="2" t="s">
        <v>42</v>
      </c>
      <c r="E703" s="2" t="s">
        <v>5800</v>
      </c>
      <c r="F703" s="2" t="s">
        <v>5802</v>
      </c>
      <c r="G703" s="2" t="s">
        <v>1553</v>
      </c>
      <c r="H703" s="2" t="s">
        <v>42</v>
      </c>
      <c r="I703" s="2" t="s">
        <v>46</v>
      </c>
      <c r="J703" s="2" t="s">
        <v>47</v>
      </c>
      <c r="K703" s="2" t="s">
        <v>3900</v>
      </c>
      <c r="L703" s="2" t="s">
        <v>111</v>
      </c>
      <c r="M703" s="8" t="str">
        <f>HYPERLINK("http://www.walaa.com", "www.walaa.com")</f>
        <v>www.walaa.com</v>
      </c>
      <c r="N703" s="2" t="s">
        <v>370</v>
      </c>
      <c r="O703" s="2" t="s">
        <v>42</v>
      </c>
      <c r="P703" s="2" t="s">
        <v>5803</v>
      </c>
      <c r="Q703" s="2" t="s">
        <v>42</v>
      </c>
      <c r="R703" s="16" t="s">
        <v>42</v>
      </c>
      <c r="S703" s="16">
        <v>1</v>
      </c>
      <c r="T703" s="16">
        <v>1</v>
      </c>
      <c r="U703" s="16" t="s">
        <v>42</v>
      </c>
      <c r="V703" s="16" t="s">
        <v>42</v>
      </c>
      <c r="W703" s="4" t="s">
        <v>3902</v>
      </c>
      <c r="X703" s="2" t="s">
        <v>5804</v>
      </c>
      <c r="Y703" s="8" t="str">
        <f>HYPERLINK("http://linkedin.com/in/turki-al-buraik-bb773b85/", "http://linkedin.com/in/turki-al-buraik-bb773b85/")</f>
        <v>http://linkedin.com/in/turki-al-buraik-bb773b85/</v>
      </c>
      <c r="Z703" s="2" t="s">
        <v>782</v>
      </c>
      <c r="AA703" s="2" t="s">
        <v>3904</v>
      </c>
      <c r="AB703" s="2" t="s">
        <v>3905</v>
      </c>
      <c r="AC703" s="2" t="s">
        <v>785</v>
      </c>
      <c r="AD703" s="2" t="s">
        <v>42</v>
      </c>
      <c r="AE703" s="4" t="s">
        <v>599</v>
      </c>
      <c r="AF703" s="2" t="s">
        <v>60</v>
      </c>
      <c r="AG703" s="4" t="s">
        <v>3906</v>
      </c>
      <c r="AH703" s="2" t="s">
        <v>61</v>
      </c>
      <c r="AI703" s="2" t="s">
        <v>61</v>
      </c>
      <c r="AJ703" s="2" t="s">
        <v>42</v>
      </c>
      <c r="AK703" s="2" t="s">
        <v>42</v>
      </c>
      <c r="AL703" s="28">
        <v>46056</v>
      </c>
      <c r="AM703" s="4">
        <v>1977</v>
      </c>
      <c r="AN703" s="8" t="str">
        <f>HYPERLINK("https://my.pitchbook.com?p=406278-37P", "View People Online")</f>
        <v>View People Online</v>
      </c>
    </row>
    <row r="704" spans="1:40" x14ac:dyDescent="0.2">
      <c r="A704" s="3" t="s">
        <v>5805</v>
      </c>
      <c r="B704" s="3" t="s">
        <v>5806</v>
      </c>
      <c r="C704" s="3" t="s">
        <v>42</v>
      </c>
      <c r="D704" s="3" t="s">
        <v>42</v>
      </c>
      <c r="E704" s="3" t="s">
        <v>5805</v>
      </c>
      <c r="F704" s="3" t="s">
        <v>5807</v>
      </c>
      <c r="G704" s="3" t="s">
        <v>1553</v>
      </c>
      <c r="H704" s="3" t="s">
        <v>5808</v>
      </c>
      <c r="I704" s="3" t="s">
        <v>46</v>
      </c>
      <c r="J704" s="3" t="s">
        <v>47</v>
      </c>
      <c r="K704" s="3" t="s">
        <v>5809</v>
      </c>
      <c r="L704" s="3" t="s">
        <v>111</v>
      </c>
      <c r="M704" s="9" t="str">
        <f>HYPERLINK("http://www.balady-sa.com", "www.balady-sa.com")</f>
        <v>www.balady-sa.com</v>
      </c>
      <c r="N704" s="3" t="s">
        <v>210</v>
      </c>
      <c r="O704" s="3" t="s">
        <v>42</v>
      </c>
      <c r="P704" s="3" t="s">
        <v>5810</v>
      </c>
      <c r="Q704" s="3" t="s">
        <v>42</v>
      </c>
      <c r="R704" s="17" t="s">
        <v>42</v>
      </c>
      <c r="S704" s="17">
        <v>1</v>
      </c>
      <c r="T704" s="17">
        <v>1</v>
      </c>
      <c r="U704" s="17" t="s">
        <v>42</v>
      </c>
      <c r="V704" s="17" t="s">
        <v>42</v>
      </c>
      <c r="W704" s="5" t="s">
        <v>5811</v>
      </c>
      <c r="X704" s="3" t="s">
        <v>5812</v>
      </c>
      <c r="Y704" s="3" t="s">
        <v>42</v>
      </c>
      <c r="Z704" s="3" t="s">
        <v>3720</v>
      </c>
      <c r="AA704" s="3" t="s">
        <v>5813</v>
      </c>
      <c r="AB704" s="3" t="s">
        <v>5814</v>
      </c>
      <c r="AC704" s="3" t="s">
        <v>3723</v>
      </c>
      <c r="AD704" s="3" t="s">
        <v>42</v>
      </c>
      <c r="AE704" s="5" t="s">
        <v>5815</v>
      </c>
      <c r="AF704" s="3" t="s">
        <v>60</v>
      </c>
      <c r="AG704" s="5" t="s">
        <v>42</v>
      </c>
      <c r="AH704" s="3" t="s">
        <v>61</v>
      </c>
      <c r="AI704" s="3" t="s">
        <v>61</v>
      </c>
      <c r="AJ704" s="3" t="s">
        <v>42</v>
      </c>
      <c r="AK704" s="3" t="s">
        <v>42</v>
      </c>
      <c r="AL704" s="29">
        <v>45646</v>
      </c>
      <c r="AM704" s="5" t="s">
        <v>42</v>
      </c>
      <c r="AN704" s="9" t="str">
        <f>HYPERLINK("https://my.pitchbook.com?p=341840-62P", "View People Online")</f>
        <v>View People Online</v>
      </c>
    </row>
    <row r="705" spans="1:40" x14ac:dyDescent="0.2">
      <c r="A705" s="2" t="s">
        <v>5816</v>
      </c>
      <c r="B705" s="2" t="s">
        <v>5817</v>
      </c>
      <c r="C705" s="2" t="s">
        <v>42</v>
      </c>
      <c r="D705" s="2" t="s">
        <v>42</v>
      </c>
      <c r="E705" s="2" t="s">
        <v>5816</v>
      </c>
      <c r="F705" s="2" t="s">
        <v>5818</v>
      </c>
      <c r="G705" s="2" t="s">
        <v>5819</v>
      </c>
      <c r="H705" s="2" t="s">
        <v>42</v>
      </c>
      <c r="I705" s="2" t="s">
        <v>46</v>
      </c>
      <c r="J705" s="2" t="s">
        <v>47</v>
      </c>
      <c r="K705" s="2" t="s">
        <v>3324</v>
      </c>
      <c r="L705" s="2" t="s">
        <v>1316</v>
      </c>
      <c r="M705" s="8" t="str">
        <f>HYPERLINK("http://www.medgulf.com.sa", "www.medgulf.com.sa")</f>
        <v>www.medgulf.com.sa</v>
      </c>
      <c r="N705" s="2" t="s">
        <v>210</v>
      </c>
      <c r="O705" s="2" t="s">
        <v>42</v>
      </c>
      <c r="P705" s="2" t="s">
        <v>5820</v>
      </c>
      <c r="Q705" s="2" t="s">
        <v>42</v>
      </c>
      <c r="R705" s="16" t="s">
        <v>42</v>
      </c>
      <c r="S705" s="16">
        <v>1</v>
      </c>
      <c r="T705" s="16">
        <v>1</v>
      </c>
      <c r="U705" s="16" t="s">
        <v>42</v>
      </c>
      <c r="V705" s="16" t="s">
        <v>42</v>
      </c>
      <c r="W705" s="4" t="s">
        <v>42</v>
      </c>
      <c r="X705" s="2" t="s">
        <v>5821</v>
      </c>
      <c r="Y705" s="8" t="str">
        <f>HYPERLINK("http://linkedin.com/in/umar-al-mahmoud-b8223240/", "http://linkedin.com/in/umar-al-mahmoud-b8223240/")</f>
        <v>http://linkedin.com/in/umar-al-mahmoud-b8223240/</v>
      </c>
      <c r="Z705" s="2" t="s">
        <v>55</v>
      </c>
      <c r="AA705" s="2" t="s">
        <v>3328</v>
      </c>
      <c r="AB705" s="2" t="s">
        <v>3329</v>
      </c>
      <c r="AC705" s="2" t="s">
        <v>58</v>
      </c>
      <c r="AD705" s="2" t="s">
        <v>42</v>
      </c>
      <c r="AE705" s="4" t="s">
        <v>3330</v>
      </c>
      <c r="AF705" s="2" t="s">
        <v>60</v>
      </c>
      <c r="AG705" s="4" t="s">
        <v>42</v>
      </c>
      <c r="AH705" s="2" t="s">
        <v>61</v>
      </c>
      <c r="AI705" s="2" t="s">
        <v>61</v>
      </c>
      <c r="AJ705" s="2" t="s">
        <v>42</v>
      </c>
      <c r="AK705" s="2" t="s">
        <v>42</v>
      </c>
      <c r="AL705" s="28">
        <v>45994</v>
      </c>
      <c r="AM705" s="4" t="s">
        <v>42</v>
      </c>
      <c r="AN705" s="8" t="str">
        <f>HYPERLINK("https://my.pitchbook.com?p=269705-08P", "View People Online")</f>
        <v>View People Online</v>
      </c>
    </row>
    <row r="706" spans="1:40" x14ac:dyDescent="0.2">
      <c r="A706" s="3" t="s">
        <v>5822</v>
      </c>
      <c r="B706" s="3" t="s">
        <v>5823</v>
      </c>
      <c r="C706" s="3" t="s">
        <v>42</v>
      </c>
      <c r="D706" s="3" t="s">
        <v>42</v>
      </c>
      <c r="E706" s="3" t="s">
        <v>5822</v>
      </c>
      <c r="F706" s="3" t="s">
        <v>5824</v>
      </c>
      <c r="G706" s="3" t="s">
        <v>5825</v>
      </c>
      <c r="H706" s="3" t="s">
        <v>42</v>
      </c>
      <c r="I706" s="3" t="s">
        <v>46</v>
      </c>
      <c r="J706" s="3" t="s">
        <v>47</v>
      </c>
      <c r="K706" s="3" t="s">
        <v>5826</v>
      </c>
      <c r="L706" s="3" t="s">
        <v>111</v>
      </c>
      <c r="M706" s="9" t="str">
        <f>HYPERLINK("http://www.apico.com.sa", "www.apico.com.sa")</f>
        <v>www.apico.com.sa</v>
      </c>
      <c r="N706" s="3" t="s">
        <v>210</v>
      </c>
      <c r="O706" s="3" t="s">
        <v>42</v>
      </c>
      <c r="P706" s="3" t="s">
        <v>5827</v>
      </c>
      <c r="Q706" s="3" t="s">
        <v>42</v>
      </c>
      <c r="R706" s="17" t="s">
        <v>42</v>
      </c>
      <c r="S706" s="17">
        <v>1</v>
      </c>
      <c r="T706" s="17">
        <v>1</v>
      </c>
      <c r="U706" s="17" t="s">
        <v>42</v>
      </c>
      <c r="V706" s="17" t="s">
        <v>42</v>
      </c>
      <c r="W706" s="5" t="s">
        <v>5828</v>
      </c>
      <c r="X706" s="3" t="s">
        <v>42</v>
      </c>
      <c r="Y706" s="3" t="s">
        <v>42</v>
      </c>
      <c r="Z706" s="3" t="s">
        <v>174</v>
      </c>
      <c r="AA706" s="3" t="s">
        <v>5829</v>
      </c>
      <c r="AB706" s="3" t="s">
        <v>5830</v>
      </c>
      <c r="AC706" s="3" t="s">
        <v>176</v>
      </c>
      <c r="AD706" s="3" t="s">
        <v>42</v>
      </c>
      <c r="AE706" s="5" t="s">
        <v>42</v>
      </c>
      <c r="AF706" s="3" t="s">
        <v>60</v>
      </c>
      <c r="AG706" s="5" t="s">
        <v>5828</v>
      </c>
      <c r="AH706" s="3" t="s">
        <v>61</v>
      </c>
      <c r="AI706" s="3" t="s">
        <v>61</v>
      </c>
      <c r="AJ706" s="3" t="s">
        <v>42</v>
      </c>
      <c r="AK706" s="3" t="s">
        <v>42</v>
      </c>
      <c r="AL706" s="29">
        <v>45642</v>
      </c>
      <c r="AM706" s="5" t="s">
        <v>42</v>
      </c>
      <c r="AN706" s="9" t="str">
        <f>HYPERLINK("https://my.pitchbook.com?p=319185-10P", "View People Online")</f>
        <v>View People Online</v>
      </c>
    </row>
    <row r="707" spans="1:40" x14ac:dyDescent="0.2">
      <c r="A707" s="2" t="s">
        <v>5831</v>
      </c>
      <c r="B707" s="2" t="s">
        <v>5832</v>
      </c>
      <c r="C707" s="2" t="s">
        <v>42</v>
      </c>
      <c r="D707" s="2" t="s">
        <v>42</v>
      </c>
      <c r="E707" s="2" t="s">
        <v>5831</v>
      </c>
      <c r="F707" s="2" t="s">
        <v>5833</v>
      </c>
      <c r="G707" s="2" t="s">
        <v>5834</v>
      </c>
      <c r="H707" s="2" t="s">
        <v>42</v>
      </c>
      <c r="I707" s="2" t="s">
        <v>46</v>
      </c>
      <c r="J707" s="2" t="s">
        <v>47</v>
      </c>
      <c r="K707" s="2" t="s">
        <v>5835</v>
      </c>
      <c r="L707" s="2" t="s">
        <v>111</v>
      </c>
      <c r="M707" s="8" t="str">
        <f>HYPERLINK("http://www.fv.academy", "www.fv.academy")</f>
        <v>www.fv.academy</v>
      </c>
      <c r="N707" s="2" t="s">
        <v>210</v>
      </c>
      <c r="O707" s="2" t="s">
        <v>42</v>
      </c>
      <c r="P707" s="2" t="s">
        <v>5836</v>
      </c>
      <c r="Q707" s="2" t="s">
        <v>42</v>
      </c>
      <c r="R707" s="16" t="s">
        <v>42</v>
      </c>
      <c r="S707" s="16">
        <v>1</v>
      </c>
      <c r="T707" s="16">
        <v>1</v>
      </c>
      <c r="U707" s="16" t="s">
        <v>42</v>
      </c>
      <c r="V707" s="16" t="s">
        <v>42</v>
      </c>
      <c r="W707" s="4" t="s">
        <v>5837</v>
      </c>
      <c r="X707" s="2" t="s">
        <v>42</v>
      </c>
      <c r="Y707" s="2" t="s">
        <v>42</v>
      </c>
      <c r="Z707" s="2" t="s">
        <v>4635</v>
      </c>
      <c r="AA707" s="2" t="s">
        <v>5838</v>
      </c>
      <c r="AB707" s="2" t="s">
        <v>5839</v>
      </c>
      <c r="AC707" s="2" t="s">
        <v>4637</v>
      </c>
      <c r="AD707" s="2" t="s">
        <v>5840</v>
      </c>
      <c r="AE707" s="4" t="s">
        <v>5841</v>
      </c>
      <c r="AF707" s="2" t="s">
        <v>60</v>
      </c>
      <c r="AG707" s="4" t="s">
        <v>42</v>
      </c>
      <c r="AH707" s="2" t="s">
        <v>61</v>
      </c>
      <c r="AI707" s="2" t="s">
        <v>61</v>
      </c>
      <c r="AJ707" s="2" t="s">
        <v>42</v>
      </c>
      <c r="AK707" s="2" t="s">
        <v>42</v>
      </c>
      <c r="AL707" s="28">
        <v>45723</v>
      </c>
      <c r="AM707" s="4" t="s">
        <v>42</v>
      </c>
      <c r="AN707" s="8" t="str">
        <f>HYPERLINK("https://my.pitchbook.com?p=436947-04P", "View People Online")</f>
        <v>View People Online</v>
      </c>
    </row>
    <row r="708" spans="1:40" x14ac:dyDescent="0.2">
      <c r="A708" s="3" t="s">
        <v>5842</v>
      </c>
      <c r="B708" s="3" t="s">
        <v>5843</v>
      </c>
      <c r="C708" s="3" t="s">
        <v>42</v>
      </c>
      <c r="D708" s="3" t="s">
        <v>42</v>
      </c>
      <c r="E708" s="3" t="s">
        <v>5842</v>
      </c>
      <c r="F708" s="3" t="s">
        <v>5844</v>
      </c>
      <c r="G708" s="3" t="s">
        <v>5845</v>
      </c>
      <c r="H708" s="3" t="s">
        <v>42</v>
      </c>
      <c r="I708" s="3" t="s">
        <v>46</v>
      </c>
      <c r="J708" s="3" t="s">
        <v>47</v>
      </c>
      <c r="K708" s="3" t="s">
        <v>5846</v>
      </c>
      <c r="L708" s="3" t="s">
        <v>111</v>
      </c>
      <c r="M708" s="9" t="str">
        <f>HYPERLINK("http://www.bodymastersksa.com", "www.bodymastersksa.com")</f>
        <v>www.bodymastersksa.com</v>
      </c>
      <c r="N708" s="3" t="s">
        <v>210</v>
      </c>
      <c r="O708" s="3" t="s">
        <v>42</v>
      </c>
      <c r="P708" s="3" t="s">
        <v>5847</v>
      </c>
      <c r="Q708" s="3" t="s">
        <v>5848</v>
      </c>
      <c r="R708" s="17" t="s">
        <v>42</v>
      </c>
      <c r="S708" s="17">
        <v>1</v>
      </c>
      <c r="T708" s="17">
        <v>1</v>
      </c>
      <c r="U708" s="17" t="s">
        <v>42</v>
      </c>
      <c r="V708" s="17" t="s">
        <v>42</v>
      </c>
      <c r="W708" s="5" t="s">
        <v>5849</v>
      </c>
      <c r="X708" s="3" t="s">
        <v>5850</v>
      </c>
      <c r="Y708" s="9" t="str">
        <f>HYPERLINK("http://sa.linkedin.com/in/wael-el-merhabi-03a81832", "http://sa.linkedin.com/in/wael-el-merhabi-03a81832")</f>
        <v>http://sa.linkedin.com/in/wael-el-merhabi-03a81832</v>
      </c>
      <c r="Z708" s="3" t="s">
        <v>55</v>
      </c>
      <c r="AA708" s="3" t="s">
        <v>5851</v>
      </c>
      <c r="AB708" s="3" t="s">
        <v>5852</v>
      </c>
      <c r="AC708" s="3" t="s">
        <v>58</v>
      </c>
      <c r="AD708" s="3" t="s">
        <v>42</v>
      </c>
      <c r="AE708" s="5" t="s">
        <v>4951</v>
      </c>
      <c r="AF708" s="3" t="s">
        <v>60</v>
      </c>
      <c r="AG708" s="5" t="s">
        <v>42</v>
      </c>
      <c r="AH708" s="3" t="s">
        <v>61</v>
      </c>
      <c r="AI708" s="3" t="s">
        <v>61</v>
      </c>
      <c r="AJ708" s="3" t="s">
        <v>42</v>
      </c>
      <c r="AK708" s="3" t="s">
        <v>42</v>
      </c>
      <c r="AL708" s="29">
        <v>45401</v>
      </c>
      <c r="AM708" s="5" t="s">
        <v>42</v>
      </c>
      <c r="AN708" s="9" t="str">
        <f>HYPERLINK("https://my.pitchbook.com?p=135164-08P", "View People Online")</f>
        <v>View People Online</v>
      </c>
    </row>
    <row r="709" spans="1:40" x14ac:dyDescent="0.2">
      <c r="A709" s="2" t="s">
        <v>5853</v>
      </c>
      <c r="B709" s="2" t="s">
        <v>5843</v>
      </c>
      <c r="C709" s="2" t="s">
        <v>42</v>
      </c>
      <c r="D709" s="2" t="s">
        <v>42</v>
      </c>
      <c r="E709" s="2" t="s">
        <v>5853</v>
      </c>
      <c r="F709" s="2" t="s">
        <v>5844</v>
      </c>
      <c r="G709" s="2" t="s">
        <v>5845</v>
      </c>
      <c r="H709" s="2" t="s">
        <v>42</v>
      </c>
      <c r="I709" s="2" t="s">
        <v>46</v>
      </c>
      <c r="J709" s="2" t="s">
        <v>47</v>
      </c>
      <c r="K709" s="2" t="s">
        <v>5854</v>
      </c>
      <c r="L709" s="2" t="s">
        <v>111</v>
      </c>
      <c r="M709" s="8" t="str">
        <f>HYPERLINK("http://www.sportclubs.com.sa", "www.sportclubs.com.sa")</f>
        <v>www.sportclubs.com.sa</v>
      </c>
      <c r="N709" s="2" t="s">
        <v>210</v>
      </c>
      <c r="O709" s="2" t="s">
        <v>42</v>
      </c>
      <c r="P709" s="2" t="s">
        <v>5855</v>
      </c>
      <c r="Q709" s="2" t="s">
        <v>5848</v>
      </c>
      <c r="R709" s="16" t="s">
        <v>42</v>
      </c>
      <c r="S709" s="16">
        <v>1</v>
      </c>
      <c r="T709" s="16">
        <v>1</v>
      </c>
      <c r="U709" s="16" t="s">
        <v>42</v>
      </c>
      <c r="V709" s="16" t="s">
        <v>42</v>
      </c>
      <c r="W709" s="4" t="s">
        <v>5849</v>
      </c>
      <c r="X709" s="2" t="s">
        <v>5856</v>
      </c>
      <c r="Y709" s="8" t="str">
        <f>HYPERLINK("http://linkedin.com/in/wael-el-merhabi-03a81832/", "http://linkedin.com/in/wael-el-merhabi-03a81832/")</f>
        <v>http://linkedin.com/in/wael-el-merhabi-03a81832/</v>
      </c>
      <c r="Z709" s="2" t="s">
        <v>55</v>
      </c>
      <c r="AA709" s="2" t="s">
        <v>5857</v>
      </c>
      <c r="AB709" s="2" t="s">
        <v>5858</v>
      </c>
      <c r="AC709" s="2" t="s">
        <v>58</v>
      </c>
      <c r="AD709" s="2" t="s">
        <v>42</v>
      </c>
      <c r="AE709" s="4" t="s">
        <v>42</v>
      </c>
      <c r="AF709" s="2" t="s">
        <v>60</v>
      </c>
      <c r="AG709" s="4" t="s">
        <v>42</v>
      </c>
      <c r="AH709" s="2" t="s">
        <v>61</v>
      </c>
      <c r="AI709" s="2" t="s">
        <v>61</v>
      </c>
      <c r="AJ709" s="2" t="s">
        <v>42</v>
      </c>
      <c r="AK709" s="2" t="s">
        <v>42</v>
      </c>
      <c r="AL709" s="28">
        <v>45824</v>
      </c>
      <c r="AM709" s="4" t="s">
        <v>42</v>
      </c>
      <c r="AN709" s="8" t="str">
        <f>HYPERLINK("https://my.pitchbook.com?p=451126-00P", "View People Online")</f>
        <v>View People Online</v>
      </c>
    </row>
    <row r="710" spans="1:40" x14ac:dyDescent="0.2">
      <c r="A710" s="3" t="s">
        <v>5859</v>
      </c>
      <c r="B710" s="3" t="s">
        <v>5860</v>
      </c>
      <c r="C710" s="3" t="s">
        <v>42</v>
      </c>
      <c r="D710" s="3" t="s">
        <v>42</v>
      </c>
      <c r="E710" s="3" t="s">
        <v>5859</v>
      </c>
      <c r="F710" s="3" t="s">
        <v>4118</v>
      </c>
      <c r="G710" s="3" t="s">
        <v>5845</v>
      </c>
      <c r="H710" s="3" t="s">
        <v>5861</v>
      </c>
      <c r="I710" s="3" t="s">
        <v>46</v>
      </c>
      <c r="J710" s="3" t="s">
        <v>47</v>
      </c>
      <c r="K710" s="3" t="s">
        <v>3679</v>
      </c>
      <c r="L710" s="3" t="s">
        <v>111</v>
      </c>
      <c r="M710" s="9" t="str">
        <f>HYPERLINK("http://www.extra.com", "www.extra.com")</f>
        <v>www.extra.com</v>
      </c>
      <c r="N710" s="3" t="s">
        <v>534</v>
      </c>
      <c r="O710" s="3" t="s">
        <v>42</v>
      </c>
      <c r="P710" s="3" t="s">
        <v>5862</v>
      </c>
      <c r="Q710" s="3" t="s">
        <v>42</v>
      </c>
      <c r="R710" s="17" t="s">
        <v>42</v>
      </c>
      <c r="S710" s="17">
        <v>1</v>
      </c>
      <c r="T710" s="17">
        <v>1</v>
      </c>
      <c r="U710" s="17" t="s">
        <v>42</v>
      </c>
      <c r="V710" s="17" t="s">
        <v>42</v>
      </c>
      <c r="W710" s="5" t="s">
        <v>3681</v>
      </c>
      <c r="X710" s="3" t="s">
        <v>5863</v>
      </c>
      <c r="Y710" s="9" t="str">
        <f>HYPERLINK("http://linkedin.com/in/wael-khalil-7693891/", "http://linkedin.com/in/wael-khalil-7693891/")</f>
        <v>http://linkedin.com/in/wael-khalil-7693891/</v>
      </c>
      <c r="Z710" s="3" t="s">
        <v>595</v>
      </c>
      <c r="AA710" s="3" t="s">
        <v>3682</v>
      </c>
      <c r="AB710" s="3" t="s">
        <v>3683</v>
      </c>
      <c r="AC710" s="3" t="s">
        <v>598</v>
      </c>
      <c r="AD710" s="3" t="s">
        <v>42</v>
      </c>
      <c r="AE710" s="5" t="s">
        <v>599</v>
      </c>
      <c r="AF710" s="3" t="s">
        <v>60</v>
      </c>
      <c r="AG710" s="5" t="s">
        <v>3684</v>
      </c>
      <c r="AH710" s="3" t="s">
        <v>61</v>
      </c>
      <c r="AI710" s="3" t="s">
        <v>61</v>
      </c>
      <c r="AJ710" s="3" t="s">
        <v>42</v>
      </c>
      <c r="AK710" s="3" t="s">
        <v>42</v>
      </c>
      <c r="AL710" s="29">
        <v>45749</v>
      </c>
      <c r="AM710" s="5" t="s">
        <v>42</v>
      </c>
      <c r="AN710" s="9" t="str">
        <f>HYPERLINK("https://my.pitchbook.com?p=342012-52P", "View People Online")</f>
        <v>View People Online</v>
      </c>
    </row>
    <row r="711" spans="1:40" x14ac:dyDescent="0.2">
      <c r="A711" s="2" t="s">
        <v>5864</v>
      </c>
      <c r="B711" s="2" t="s">
        <v>5865</v>
      </c>
      <c r="C711" s="2" t="s">
        <v>42</v>
      </c>
      <c r="D711" s="2" t="s">
        <v>42</v>
      </c>
      <c r="E711" s="2" t="s">
        <v>5864</v>
      </c>
      <c r="F711" s="2" t="s">
        <v>4101</v>
      </c>
      <c r="G711" s="2" t="s">
        <v>5866</v>
      </c>
      <c r="H711" s="2" t="s">
        <v>42</v>
      </c>
      <c r="I711" s="2" t="s">
        <v>46</v>
      </c>
      <c r="J711" s="2" t="s">
        <v>47</v>
      </c>
      <c r="K711" s="2" t="s">
        <v>5867</v>
      </c>
      <c r="L711" s="2" t="s">
        <v>111</v>
      </c>
      <c r="M711" s="8" t="str">
        <f>HYPERLINK("http://www.mufeed.com", "www.mufeed.com")</f>
        <v>www.mufeed.com</v>
      </c>
      <c r="N711" s="2" t="s">
        <v>5868</v>
      </c>
      <c r="O711" s="2" t="s">
        <v>42</v>
      </c>
      <c r="P711" s="2" t="s">
        <v>5869</v>
      </c>
      <c r="Q711" s="2" t="s">
        <v>42</v>
      </c>
      <c r="R711" s="16">
        <v>1</v>
      </c>
      <c r="S711" s="16">
        <v>1</v>
      </c>
      <c r="T711" s="16">
        <v>1</v>
      </c>
      <c r="U711" s="16" t="s">
        <v>42</v>
      </c>
      <c r="V711" s="16" t="s">
        <v>42</v>
      </c>
      <c r="W711" s="4" t="s">
        <v>5870</v>
      </c>
      <c r="X711" s="2" t="s">
        <v>5871</v>
      </c>
      <c r="Y711" s="8" t="str">
        <f>HYPERLINK("http://linkedin.com/in/eng-wafi-alqahtani-6341b967", "http://linkedin.com/in/eng-wafi-alqahtani-6341b967")</f>
        <v>http://linkedin.com/in/eng-wafi-alqahtani-6341b967</v>
      </c>
      <c r="Z711" s="2" t="s">
        <v>55</v>
      </c>
      <c r="AA711" s="2" t="s">
        <v>5872</v>
      </c>
      <c r="AB711" s="2" t="s">
        <v>5873</v>
      </c>
      <c r="AC711" s="2" t="s">
        <v>58</v>
      </c>
      <c r="AD711" s="2" t="s">
        <v>42</v>
      </c>
      <c r="AE711" s="4" t="s">
        <v>5874</v>
      </c>
      <c r="AF711" s="2" t="s">
        <v>60</v>
      </c>
      <c r="AG711" s="4" t="s">
        <v>42</v>
      </c>
      <c r="AH711" s="2" t="s">
        <v>61</v>
      </c>
      <c r="AI711" s="2" t="s">
        <v>61</v>
      </c>
      <c r="AJ711" s="2" t="s">
        <v>42</v>
      </c>
      <c r="AK711" s="2" t="s">
        <v>42</v>
      </c>
      <c r="AL711" s="28">
        <v>45625</v>
      </c>
      <c r="AM711" s="4" t="s">
        <v>42</v>
      </c>
      <c r="AN711" s="8" t="str">
        <f>HYPERLINK("https://my.pitchbook.com?p=423101-44P", "View People Online")</f>
        <v>View People Online</v>
      </c>
    </row>
    <row r="712" spans="1:40" x14ac:dyDescent="0.2">
      <c r="A712" s="3" t="s">
        <v>5875</v>
      </c>
      <c r="B712" s="3" t="s">
        <v>5876</v>
      </c>
      <c r="C712" s="3" t="s">
        <v>42</v>
      </c>
      <c r="D712" s="3" t="s">
        <v>42</v>
      </c>
      <c r="E712" s="3" t="s">
        <v>5875</v>
      </c>
      <c r="F712" s="3" t="s">
        <v>5877</v>
      </c>
      <c r="G712" s="3" t="s">
        <v>5878</v>
      </c>
      <c r="H712" s="3" t="s">
        <v>42</v>
      </c>
      <c r="I712" s="3" t="s">
        <v>46</v>
      </c>
      <c r="J712" s="3" t="s">
        <v>47</v>
      </c>
      <c r="K712" s="3" t="s">
        <v>1394</v>
      </c>
      <c r="L712" s="3" t="s">
        <v>111</v>
      </c>
      <c r="M712" s="9" t="str">
        <f>HYPERLINK("http://www.cherry.com.sa", "www.cherry.com.sa")</f>
        <v>www.cherry.com.sa</v>
      </c>
      <c r="N712" s="3" t="s">
        <v>534</v>
      </c>
      <c r="O712" s="3" t="s">
        <v>42</v>
      </c>
      <c r="P712" s="3" t="s">
        <v>5879</v>
      </c>
      <c r="Q712" s="3" t="s">
        <v>42</v>
      </c>
      <c r="R712" s="17" t="s">
        <v>42</v>
      </c>
      <c r="S712" s="17">
        <v>1</v>
      </c>
      <c r="T712" s="17">
        <v>1</v>
      </c>
      <c r="U712" s="17" t="s">
        <v>42</v>
      </c>
      <c r="V712" s="17" t="s">
        <v>42</v>
      </c>
      <c r="W712" s="5" t="s">
        <v>1396</v>
      </c>
      <c r="X712" s="3" t="s">
        <v>5880</v>
      </c>
      <c r="Y712" s="9" t="str">
        <f>HYPERLINK("http://linkedin.com/in/wahab-khattak-325344a/", "http://linkedin.com/in/wahab-khattak-325344a/")</f>
        <v>http://linkedin.com/in/wahab-khattak-325344a/</v>
      </c>
      <c r="Z712" s="3" t="s">
        <v>55</v>
      </c>
      <c r="AA712" s="3" t="s">
        <v>1398</v>
      </c>
      <c r="AB712" s="3" t="s">
        <v>1399</v>
      </c>
      <c r="AC712" s="3" t="s">
        <v>58</v>
      </c>
      <c r="AD712" s="3" t="s">
        <v>42</v>
      </c>
      <c r="AE712" s="5" t="s">
        <v>1400</v>
      </c>
      <c r="AF712" s="3" t="s">
        <v>60</v>
      </c>
      <c r="AG712" s="5" t="s">
        <v>42</v>
      </c>
      <c r="AH712" s="3" t="s">
        <v>61</v>
      </c>
      <c r="AI712" s="3" t="s">
        <v>61</v>
      </c>
      <c r="AJ712" s="3" t="s">
        <v>42</v>
      </c>
      <c r="AK712" s="3" t="s">
        <v>42</v>
      </c>
      <c r="AL712" s="29">
        <v>45960</v>
      </c>
      <c r="AM712" s="5" t="s">
        <v>42</v>
      </c>
      <c r="AN712" s="9" t="str">
        <f>HYPERLINK("https://my.pitchbook.com?p=435115-36P", "View People Online")</f>
        <v>View People Online</v>
      </c>
    </row>
    <row r="713" spans="1:40" x14ac:dyDescent="0.2">
      <c r="A713" s="2" t="s">
        <v>5881</v>
      </c>
      <c r="B713" s="2" t="s">
        <v>5882</v>
      </c>
      <c r="C713" s="2" t="s">
        <v>42</v>
      </c>
      <c r="D713" s="2" t="s">
        <v>42</v>
      </c>
      <c r="E713" s="2" t="s">
        <v>5881</v>
      </c>
      <c r="F713" s="2" t="s">
        <v>5883</v>
      </c>
      <c r="G713" s="2" t="s">
        <v>5884</v>
      </c>
      <c r="H713" s="2" t="s">
        <v>5885</v>
      </c>
      <c r="I713" s="2" t="s">
        <v>46</v>
      </c>
      <c r="J713" s="2" t="s">
        <v>47</v>
      </c>
      <c r="K713" s="2" t="s">
        <v>5886</v>
      </c>
      <c r="L713" s="2" t="s">
        <v>111</v>
      </c>
      <c r="M713" s="8" t="str">
        <f>HYPERLINK("http://www.stp.com.sa", "www.stp.com.sa")</f>
        <v>www.stp.com.sa</v>
      </c>
      <c r="N713" s="2" t="s">
        <v>210</v>
      </c>
      <c r="O713" s="2" t="s">
        <v>42</v>
      </c>
      <c r="P713" s="2" t="s">
        <v>5887</v>
      </c>
      <c r="Q713" s="2" t="s">
        <v>42</v>
      </c>
      <c r="R713" s="16" t="s">
        <v>42</v>
      </c>
      <c r="S713" s="16">
        <v>1</v>
      </c>
      <c r="T713" s="16">
        <v>1</v>
      </c>
      <c r="U713" s="16" t="s">
        <v>42</v>
      </c>
      <c r="V713" s="16" t="s">
        <v>42</v>
      </c>
      <c r="W713" s="4" t="s">
        <v>5888</v>
      </c>
      <c r="X713" s="2" t="s">
        <v>5889</v>
      </c>
      <c r="Y713" s="8" t="str">
        <f>HYPERLINK("http://linkedin.com/in/wailaljaaidi/", "http://linkedin.com/in/wailaljaaidi/")</f>
        <v>http://linkedin.com/in/wailaljaaidi/</v>
      </c>
      <c r="Z713" s="2" t="s">
        <v>55</v>
      </c>
      <c r="AA713" s="2" t="s">
        <v>5890</v>
      </c>
      <c r="AB713" s="2" t="s">
        <v>42</v>
      </c>
      <c r="AC713" s="2" t="s">
        <v>58</v>
      </c>
      <c r="AD713" s="2" t="s">
        <v>42</v>
      </c>
      <c r="AE713" s="4" t="s">
        <v>5891</v>
      </c>
      <c r="AF713" s="2" t="s">
        <v>60</v>
      </c>
      <c r="AG713" s="4" t="s">
        <v>5892</v>
      </c>
      <c r="AH713" s="2" t="s">
        <v>61</v>
      </c>
      <c r="AI713" s="2" t="s">
        <v>61</v>
      </c>
      <c r="AJ713" s="2" t="s">
        <v>42</v>
      </c>
      <c r="AK713" s="2" t="s">
        <v>42</v>
      </c>
      <c r="AL713" s="28">
        <v>45685</v>
      </c>
      <c r="AM713" s="4" t="s">
        <v>42</v>
      </c>
      <c r="AN713" s="8" t="str">
        <f>HYPERLINK("https://my.pitchbook.com?p=329132-26P", "View People Online")</f>
        <v>View People Online</v>
      </c>
    </row>
    <row r="714" spans="1:40" x14ac:dyDescent="0.2">
      <c r="A714" s="3" t="s">
        <v>5893</v>
      </c>
      <c r="B714" s="3" t="s">
        <v>5894</v>
      </c>
      <c r="C714" s="3" t="s">
        <v>42</v>
      </c>
      <c r="D714" s="3" t="s">
        <v>42</v>
      </c>
      <c r="E714" s="3" t="s">
        <v>5893</v>
      </c>
      <c r="F714" s="3" t="s">
        <v>650</v>
      </c>
      <c r="G714" s="3" t="s">
        <v>5895</v>
      </c>
      <c r="H714" s="3" t="s">
        <v>3922</v>
      </c>
      <c r="I714" s="3" t="s">
        <v>46</v>
      </c>
      <c r="J714" s="3" t="s">
        <v>47</v>
      </c>
      <c r="K714" s="3" t="s">
        <v>5549</v>
      </c>
      <c r="L714" s="3" t="s">
        <v>111</v>
      </c>
      <c r="M714" s="9" t="str">
        <f>HYPERLINK("http://www.savola.com", "www.savola.com")</f>
        <v>www.savola.com</v>
      </c>
      <c r="N714" s="3" t="s">
        <v>534</v>
      </c>
      <c r="O714" s="3" t="s">
        <v>42</v>
      </c>
      <c r="P714" s="3" t="s">
        <v>5896</v>
      </c>
      <c r="Q714" s="3" t="s">
        <v>42</v>
      </c>
      <c r="R714" s="17" t="s">
        <v>42</v>
      </c>
      <c r="S714" s="17">
        <v>1</v>
      </c>
      <c r="T714" s="17">
        <v>1</v>
      </c>
      <c r="U714" s="17" t="s">
        <v>42</v>
      </c>
      <c r="V714" s="17" t="s">
        <v>42</v>
      </c>
      <c r="W714" s="5" t="s">
        <v>5551</v>
      </c>
      <c r="X714" s="3" t="s">
        <v>5897</v>
      </c>
      <c r="Y714" s="3" t="s">
        <v>42</v>
      </c>
      <c r="Z714" s="3" t="s">
        <v>174</v>
      </c>
      <c r="AA714" s="3" t="s">
        <v>5552</v>
      </c>
      <c r="AB714" s="3" t="s">
        <v>5553</v>
      </c>
      <c r="AC714" s="3" t="s">
        <v>176</v>
      </c>
      <c r="AD714" s="3" t="s">
        <v>5554</v>
      </c>
      <c r="AE714" s="5" t="s">
        <v>42</v>
      </c>
      <c r="AF714" s="3" t="s">
        <v>60</v>
      </c>
      <c r="AG714" s="5" t="s">
        <v>42</v>
      </c>
      <c r="AH714" s="3" t="s">
        <v>61</v>
      </c>
      <c r="AI714" s="3" t="s">
        <v>61</v>
      </c>
      <c r="AJ714" s="3" t="s">
        <v>42</v>
      </c>
      <c r="AK714" s="3" t="s">
        <v>42</v>
      </c>
      <c r="AL714" s="29">
        <v>45777</v>
      </c>
      <c r="AM714" s="5" t="s">
        <v>42</v>
      </c>
      <c r="AN714" s="9" t="str">
        <f>HYPERLINK("https://my.pitchbook.com?p=254887-66P", "View People Online")</f>
        <v>View People Online</v>
      </c>
    </row>
    <row r="715" spans="1:40" x14ac:dyDescent="0.2">
      <c r="A715" s="2" t="s">
        <v>5898</v>
      </c>
      <c r="B715" s="2" t="s">
        <v>5899</v>
      </c>
      <c r="C715" s="2" t="s">
        <v>42</v>
      </c>
      <c r="D715" s="2" t="s">
        <v>42</v>
      </c>
      <c r="E715" s="2" t="s">
        <v>5898</v>
      </c>
      <c r="F715" s="2" t="s">
        <v>5900</v>
      </c>
      <c r="G715" s="2" t="s">
        <v>1078</v>
      </c>
      <c r="H715" s="2" t="s">
        <v>42</v>
      </c>
      <c r="I715" s="2" t="s">
        <v>46</v>
      </c>
      <c r="J715" s="2" t="s">
        <v>47</v>
      </c>
      <c r="K715" s="2" t="s">
        <v>1983</v>
      </c>
      <c r="L715" s="2" t="s">
        <v>111</v>
      </c>
      <c r="M715" s="8" t="str">
        <f>HYPERLINK("http://www.drc.net.sa", "www.drc.net.sa")</f>
        <v>www.drc.net.sa</v>
      </c>
      <c r="N715" s="2" t="s">
        <v>5901</v>
      </c>
      <c r="O715" s="2" t="s">
        <v>42</v>
      </c>
      <c r="P715" s="2" t="s">
        <v>5902</v>
      </c>
      <c r="Q715" s="2" t="s">
        <v>42</v>
      </c>
      <c r="R715" s="16" t="s">
        <v>42</v>
      </c>
      <c r="S715" s="16">
        <v>1</v>
      </c>
      <c r="T715" s="16">
        <v>1</v>
      </c>
      <c r="U715" s="16" t="s">
        <v>42</v>
      </c>
      <c r="V715" s="16" t="s">
        <v>42</v>
      </c>
      <c r="W715" s="4" t="s">
        <v>1985</v>
      </c>
      <c r="X715" s="2" t="s">
        <v>5903</v>
      </c>
      <c r="Y715" s="8" t="str">
        <f>HYPERLINK("http://linkedin.com/in/waleed-alsuliman-8b4a1b55/", "http://linkedin.com/in/waleed-alsuliman-8b4a1b55/")</f>
        <v>http://linkedin.com/in/waleed-alsuliman-8b4a1b55/</v>
      </c>
      <c r="Z715" s="2" t="s">
        <v>55</v>
      </c>
      <c r="AA715" s="2" t="s">
        <v>1987</v>
      </c>
      <c r="AB715" s="2" t="s">
        <v>1988</v>
      </c>
      <c r="AC715" s="2" t="s">
        <v>58</v>
      </c>
      <c r="AD715" s="2" t="s">
        <v>42</v>
      </c>
      <c r="AE715" s="4" t="s">
        <v>42</v>
      </c>
      <c r="AF715" s="2" t="s">
        <v>60</v>
      </c>
      <c r="AG715" s="4" t="s">
        <v>42</v>
      </c>
      <c r="AH715" s="2" t="s">
        <v>61</v>
      </c>
      <c r="AI715" s="2" t="s">
        <v>61</v>
      </c>
      <c r="AJ715" s="2" t="s">
        <v>42</v>
      </c>
      <c r="AK715" s="2" t="s">
        <v>42</v>
      </c>
      <c r="AL715" s="28">
        <v>45839</v>
      </c>
      <c r="AM715" s="4">
        <v>1976</v>
      </c>
      <c r="AN715" s="8" t="str">
        <f>HYPERLINK("https://my.pitchbook.com?p=426153-70P", "View People Online")</f>
        <v>View People Online</v>
      </c>
    </row>
    <row r="716" spans="1:40" x14ac:dyDescent="0.2">
      <c r="A716" s="3" t="s">
        <v>5904</v>
      </c>
      <c r="B716" s="3" t="s">
        <v>5905</v>
      </c>
      <c r="C716" s="3" t="s">
        <v>42</v>
      </c>
      <c r="D716" s="3" t="s">
        <v>42</v>
      </c>
      <c r="E716" s="3" t="s">
        <v>5904</v>
      </c>
      <c r="F716" s="3" t="s">
        <v>5906</v>
      </c>
      <c r="G716" s="3" t="s">
        <v>1078</v>
      </c>
      <c r="H716" s="3" t="s">
        <v>4689</v>
      </c>
      <c r="I716" s="3" t="s">
        <v>46</v>
      </c>
      <c r="J716" s="3" t="s">
        <v>47</v>
      </c>
      <c r="K716" s="3" t="s">
        <v>2119</v>
      </c>
      <c r="L716" s="3" t="s">
        <v>111</v>
      </c>
      <c r="M716" s="9" t="str">
        <f>HYPERLINK("http://www.saudire.net", "www.saudire.net")</f>
        <v>www.saudire.net</v>
      </c>
      <c r="N716" s="3" t="s">
        <v>534</v>
      </c>
      <c r="O716" s="3" t="s">
        <v>42</v>
      </c>
      <c r="P716" s="3" t="s">
        <v>5907</v>
      </c>
      <c r="Q716" s="3" t="s">
        <v>42</v>
      </c>
      <c r="R716" s="17" t="s">
        <v>42</v>
      </c>
      <c r="S716" s="17">
        <v>1</v>
      </c>
      <c r="T716" s="17">
        <v>1</v>
      </c>
      <c r="U716" s="17" t="s">
        <v>42</v>
      </c>
      <c r="V716" s="17" t="s">
        <v>42</v>
      </c>
      <c r="W716" s="5" t="s">
        <v>2121</v>
      </c>
      <c r="X716" s="3" t="s">
        <v>42</v>
      </c>
      <c r="Y716" s="9" t="str">
        <f>HYPERLINK("http://linkedin.com/in/waleed-bin-ateeq-0049b660/", "http://linkedin.com/in/waleed-bin-ateeq-0049b660/")</f>
        <v>http://linkedin.com/in/waleed-bin-ateeq-0049b660/</v>
      </c>
      <c r="Z716" s="3" t="s">
        <v>55</v>
      </c>
      <c r="AA716" s="3" t="s">
        <v>2122</v>
      </c>
      <c r="AB716" s="3" t="s">
        <v>2123</v>
      </c>
      <c r="AC716" s="3" t="s">
        <v>58</v>
      </c>
      <c r="AD716" s="3" t="s">
        <v>42</v>
      </c>
      <c r="AE716" s="5" t="s">
        <v>2124</v>
      </c>
      <c r="AF716" s="3" t="s">
        <v>60</v>
      </c>
      <c r="AG716" s="5" t="s">
        <v>2125</v>
      </c>
      <c r="AH716" s="3" t="s">
        <v>61</v>
      </c>
      <c r="AI716" s="3" t="s">
        <v>61</v>
      </c>
      <c r="AJ716" s="3" t="s">
        <v>42</v>
      </c>
      <c r="AK716" s="3" t="s">
        <v>42</v>
      </c>
      <c r="AL716" s="29">
        <v>45985</v>
      </c>
      <c r="AM716" s="5">
        <v>1982</v>
      </c>
      <c r="AN716" s="9" t="str">
        <f>HYPERLINK("https://my.pitchbook.com?p=416012-32P", "View People Online")</f>
        <v>View People Online</v>
      </c>
    </row>
    <row r="717" spans="1:40" x14ac:dyDescent="0.2">
      <c r="A717" s="2" t="s">
        <v>5908</v>
      </c>
      <c r="B717" s="2" t="s">
        <v>5909</v>
      </c>
      <c r="C717" s="2" t="s">
        <v>42</v>
      </c>
      <c r="D717" s="2" t="s">
        <v>42</v>
      </c>
      <c r="E717" s="2" t="s">
        <v>5908</v>
      </c>
      <c r="F717" s="2" t="s">
        <v>5910</v>
      </c>
      <c r="G717" s="2" t="s">
        <v>1078</v>
      </c>
      <c r="H717" s="2" t="s">
        <v>5911</v>
      </c>
      <c r="I717" s="2" t="s">
        <v>46</v>
      </c>
      <c r="J717" s="2" t="s">
        <v>47</v>
      </c>
      <c r="K717" s="2" t="s">
        <v>2401</v>
      </c>
      <c r="L717" s="2" t="s">
        <v>111</v>
      </c>
      <c r="M717" s="8" t="str">
        <f>HYPERLINK("http://www.ycc.sa", "www.ycc.sa")</f>
        <v>www.ycc.sa</v>
      </c>
      <c r="N717" s="2" t="s">
        <v>534</v>
      </c>
      <c r="O717" s="2" t="s">
        <v>42</v>
      </c>
      <c r="P717" s="2" t="s">
        <v>5912</v>
      </c>
      <c r="Q717" s="2" t="s">
        <v>42</v>
      </c>
      <c r="R717" s="16" t="s">
        <v>42</v>
      </c>
      <c r="S717" s="16">
        <v>1</v>
      </c>
      <c r="T717" s="16">
        <v>1</v>
      </c>
      <c r="U717" s="16" t="s">
        <v>42</v>
      </c>
      <c r="V717" s="16" t="s">
        <v>42</v>
      </c>
      <c r="W717" s="4" t="s">
        <v>2403</v>
      </c>
      <c r="X717" s="2" t="s">
        <v>5913</v>
      </c>
      <c r="Y717" s="8" t="str">
        <f>HYPERLINK("http://linkedin.com/in/waleed-bin-mayouf-93a144a6/?original_referer=www.google.com/&amp;originalsubdomain=sa", "http://linkedin.com/in/waleed-bin-mayouf-93a144a6/?original_referer=www.google.com/&amp;originalsubdomain=sa")</f>
        <v>http://linkedin.com/in/waleed-bin-mayouf-93a144a6/?original_referer=www.google.com/&amp;originalsubdomain=sa</v>
      </c>
      <c r="Z717" s="2" t="s">
        <v>174</v>
      </c>
      <c r="AA717" s="2" t="s">
        <v>2405</v>
      </c>
      <c r="AB717" s="2" t="s">
        <v>42</v>
      </c>
      <c r="AC717" s="2" t="s">
        <v>176</v>
      </c>
      <c r="AD717" s="2" t="s">
        <v>42</v>
      </c>
      <c r="AE717" s="4" t="s">
        <v>879</v>
      </c>
      <c r="AF717" s="2" t="s">
        <v>60</v>
      </c>
      <c r="AG717" s="4" t="s">
        <v>2406</v>
      </c>
      <c r="AH717" s="2" t="s">
        <v>61</v>
      </c>
      <c r="AI717" s="2" t="s">
        <v>61</v>
      </c>
      <c r="AJ717" s="2" t="s">
        <v>42</v>
      </c>
      <c r="AK717" s="2" t="s">
        <v>42</v>
      </c>
      <c r="AL717" s="28">
        <v>45922</v>
      </c>
      <c r="AM717" s="4" t="s">
        <v>42</v>
      </c>
      <c r="AN717" s="8" t="str">
        <f>HYPERLINK("https://my.pitchbook.com?p=401985-28P", "View People Online")</f>
        <v>View People Online</v>
      </c>
    </row>
    <row r="718" spans="1:40" x14ac:dyDescent="0.2">
      <c r="A718" s="3" t="s">
        <v>5914</v>
      </c>
      <c r="B718" s="3" t="s">
        <v>5915</v>
      </c>
      <c r="C718" s="3" t="s">
        <v>42</v>
      </c>
      <c r="D718" s="3" t="s">
        <v>42</v>
      </c>
      <c r="E718" s="3" t="s">
        <v>5914</v>
      </c>
      <c r="F718" s="3" t="s">
        <v>5916</v>
      </c>
      <c r="G718" s="3" t="s">
        <v>5917</v>
      </c>
      <c r="H718" s="3" t="s">
        <v>42</v>
      </c>
      <c r="I718" s="3" t="s">
        <v>46</v>
      </c>
      <c r="J718" s="3" t="s">
        <v>47</v>
      </c>
      <c r="K718" s="3" t="s">
        <v>2589</v>
      </c>
      <c r="L718" s="3" t="s">
        <v>111</v>
      </c>
      <c r="M718" s="9" t="str">
        <f>HYPERLINK("http://www.alqemam.com", "www.alqemam.com")</f>
        <v>www.alqemam.com</v>
      </c>
      <c r="N718" s="3" t="s">
        <v>534</v>
      </c>
      <c r="O718" s="3" t="s">
        <v>42</v>
      </c>
      <c r="P718" s="3" t="s">
        <v>5918</v>
      </c>
      <c r="Q718" s="3" t="s">
        <v>4212</v>
      </c>
      <c r="R718" s="17" t="s">
        <v>42</v>
      </c>
      <c r="S718" s="17">
        <v>1</v>
      </c>
      <c r="T718" s="17">
        <v>1</v>
      </c>
      <c r="U718" s="17" t="s">
        <v>42</v>
      </c>
      <c r="V718" s="17" t="s">
        <v>42</v>
      </c>
      <c r="W718" s="5" t="s">
        <v>2591</v>
      </c>
      <c r="X718" s="3" t="s">
        <v>5919</v>
      </c>
      <c r="Y718" s="3" t="s">
        <v>42</v>
      </c>
      <c r="Z718" s="3" t="s">
        <v>2592</v>
      </c>
      <c r="AA718" s="3" t="s">
        <v>2593</v>
      </c>
      <c r="AB718" s="3" t="s">
        <v>42</v>
      </c>
      <c r="AC718" s="3" t="s">
        <v>2594</v>
      </c>
      <c r="AD718" s="3" t="s">
        <v>42</v>
      </c>
      <c r="AE718" s="5" t="s">
        <v>42</v>
      </c>
      <c r="AF718" s="3" t="s">
        <v>60</v>
      </c>
      <c r="AG718" s="5" t="s">
        <v>42</v>
      </c>
      <c r="AH718" s="3" t="s">
        <v>61</v>
      </c>
      <c r="AI718" s="3" t="s">
        <v>61</v>
      </c>
      <c r="AJ718" s="3" t="s">
        <v>42</v>
      </c>
      <c r="AK718" s="3" t="s">
        <v>42</v>
      </c>
      <c r="AL718" s="29">
        <v>45700</v>
      </c>
      <c r="AM718" s="5" t="s">
        <v>42</v>
      </c>
      <c r="AN718" s="9" t="str">
        <f>HYPERLINK("https://my.pitchbook.com?p=334341-64P", "View People Online")</f>
        <v>View People Online</v>
      </c>
    </row>
    <row r="719" spans="1:40" x14ac:dyDescent="0.2">
      <c r="A719" s="2" t="s">
        <v>5920</v>
      </c>
      <c r="B719" s="2" t="s">
        <v>5921</v>
      </c>
      <c r="C719" s="2" t="s">
        <v>42</v>
      </c>
      <c r="D719" s="2" t="s">
        <v>42</v>
      </c>
      <c r="E719" s="2" t="s">
        <v>5920</v>
      </c>
      <c r="F719" s="2" t="s">
        <v>5922</v>
      </c>
      <c r="G719" s="2" t="s">
        <v>5923</v>
      </c>
      <c r="H719" s="2" t="s">
        <v>42</v>
      </c>
      <c r="I719" s="2" t="s">
        <v>46</v>
      </c>
      <c r="J719" s="2" t="s">
        <v>47</v>
      </c>
      <c r="K719" s="2" t="s">
        <v>4945</v>
      </c>
      <c r="L719" s="2" t="s">
        <v>111</v>
      </c>
      <c r="M719" s="8" t="str">
        <f>HYPERLINK("http://www.sa.almajed4oud.com", "www.sa.almajed4oud.com")</f>
        <v>www.sa.almajed4oud.com</v>
      </c>
      <c r="N719" s="2" t="s">
        <v>210</v>
      </c>
      <c r="O719" s="2" t="s">
        <v>42</v>
      </c>
      <c r="P719" s="2" t="s">
        <v>5924</v>
      </c>
      <c r="Q719" s="2" t="s">
        <v>42</v>
      </c>
      <c r="R719" s="16" t="s">
        <v>42</v>
      </c>
      <c r="S719" s="16">
        <v>1</v>
      </c>
      <c r="T719" s="16">
        <v>1</v>
      </c>
      <c r="U719" s="16" t="s">
        <v>42</v>
      </c>
      <c r="V719" s="16" t="s">
        <v>42</v>
      </c>
      <c r="W719" s="4" t="s">
        <v>4948</v>
      </c>
      <c r="X719" s="2" t="s">
        <v>5925</v>
      </c>
      <c r="Y719" s="8" t="str">
        <f>HYPERLINK("http://linkedin.com/in/waleed-khalid-almajed-158936221", "http://linkedin.com/in/waleed-khalid-almajed-158936221")</f>
        <v>http://linkedin.com/in/waleed-khalid-almajed-158936221</v>
      </c>
      <c r="Z719" s="2" t="s">
        <v>55</v>
      </c>
      <c r="AA719" s="2" t="s">
        <v>1204</v>
      </c>
      <c r="AB719" s="2" t="s">
        <v>42</v>
      </c>
      <c r="AC719" s="2" t="s">
        <v>58</v>
      </c>
      <c r="AD719" s="2" t="s">
        <v>4950</v>
      </c>
      <c r="AE719" s="4" t="s">
        <v>4951</v>
      </c>
      <c r="AF719" s="2" t="s">
        <v>60</v>
      </c>
      <c r="AG719" s="4" t="s">
        <v>42</v>
      </c>
      <c r="AH719" s="2" t="s">
        <v>61</v>
      </c>
      <c r="AI719" s="2" t="s">
        <v>61</v>
      </c>
      <c r="AJ719" s="2" t="s">
        <v>42</v>
      </c>
      <c r="AK719" s="2" t="s">
        <v>42</v>
      </c>
      <c r="AL719" s="28">
        <v>45447</v>
      </c>
      <c r="AM719" s="4" t="s">
        <v>42</v>
      </c>
      <c r="AN719" s="8" t="str">
        <f>HYPERLINK("https://my.pitchbook.com?p=399582-64P", "View People Online")</f>
        <v>View People Online</v>
      </c>
    </row>
    <row r="720" spans="1:40" x14ac:dyDescent="0.2">
      <c r="A720" s="3" t="s">
        <v>5926</v>
      </c>
      <c r="B720" s="3" t="s">
        <v>5927</v>
      </c>
      <c r="C720" s="3" t="s">
        <v>42</v>
      </c>
      <c r="D720" s="3" t="s">
        <v>42</v>
      </c>
      <c r="E720" s="3" t="s">
        <v>5926</v>
      </c>
      <c r="F720" s="3" t="s">
        <v>5928</v>
      </c>
      <c r="G720" s="3" t="s">
        <v>1078</v>
      </c>
      <c r="H720" s="3" t="s">
        <v>4528</v>
      </c>
      <c r="I720" s="3" t="s">
        <v>46</v>
      </c>
      <c r="J720" s="3" t="s">
        <v>47</v>
      </c>
      <c r="K720" s="3" t="s">
        <v>2801</v>
      </c>
      <c r="L720" s="3" t="s">
        <v>111</v>
      </c>
      <c r="M720" s="9" t="str">
        <f>HYPERLINK("http://www.arabiancement.com.sa", "www.arabiancement.com.sa")</f>
        <v>www.arabiancement.com.sa</v>
      </c>
      <c r="N720" s="3" t="s">
        <v>370</v>
      </c>
      <c r="O720" s="3" t="s">
        <v>42</v>
      </c>
      <c r="P720" s="3" t="s">
        <v>5929</v>
      </c>
      <c r="Q720" s="3" t="s">
        <v>42</v>
      </c>
      <c r="R720" s="17" t="s">
        <v>42</v>
      </c>
      <c r="S720" s="17">
        <v>1</v>
      </c>
      <c r="T720" s="17">
        <v>1</v>
      </c>
      <c r="U720" s="17" t="s">
        <v>42</v>
      </c>
      <c r="V720" s="17" t="s">
        <v>42</v>
      </c>
      <c r="W720" s="5" t="s">
        <v>2803</v>
      </c>
      <c r="X720" s="3" t="s">
        <v>42</v>
      </c>
      <c r="Y720" s="9" t="str">
        <f>HYPERLINK("http://linkedin.com/in/waleed-obeidat-189955139/", "http://linkedin.com/in/waleed-obeidat-189955139/")</f>
        <v>http://linkedin.com/in/waleed-obeidat-189955139/</v>
      </c>
      <c r="Z720" s="3" t="s">
        <v>174</v>
      </c>
      <c r="AA720" s="3" t="s">
        <v>2805</v>
      </c>
      <c r="AB720" s="3" t="s">
        <v>42</v>
      </c>
      <c r="AC720" s="3" t="s">
        <v>176</v>
      </c>
      <c r="AD720" s="3" t="s">
        <v>42</v>
      </c>
      <c r="AE720" s="5" t="s">
        <v>2806</v>
      </c>
      <c r="AF720" s="3" t="s">
        <v>60</v>
      </c>
      <c r="AG720" s="5" t="s">
        <v>2807</v>
      </c>
      <c r="AH720" s="3" t="s">
        <v>61</v>
      </c>
      <c r="AI720" s="3" t="s">
        <v>61</v>
      </c>
      <c r="AJ720" s="3" t="s">
        <v>42</v>
      </c>
      <c r="AK720" s="3" t="s">
        <v>42</v>
      </c>
      <c r="AL720" s="29">
        <v>45968</v>
      </c>
      <c r="AM720" s="5" t="s">
        <v>42</v>
      </c>
      <c r="AN720" s="9" t="str">
        <f>HYPERLINK("https://my.pitchbook.com?p=386728-84P", "View People Online")</f>
        <v>View People Online</v>
      </c>
    </row>
    <row r="721" spans="1:40" x14ac:dyDescent="0.2">
      <c r="A721" s="2" t="s">
        <v>5930</v>
      </c>
      <c r="B721" s="2" t="s">
        <v>5931</v>
      </c>
      <c r="C721" s="2" t="s">
        <v>42</v>
      </c>
      <c r="D721" s="2" t="s">
        <v>42</v>
      </c>
      <c r="E721" s="2" t="s">
        <v>5930</v>
      </c>
      <c r="F721" s="2" t="s">
        <v>5932</v>
      </c>
      <c r="G721" s="2" t="s">
        <v>5933</v>
      </c>
      <c r="H721" s="2" t="s">
        <v>42</v>
      </c>
      <c r="I721" s="2" t="s">
        <v>46</v>
      </c>
      <c r="J721" s="2" t="s">
        <v>47</v>
      </c>
      <c r="K721" s="2" t="s">
        <v>3537</v>
      </c>
      <c r="L721" s="2" t="s">
        <v>111</v>
      </c>
      <c r="M721" s="8" t="str">
        <f>HYPERLINK("http://www.zoujajglass.com", "www.zoujajglass.com")</f>
        <v>www.zoujajglass.com</v>
      </c>
      <c r="N721" s="2" t="s">
        <v>210</v>
      </c>
      <c r="O721" s="2" t="s">
        <v>42</v>
      </c>
      <c r="P721" s="2" t="s">
        <v>5934</v>
      </c>
      <c r="Q721" s="2" t="s">
        <v>5935</v>
      </c>
      <c r="R721" s="16" t="s">
        <v>42</v>
      </c>
      <c r="S721" s="16">
        <v>1</v>
      </c>
      <c r="T721" s="16">
        <v>1</v>
      </c>
      <c r="U721" s="16" t="s">
        <v>42</v>
      </c>
      <c r="V721" s="16" t="s">
        <v>42</v>
      </c>
      <c r="W721" s="4" t="s">
        <v>3540</v>
      </c>
      <c r="X721" s="2" t="s">
        <v>5936</v>
      </c>
      <c r="Y721" s="8" t="str">
        <f>HYPERLINK("http://linkedin.com/in/walid-afyouni-11238318/?originalsubdomain=sa", "http://linkedin.com/in/walid-afyouni-11238318/?originalsubdomain=sa")</f>
        <v>http://linkedin.com/in/walid-afyouni-11238318/?originalsubdomain=sa</v>
      </c>
      <c r="Z721" s="2" t="s">
        <v>55</v>
      </c>
      <c r="AA721" s="2" t="s">
        <v>3542</v>
      </c>
      <c r="AB721" s="2" t="s">
        <v>42</v>
      </c>
      <c r="AC721" s="2" t="s">
        <v>58</v>
      </c>
      <c r="AD721" s="2" t="s">
        <v>42</v>
      </c>
      <c r="AE721" s="4" t="s">
        <v>3543</v>
      </c>
      <c r="AF721" s="2" t="s">
        <v>60</v>
      </c>
      <c r="AG721" s="4" t="s">
        <v>42</v>
      </c>
      <c r="AH721" s="2" t="s">
        <v>61</v>
      </c>
      <c r="AI721" s="2" t="s">
        <v>61</v>
      </c>
      <c r="AJ721" s="2" t="s">
        <v>42</v>
      </c>
      <c r="AK721" s="2" t="s">
        <v>42</v>
      </c>
      <c r="AL721" s="28">
        <v>45744</v>
      </c>
      <c r="AM721" s="4" t="s">
        <v>42</v>
      </c>
      <c r="AN721" s="8" t="str">
        <f>HYPERLINK("https://my.pitchbook.com?p=385613-11P", "View People Online")</f>
        <v>View People Online</v>
      </c>
    </row>
    <row r="722" spans="1:40" x14ac:dyDescent="0.2">
      <c r="A722" s="3" t="s">
        <v>5937</v>
      </c>
      <c r="B722" s="3" t="s">
        <v>5938</v>
      </c>
      <c r="C722" s="3" t="s">
        <v>42</v>
      </c>
      <c r="D722" s="3" t="s">
        <v>42</v>
      </c>
      <c r="E722" s="3" t="s">
        <v>5937</v>
      </c>
      <c r="F722" s="3" t="s">
        <v>5939</v>
      </c>
      <c r="G722" s="3" t="s">
        <v>5940</v>
      </c>
      <c r="H722" s="3" t="s">
        <v>543</v>
      </c>
      <c r="I722" s="3" t="s">
        <v>46</v>
      </c>
      <c r="J722" s="3" t="s">
        <v>47</v>
      </c>
      <c r="K722" s="3" t="s">
        <v>4805</v>
      </c>
      <c r="L722" s="3" t="s">
        <v>111</v>
      </c>
      <c r="M722" s="9" t="str">
        <f>HYPERLINK("http://www.keir.com.sa", "www.keir.com.sa")</f>
        <v>www.keir.com.sa</v>
      </c>
      <c r="N722" s="3" t="s">
        <v>210</v>
      </c>
      <c r="O722" s="3" t="s">
        <v>42</v>
      </c>
      <c r="P722" s="3" t="s">
        <v>5941</v>
      </c>
      <c r="Q722" s="3" t="s">
        <v>42</v>
      </c>
      <c r="R722" s="17" t="s">
        <v>42</v>
      </c>
      <c r="S722" s="17">
        <v>1</v>
      </c>
      <c r="T722" s="17">
        <v>1</v>
      </c>
      <c r="U722" s="17" t="s">
        <v>42</v>
      </c>
      <c r="V722" s="17" t="s">
        <v>42</v>
      </c>
      <c r="W722" s="5" t="s">
        <v>4807</v>
      </c>
      <c r="X722" s="3" t="s">
        <v>42</v>
      </c>
      <c r="Y722" s="9" t="str">
        <f>HYPERLINK("http://linkedin.com/in/waseem-al-marzoki-8479a8b/?originalsubdomain=sa", "http://linkedin.com/in/waseem-al-marzoki-8479a8b/?originalsubdomain=sa")</f>
        <v>http://linkedin.com/in/waseem-al-marzoki-8479a8b/?originalsubdomain=sa</v>
      </c>
      <c r="Z722" s="3" t="s">
        <v>55</v>
      </c>
      <c r="AA722" s="3" t="s">
        <v>4809</v>
      </c>
      <c r="AB722" s="3" t="s">
        <v>4810</v>
      </c>
      <c r="AC722" s="3" t="s">
        <v>58</v>
      </c>
      <c r="AD722" s="3" t="s">
        <v>42</v>
      </c>
      <c r="AE722" s="5" t="s">
        <v>4811</v>
      </c>
      <c r="AF722" s="3" t="s">
        <v>60</v>
      </c>
      <c r="AG722" s="5" t="s">
        <v>42</v>
      </c>
      <c r="AH722" s="3" t="s">
        <v>61</v>
      </c>
      <c r="AI722" s="3" t="s">
        <v>61</v>
      </c>
      <c r="AJ722" s="3" t="s">
        <v>42</v>
      </c>
      <c r="AK722" s="3" t="s">
        <v>42</v>
      </c>
      <c r="AL722" s="29">
        <v>45838</v>
      </c>
      <c r="AM722" s="5">
        <v>1970</v>
      </c>
      <c r="AN722" s="9" t="str">
        <f>HYPERLINK("https://my.pitchbook.com?p=327145-87P", "View People Online")</f>
        <v>View People Online</v>
      </c>
    </row>
    <row r="723" spans="1:40" x14ac:dyDescent="0.2">
      <c r="A723" s="2" t="s">
        <v>5942</v>
      </c>
      <c r="B723" s="2" t="s">
        <v>5943</v>
      </c>
      <c r="C723" s="2" t="s">
        <v>42</v>
      </c>
      <c r="D723" s="2" t="s">
        <v>42</v>
      </c>
      <c r="E723" s="2" t="s">
        <v>5942</v>
      </c>
      <c r="F723" s="2" t="s">
        <v>5944</v>
      </c>
      <c r="G723" s="2" t="s">
        <v>5945</v>
      </c>
      <c r="H723" s="2" t="s">
        <v>42</v>
      </c>
      <c r="I723" s="2" t="s">
        <v>46</v>
      </c>
      <c r="J723" s="2" t="s">
        <v>47</v>
      </c>
      <c r="K723" s="2" t="s">
        <v>1863</v>
      </c>
      <c r="L723" s="2" t="s">
        <v>111</v>
      </c>
      <c r="M723" s="8" t="str">
        <f>HYPERLINK("http://www.yansab.com.sa", "www.yansab.com.sa")</f>
        <v>www.yansab.com.sa</v>
      </c>
      <c r="N723" s="2" t="s">
        <v>210</v>
      </c>
      <c r="O723" s="2" t="s">
        <v>42</v>
      </c>
      <c r="P723" s="2" t="s">
        <v>5946</v>
      </c>
      <c r="Q723" s="2" t="s">
        <v>42</v>
      </c>
      <c r="R723" s="16" t="s">
        <v>42</v>
      </c>
      <c r="S723" s="16">
        <v>1</v>
      </c>
      <c r="T723" s="16">
        <v>1</v>
      </c>
      <c r="U723" s="16" t="s">
        <v>42</v>
      </c>
      <c r="V723" s="16" t="s">
        <v>42</v>
      </c>
      <c r="W723" s="4" t="s">
        <v>1865</v>
      </c>
      <c r="X723" s="2" t="s">
        <v>5947</v>
      </c>
      <c r="Y723" s="8" t="str">
        <f>HYPERLINK("http://sa.linkedin.com/in/wazen-al-solami", "http://sa.linkedin.com/in/wazen-al-solami")</f>
        <v>http://sa.linkedin.com/in/wazen-al-solami</v>
      </c>
      <c r="Z723" s="2" t="s">
        <v>1866</v>
      </c>
      <c r="AA723" s="2" t="s">
        <v>1867</v>
      </c>
      <c r="AB723" s="2" t="s">
        <v>42</v>
      </c>
      <c r="AC723" s="2" t="s">
        <v>1868</v>
      </c>
      <c r="AD723" s="2" t="s">
        <v>42</v>
      </c>
      <c r="AE723" s="4" t="s">
        <v>1869</v>
      </c>
      <c r="AF723" s="2" t="s">
        <v>60</v>
      </c>
      <c r="AG723" s="4" t="s">
        <v>1870</v>
      </c>
      <c r="AH723" s="2" t="s">
        <v>61</v>
      </c>
      <c r="AI723" s="2" t="s">
        <v>61</v>
      </c>
      <c r="AJ723" s="2" t="s">
        <v>42</v>
      </c>
      <c r="AK723" s="2" t="s">
        <v>42</v>
      </c>
      <c r="AL723" s="28">
        <v>45652</v>
      </c>
      <c r="AM723" s="4" t="s">
        <v>42</v>
      </c>
      <c r="AN723" s="8" t="str">
        <f>HYPERLINK("https://my.pitchbook.com?p=426518-11P", "View People Online")</f>
        <v>View People Online</v>
      </c>
    </row>
    <row r="724" spans="1:40" x14ac:dyDescent="0.2">
      <c r="A724" s="3" t="s">
        <v>5948</v>
      </c>
      <c r="B724" s="3" t="s">
        <v>5949</v>
      </c>
      <c r="C724" s="3" t="s">
        <v>42</v>
      </c>
      <c r="D724" s="3" t="s">
        <v>42</v>
      </c>
      <c r="E724" s="3" t="s">
        <v>5948</v>
      </c>
      <c r="F724" s="3" t="s">
        <v>5325</v>
      </c>
      <c r="G724" s="3" t="s">
        <v>5950</v>
      </c>
      <c r="H724" s="3" t="s">
        <v>42</v>
      </c>
      <c r="I724" s="3" t="s">
        <v>46</v>
      </c>
      <c r="J724" s="3" t="s">
        <v>47</v>
      </c>
      <c r="K724" s="3" t="s">
        <v>4199</v>
      </c>
      <c r="L724" s="3" t="s">
        <v>111</v>
      </c>
      <c r="M724" s="9" t="str">
        <f>HYPERLINK("http://www.go.com.sa", "www.go.com.sa")</f>
        <v>www.go.com.sa</v>
      </c>
      <c r="N724" s="3" t="s">
        <v>210</v>
      </c>
      <c r="O724" s="3" t="s">
        <v>42</v>
      </c>
      <c r="P724" s="3" t="s">
        <v>5951</v>
      </c>
      <c r="Q724" s="3" t="s">
        <v>42</v>
      </c>
      <c r="R724" s="17" t="s">
        <v>42</v>
      </c>
      <c r="S724" s="17">
        <v>1</v>
      </c>
      <c r="T724" s="17">
        <v>1</v>
      </c>
      <c r="U724" s="17" t="s">
        <v>42</v>
      </c>
      <c r="V724" s="17" t="s">
        <v>42</v>
      </c>
      <c r="W724" s="5" t="s">
        <v>4201</v>
      </c>
      <c r="X724" s="3" t="s">
        <v>5952</v>
      </c>
      <c r="Y724" s="3" t="s">
        <v>42</v>
      </c>
      <c r="Z724" s="3" t="s">
        <v>55</v>
      </c>
      <c r="AA724" s="3" t="s">
        <v>4203</v>
      </c>
      <c r="AB724" s="3" t="s">
        <v>4204</v>
      </c>
      <c r="AC724" s="3" t="s">
        <v>58</v>
      </c>
      <c r="AD724" s="3" t="s">
        <v>42</v>
      </c>
      <c r="AE724" s="5" t="s">
        <v>4205</v>
      </c>
      <c r="AF724" s="3" t="s">
        <v>60</v>
      </c>
      <c r="AG724" s="5" t="s">
        <v>42</v>
      </c>
      <c r="AH724" s="3" t="s">
        <v>61</v>
      </c>
      <c r="AI724" s="3" t="s">
        <v>61</v>
      </c>
      <c r="AJ724" s="3" t="s">
        <v>42</v>
      </c>
      <c r="AK724" s="3" t="s">
        <v>42</v>
      </c>
      <c r="AL724" s="29">
        <v>45992</v>
      </c>
      <c r="AM724" s="5" t="s">
        <v>42</v>
      </c>
      <c r="AN724" s="9" t="str">
        <f>HYPERLINK("https://my.pitchbook.com?p=244038-34P", "View People Online")</f>
        <v>View People Online</v>
      </c>
    </row>
    <row r="725" spans="1:40" x14ac:dyDescent="0.2">
      <c r="A725" s="2" t="s">
        <v>5953</v>
      </c>
      <c r="B725" s="2" t="s">
        <v>5954</v>
      </c>
      <c r="C725" s="2" t="s">
        <v>42</v>
      </c>
      <c r="D725" s="2" t="s">
        <v>42</v>
      </c>
      <c r="E725" s="2" t="s">
        <v>5953</v>
      </c>
      <c r="F725" s="2" t="s">
        <v>5955</v>
      </c>
      <c r="G725" s="2" t="s">
        <v>5956</v>
      </c>
      <c r="H725" s="2" t="s">
        <v>167</v>
      </c>
      <c r="I725" s="2" t="s">
        <v>46</v>
      </c>
      <c r="J725" s="2" t="s">
        <v>47</v>
      </c>
      <c r="K725" s="2" t="s">
        <v>4540</v>
      </c>
      <c r="L725" s="2" t="s">
        <v>111</v>
      </c>
      <c r="M725" s="8" t="str">
        <f>HYPERLINK("http://www.tadco-agri.com", "www.tadco-agri.com")</f>
        <v>www.tadco-agri.com</v>
      </c>
      <c r="N725" s="2" t="s">
        <v>210</v>
      </c>
      <c r="O725" s="2" t="s">
        <v>42</v>
      </c>
      <c r="P725" s="2" t="s">
        <v>5957</v>
      </c>
      <c r="Q725" s="2" t="s">
        <v>42</v>
      </c>
      <c r="R725" s="16" t="s">
        <v>42</v>
      </c>
      <c r="S725" s="16">
        <v>1</v>
      </c>
      <c r="T725" s="16">
        <v>1</v>
      </c>
      <c r="U725" s="16" t="s">
        <v>42</v>
      </c>
      <c r="V725" s="16" t="s">
        <v>42</v>
      </c>
      <c r="W725" s="4" t="s">
        <v>4542</v>
      </c>
      <c r="X725" s="2" t="s">
        <v>42</v>
      </c>
      <c r="Y725" s="2" t="s">
        <v>42</v>
      </c>
      <c r="Z725" s="2" t="s">
        <v>2425</v>
      </c>
      <c r="AA725" s="2" t="s">
        <v>4544</v>
      </c>
      <c r="AB725" s="2" t="s">
        <v>42</v>
      </c>
      <c r="AC725" s="2" t="s">
        <v>2427</v>
      </c>
      <c r="AD725" s="2" t="s">
        <v>42</v>
      </c>
      <c r="AE725" s="4" t="s">
        <v>4545</v>
      </c>
      <c r="AF725" s="2" t="s">
        <v>60</v>
      </c>
      <c r="AG725" s="4" t="s">
        <v>4546</v>
      </c>
      <c r="AH725" s="2" t="s">
        <v>61</v>
      </c>
      <c r="AI725" s="2" t="s">
        <v>61</v>
      </c>
      <c r="AJ725" s="2" t="s">
        <v>42</v>
      </c>
      <c r="AK725" s="2" t="s">
        <v>42</v>
      </c>
      <c r="AL725" s="28">
        <v>45744</v>
      </c>
      <c r="AM725" s="4" t="s">
        <v>42</v>
      </c>
      <c r="AN725" s="8" t="str">
        <f>HYPERLINK("https://my.pitchbook.com?p=404518-06P", "View People Online")</f>
        <v>View People Online</v>
      </c>
    </row>
    <row r="726" spans="1:40" x14ac:dyDescent="0.2">
      <c r="A726" s="3" t="s">
        <v>5958</v>
      </c>
      <c r="B726" s="3" t="s">
        <v>5959</v>
      </c>
      <c r="C726" s="3" t="s">
        <v>42</v>
      </c>
      <c r="D726" s="3" t="s">
        <v>42</v>
      </c>
      <c r="E726" s="3" t="s">
        <v>5958</v>
      </c>
      <c r="F726" s="3" t="s">
        <v>5960</v>
      </c>
      <c r="G726" s="3" t="s">
        <v>5961</v>
      </c>
      <c r="H726" s="3" t="s">
        <v>1719</v>
      </c>
      <c r="I726" s="3" t="s">
        <v>46</v>
      </c>
      <c r="J726" s="3" t="s">
        <v>47</v>
      </c>
      <c r="K726" s="3" t="s">
        <v>3324</v>
      </c>
      <c r="L726" s="3" t="s">
        <v>1316</v>
      </c>
      <c r="M726" s="9" t="str">
        <f>HYPERLINK("http://www.medgulf.com.sa", "www.medgulf.com.sa")</f>
        <v>www.medgulf.com.sa</v>
      </c>
      <c r="N726" s="3" t="s">
        <v>246</v>
      </c>
      <c r="O726" s="3" t="s">
        <v>42</v>
      </c>
      <c r="P726" s="3" t="s">
        <v>5962</v>
      </c>
      <c r="Q726" s="3" t="s">
        <v>42</v>
      </c>
      <c r="R726" s="17">
        <v>1</v>
      </c>
      <c r="S726" s="17">
        <v>1</v>
      </c>
      <c r="T726" s="17" t="s">
        <v>42</v>
      </c>
      <c r="U726" s="17" t="s">
        <v>42</v>
      </c>
      <c r="V726" s="17" t="s">
        <v>42</v>
      </c>
      <c r="W726" s="5" t="s">
        <v>42</v>
      </c>
      <c r="X726" s="3" t="s">
        <v>42</v>
      </c>
      <c r="Y726" s="3" t="s">
        <v>42</v>
      </c>
      <c r="Z726" s="3" t="s">
        <v>55</v>
      </c>
      <c r="AA726" s="3" t="s">
        <v>3328</v>
      </c>
      <c r="AB726" s="3" t="s">
        <v>3329</v>
      </c>
      <c r="AC726" s="3" t="s">
        <v>58</v>
      </c>
      <c r="AD726" s="3" t="s">
        <v>42</v>
      </c>
      <c r="AE726" s="5" t="s">
        <v>3330</v>
      </c>
      <c r="AF726" s="3" t="s">
        <v>60</v>
      </c>
      <c r="AG726" s="5" t="s">
        <v>42</v>
      </c>
      <c r="AH726" s="3" t="s">
        <v>61</v>
      </c>
      <c r="AI726" s="3" t="s">
        <v>61</v>
      </c>
      <c r="AJ726" s="3" t="s">
        <v>42</v>
      </c>
      <c r="AK726" s="3" t="s">
        <v>42</v>
      </c>
      <c r="AL726" s="29">
        <v>45995</v>
      </c>
      <c r="AM726" s="5" t="s">
        <v>42</v>
      </c>
      <c r="AN726" s="9" t="str">
        <f>HYPERLINK("https://my.pitchbook.com?p=476640-91P", "View People Online")</f>
        <v>View People Online</v>
      </c>
    </row>
    <row r="727" spans="1:40" x14ac:dyDescent="0.2">
      <c r="A727" s="2" t="s">
        <v>5963</v>
      </c>
      <c r="B727" s="2" t="s">
        <v>5964</v>
      </c>
      <c r="C727" s="2" t="s">
        <v>42</v>
      </c>
      <c r="D727" s="2" t="s">
        <v>42</v>
      </c>
      <c r="E727" s="2" t="s">
        <v>5963</v>
      </c>
      <c r="F727" s="2" t="s">
        <v>5965</v>
      </c>
      <c r="G727" s="2" t="s">
        <v>44</v>
      </c>
      <c r="H727" s="2" t="s">
        <v>42</v>
      </c>
      <c r="I727" s="2" t="s">
        <v>46</v>
      </c>
      <c r="J727" s="2" t="s">
        <v>47</v>
      </c>
      <c r="K727" s="2" t="s">
        <v>5966</v>
      </c>
      <c r="L727" s="2" t="s">
        <v>111</v>
      </c>
      <c r="M727" s="8" t="str">
        <f>HYPERLINK("http://www.livainsurance.sa", "www.livainsurance.sa")</f>
        <v>www.livainsurance.sa</v>
      </c>
      <c r="N727" s="2" t="s">
        <v>534</v>
      </c>
      <c r="O727" s="2" t="s">
        <v>42</v>
      </c>
      <c r="P727" s="2" t="s">
        <v>5967</v>
      </c>
      <c r="Q727" s="2" t="s">
        <v>42</v>
      </c>
      <c r="R727" s="16" t="s">
        <v>42</v>
      </c>
      <c r="S727" s="16">
        <v>1</v>
      </c>
      <c r="T727" s="16">
        <v>1</v>
      </c>
      <c r="U727" s="16" t="s">
        <v>42</v>
      </c>
      <c r="V727" s="16" t="s">
        <v>42</v>
      </c>
      <c r="W727" s="4" t="s">
        <v>42</v>
      </c>
      <c r="X727" s="2" t="s">
        <v>42</v>
      </c>
      <c r="Y727" s="8" t="str">
        <f>HYPERLINK("http://linkedin.com/in/yasiriqbalacca/", "http://linkedin.com/in/yasiriqbalacca/")</f>
        <v>http://linkedin.com/in/yasiriqbalacca/</v>
      </c>
      <c r="Z727" s="2" t="s">
        <v>55</v>
      </c>
      <c r="AA727" s="2" t="s">
        <v>5968</v>
      </c>
      <c r="AB727" s="2" t="s">
        <v>42</v>
      </c>
      <c r="AC727" s="2" t="s">
        <v>58</v>
      </c>
      <c r="AD727" s="2" t="s">
        <v>42</v>
      </c>
      <c r="AE727" s="4" t="s">
        <v>1158</v>
      </c>
      <c r="AF727" s="2" t="s">
        <v>60</v>
      </c>
      <c r="AG727" s="4" t="s">
        <v>42</v>
      </c>
      <c r="AH727" s="2" t="s">
        <v>61</v>
      </c>
      <c r="AI727" s="2" t="s">
        <v>61</v>
      </c>
      <c r="AJ727" s="2" t="s">
        <v>42</v>
      </c>
      <c r="AK727" s="2" t="s">
        <v>42</v>
      </c>
      <c r="AL727" s="28">
        <v>45728</v>
      </c>
      <c r="AM727" s="4" t="s">
        <v>42</v>
      </c>
      <c r="AN727" s="8" t="str">
        <f>HYPERLINK("https://my.pitchbook.com?p=339359-59P", "View People Online")</f>
        <v>View People Online</v>
      </c>
    </row>
    <row r="728" spans="1:40" x14ac:dyDescent="0.2">
      <c r="A728" s="3" t="s">
        <v>5969</v>
      </c>
      <c r="B728" s="3" t="s">
        <v>5970</v>
      </c>
      <c r="C728" s="3" t="s">
        <v>42</v>
      </c>
      <c r="D728" s="3" t="s">
        <v>42</v>
      </c>
      <c r="E728" s="3" t="s">
        <v>5969</v>
      </c>
      <c r="F728" s="3" t="s">
        <v>5971</v>
      </c>
      <c r="G728" s="3" t="s">
        <v>1091</v>
      </c>
      <c r="H728" s="3" t="s">
        <v>5972</v>
      </c>
      <c r="I728" s="3" t="s">
        <v>46</v>
      </c>
      <c r="J728" s="3" t="s">
        <v>47</v>
      </c>
      <c r="K728" s="3" t="s">
        <v>2219</v>
      </c>
      <c r="L728" s="3" t="s">
        <v>111</v>
      </c>
      <c r="M728" s="9" t="str">
        <f>HYPERLINK("http://www.fitaihi.com.sa", "www.fitaihi.com.sa")</f>
        <v>www.fitaihi.com.sa</v>
      </c>
      <c r="N728" s="3" t="s">
        <v>5973</v>
      </c>
      <c r="O728" s="3" t="s">
        <v>42</v>
      </c>
      <c r="P728" s="3" t="s">
        <v>5974</v>
      </c>
      <c r="Q728" s="3" t="s">
        <v>42</v>
      </c>
      <c r="R728" s="17" t="s">
        <v>42</v>
      </c>
      <c r="S728" s="17">
        <v>1</v>
      </c>
      <c r="T728" s="17">
        <v>1</v>
      </c>
      <c r="U728" s="17" t="s">
        <v>42</v>
      </c>
      <c r="V728" s="17" t="s">
        <v>42</v>
      </c>
      <c r="W728" s="5" t="s">
        <v>2221</v>
      </c>
      <c r="X728" s="3" t="s">
        <v>5975</v>
      </c>
      <c r="Y728" s="3" t="s">
        <v>42</v>
      </c>
      <c r="Z728" s="3" t="s">
        <v>174</v>
      </c>
      <c r="AA728" s="3" t="s">
        <v>2223</v>
      </c>
      <c r="AB728" s="3" t="s">
        <v>2224</v>
      </c>
      <c r="AC728" s="3" t="s">
        <v>176</v>
      </c>
      <c r="AD728" s="3" t="s">
        <v>42</v>
      </c>
      <c r="AE728" s="5" t="s">
        <v>2225</v>
      </c>
      <c r="AF728" s="3" t="s">
        <v>60</v>
      </c>
      <c r="AG728" s="5" t="s">
        <v>42</v>
      </c>
      <c r="AH728" s="3" t="s">
        <v>61</v>
      </c>
      <c r="AI728" s="3" t="s">
        <v>61</v>
      </c>
      <c r="AJ728" s="3" t="s">
        <v>42</v>
      </c>
      <c r="AK728" s="3" t="s">
        <v>42</v>
      </c>
      <c r="AL728" s="29">
        <v>45971</v>
      </c>
      <c r="AM728" s="5">
        <v>1969</v>
      </c>
      <c r="AN728" s="9" t="str">
        <f>HYPERLINK("https://my.pitchbook.com?p=258343-48P", "View People Online")</f>
        <v>View People Online</v>
      </c>
    </row>
    <row r="729" spans="1:40" x14ac:dyDescent="0.2">
      <c r="A729" s="2" t="s">
        <v>5976</v>
      </c>
      <c r="B729" s="2" t="s">
        <v>5977</v>
      </c>
      <c r="C729" s="2" t="s">
        <v>42</v>
      </c>
      <c r="D729" s="2" t="s">
        <v>42</v>
      </c>
      <c r="E729" s="2" t="s">
        <v>5976</v>
      </c>
      <c r="F729" s="2" t="s">
        <v>1639</v>
      </c>
      <c r="G729" s="2" t="s">
        <v>1091</v>
      </c>
      <c r="H729" s="2" t="s">
        <v>284</v>
      </c>
      <c r="I729" s="2" t="s">
        <v>196</v>
      </c>
      <c r="J729" s="2" t="s">
        <v>47</v>
      </c>
      <c r="K729" s="2" t="s">
        <v>2935</v>
      </c>
      <c r="L729" s="2" t="s">
        <v>1316</v>
      </c>
      <c r="M729" s="8" t="str">
        <f>HYPERLINK("http://www.alsagr.com", "www.alsagr.com")</f>
        <v>www.alsagr.com</v>
      </c>
      <c r="N729" s="2" t="s">
        <v>2039</v>
      </c>
      <c r="O729" s="2" t="s">
        <v>42</v>
      </c>
      <c r="P729" s="2" t="s">
        <v>5978</v>
      </c>
      <c r="Q729" s="2" t="s">
        <v>42</v>
      </c>
      <c r="R729" s="16" t="s">
        <v>42</v>
      </c>
      <c r="S729" s="16">
        <v>1</v>
      </c>
      <c r="T729" s="16">
        <v>1</v>
      </c>
      <c r="U729" s="16" t="s">
        <v>42</v>
      </c>
      <c r="V729" s="16" t="s">
        <v>42</v>
      </c>
      <c r="W729" s="4" t="s">
        <v>42</v>
      </c>
      <c r="X729" s="2" t="s">
        <v>5979</v>
      </c>
      <c r="Y729" s="2" t="s">
        <v>42</v>
      </c>
      <c r="Z729" s="2" t="s">
        <v>383</v>
      </c>
      <c r="AA729" s="2" t="s">
        <v>2938</v>
      </c>
      <c r="AB729" s="2" t="s">
        <v>2939</v>
      </c>
      <c r="AC729" s="2" t="s">
        <v>385</v>
      </c>
      <c r="AD729" s="2" t="s">
        <v>2653</v>
      </c>
      <c r="AE729" s="4" t="s">
        <v>2940</v>
      </c>
      <c r="AF729" s="2" t="s">
        <v>60</v>
      </c>
      <c r="AG729" s="4" t="s">
        <v>42</v>
      </c>
      <c r="AH729" s="2" t="s">
        <v>61</v>
      </c>
      <c r="AI729" s="2" t="s">
        <v>61</v>
      </c>
      <c r="AJ729" s="2" t="s">
        <v>42</v>
      </c>
      <c r="AK729" s="2" t="s">
        <v>42</v>
      </c>
      <c r="AL729" s="28">
        <v>45895</v>
      </c>
      <c r="AM729" s="4" t="s">
        <v>42</v>
      </c>
      <c r="AN729" s="8" t="str">
        <f>HYPERLINK("https://my.pitchbook.com?p=365491-18P", "View People Online")</f>
        <v>View People Online</v>
      </c>
    </row>
    <row r="730" spans="1:40" x14ac:dyDescent="0.2">
      <c r="A730" s="3" t="s">
        <v>5980</v>
      </c>
      <c r="B730" s="3" t="s">
        <v>5981</v>
      </c>
      <c r="C730" s="3" t="s">
        <v>42</v>
      </c>
      <c r="D730" s="3" t="s">
        <v>42</v>
      </c>
      <c r="E730" s="3" t="s">
        <v>5980</v>
      </c>
      <c r="F730" s="3" t="s">
        <v>5906</v>
      </c>
      <c r="G730" s="3" t="s">
        <v>1091</v>
      </c>
      <c r="H730" s="3" t="s">
        <v>2037</v>
      </c>
      <c r="I730" s="3" t="s">
        <v>46</v>
      </c>
      <c r="J730" s="3" t="s">
        <v>47</v>
      </c>
      <c r="K730" s="3" t="s">
        <v>5982</v>
      </c>
      <c r="L730" s="3" t="s">
        <v>111</v>
      </c>
      <c r="M730" s="9" t="str">
        <f>HYPERLINK("http://www.ummalqura.com.sa", "www.ummalqura.com.sa")</f>
        <v>www.ummalqura.com.sa</v>
      </c>
      <c r="N730" s="3" t="s">
        <v>210</v>
      </c>
      <c r="O730" s="3" t="s">
        <v>42</v>
      </c>
      <c r="P730" s="3" t="s">
        <v>5983</v>
      </c>
      <c r="Q730" s="3" t="s">
        <v>42</v>
      </c>
      <c r="R730" s="17" t="s">
        <v>42</v>
      </c>
      <c r="S730" s="17">
        <v>1</v>
      </c>
      <c r="T730" s="17">
        <v>1</v>
      </c>
      <c r="U730" s="17" t="s">
        <v>42</v>
      </c>
      <c r="V730" s="17" t="s">
        <v>42</v>
      </c>
      <c r="W730" s="5" t="s">
        <v>5984</v>
      </c>
      <c r="X730" s="3" t="s">
        <v>5985</v>
      </c>
      <c r="Y730" s="9" t="str">
        <f>HYPERLINK("http://linkedin.com/in/yasser-al-ateeq-48269950/?originalsubdomain=sa", "http://linkedin.com/in/yasser-al-ateeq-48269950/?originalsubdomain=sa")</f>
        <v>http://linkedin.com/in/yasser-al-ateeq-48269950/?originalsubdomain=sa</v>
      </c>
      <c r="Z730" s="3" t="s">
        <v>2581</v>
      </c>
      <c r="AA730" s="3" t="s">
        <v>5986</v>
      </c>
      <c r="AB730" s="3" t="s">
        <v>42</v>
      </c>
      <c r="AC730" s="3" t="s">
        <v>930</v>
      </c>
      <c r="AD730" s="3" t="s">
        <v>42</v>
      </c>
      <c r="AE730" s="5" t="s">
        <v>2584</v>
      </c>
      <c r="AF730" s="3" t="s">
        <v>60</v>
      </c>
      <c r="AG730" s="5" t="s">
        <v>42</v>
      </c>
      <c r="AH730" s="3" t="s">
        <v>61</v>
      </c>
      <c r="AI730" s="3" t="s">
        <v>61</v>
      </c>
      <c r="AJ730" s="3" t="s">
        <v>42</v>
      </c>
      <c r="AK730" s="3" t="s">
        <v>42</v>
      </c>
      <c r="AL730" s="29">
        <v>45848</v>
      </c>
      <c r="AM730" s="5">
        <v>1980</v>
      </c>
      <c r="AN730" s="9" t="str">
        <f>HYPERLINK("https://my.pitchbook.com?p=376446-07P", "View People Online")</f>
        <v>View People Online</v>
      </c>
    </row>
    <row r="731" spans="1:40" x14ac:dyDescent="0.2">
      <c r="A731" s="2" t="s">
        <v>5987</v>
      </c>
      <c r="B731" s="2" t="s">
        <v>5988</v>
      </c>
      <c r="C731" s="2" t="s">
        <v>42</v>
      </c>
      <c r="D731" s="2" t="s">
        <v>42</v>
      </c>
      <c r="E731" s="2" t="s">
        <v>5987</v>
      </c>
      <c r="F731" s="2" t="s">
        <v>5989</v>
      </c>
      <c r="G731" s="2" t="s">
        <v>1091</v>
      </c>
      <c r="H731" s="2" t="s">
        <v>167</v>
      </c>
      <c r="I731" s="2" t="s">
        <v>46</v>
      </c>
      <c r="J731" s="2" t="s">
        <v>47</v>
      </c>
      <c r="K731" s="2" t="s">
        <v>5990</v>
      </c>
      <c r="L731" s="2" t="s">
        <v>111</v>
      </c>
      <c r="M731" s="8" t="str">
        <f>HYPERLINK("http://www.smeh.com.sa", "www.smeh.com.sa")</f>
        <v>www.smeh.com.sa</v>
      </c>
      <c r="N731" s="2" t="s">
        <v>534</v>
      </c>
      <c r="O731" s="2" t="s">
        <v>42</v>
      </c>
      <c r="P731" s="2" t="s">
        <v>5991</v>
      </c>
      <c r="Q731" s="2" t="s">
        <v>5992</v>
      </c>
      <c r="R731" s="16" t="s">
        <v>42</v>
      </c>
      <c r="S731" s="16">
        <v>1</v>
      </c>
      <c r="T731" s="16">
        <v>1</v>
      </c>
      <c r="U731" s="16" t="s">
        <v>42</v>
      </c>
      <c r="V731" s="16" t="s">
        <v>42</v>
      </c>
      <c r="W731" s="4" t="s">
        <v>5993</v>
      </c>
      <c r="X731" s="2" t="s">
        <v>5994</v>
      </c>
      <c r="Y731" s="8" t="str">
        <f>HYPERLINK("http://sa.linkedin.com/in/yasser-elsafadi-cpa-cma-cme-12b714a", "http://sa.linkedin.com/in/yasser-elsafadi-cpa-cma-cme-12b714a")</f>
        <v>http://sa.linkedin.com/in/yasser-elsafadi-cpa-cma-cme-12b714a</v>
      </c>
      <c r="Z731" s="2" t="s">
        <v>55</v>
      </c>
      <c r="AA731" s="2" t="s">
        <v>5995</v>
      </c>
      <c r="AB731" s="2" t="s">
        <v>42</v>
      </c>
      <c r="AC731" s="2" t="s">
        <v>58</v>
      </c>
      <c r="AD731" s="2" t="s">
        <v>42</v>
      </c>
      <c r="AE731" s="4" t="s">
        <v>5996</v>
      </c>
      <c r="AF731" s="2" t="s">
        <v>60</v>
      </c>
      <c r="AG731" s="4" t="s">
        <v>5997</v>
      </c>
      <c r="AH731" s="2" t="s">
        <v>61</v>
      </c>
      <c r="AI731" s="2" t="s">
        <v>61</v>
      </c>
      <c r="AJ731" s="2" t="s">
        <v>42</v>
      </c>
      <c r="AK731" s="2" t="s">
        <v>42</v>
      </c>
      <c r="AL731" s="28">
        <v>45671</v>
      </c>
      <c r="AM731" s="4" t="s">
        <v>42</v>
      </c>
      <c r="AN731" s="8" t="str">
        <f>HYPERLINK("https://my.pitchbook.com?p=326068-03P", "View People Online")</f>
        <v>View People Online</v>
      </c>
    </row>
    <row r="732" spans="1:40" x14ac:dyDescent="0.2">
      <c r="A732" s="3" t="s">
        <v>5998</v>
      </c>
      <c r="B732" s="3" t="s">
        <v>5999</v>
      </c>
      <c r="C732" s="3" t="s">
        <v>42</v>
      </c>
      <c r="D732" s="3" t="s">
        <v>42</v>
      </c>
      <c r="E732" s="3" t="s">
        <v>5998</v>
      </c>
      <c r="F732" s="3" t="s">
        <v>6000</v>
      </c>
      <c r="G732" s="3" t="s">
        <v>1091</v>
      </c>
      <c r="H732" s="3" t="s">
        <v>42</v>
      </c>
      <c r="I732" s="3" t="s">
        <v>46</v>
      </c>
      <c r="J732" s="3" t="s">
        <v>47</v>
      </c>
      <c r="K732" s="3" t="s">
        <v>4779</v>
      </c>
      <c r="L732" s="3" t="s">
        <v>111</v>
      </c>
      <c r="M732" s="9" t="str">
        <f>HYPERLINK("http://www.nahdi.sa", "www.nahdi.sa")</f>
        <v>www.nahdi.sa</v>
      </c>
      <c r="N732" s="3" t="s">
        <v>210</v>
      </c>
      <c r="O732" s="3" t="s">
        <v>42</v>
      </c>
      <c r="P732" s="3" t="s">
        <v>6001</v>
      </c>
      <c r="Q732" s="3" t="s">
        <v>128</v>
      </c>
      <c r="R732" s="17" t="s">
        <v>42</v>
      </c>
      <c r="S732" s="17">
        <v>1</v>
      </c>
      <c r="T732" s="17">
        <v>1</v>
      </c>
      <c r="U732" s="17" t="s">
        <v>42</v>
      </c>
      <c r="V732" s="17" t="s">
        <v>42</v>
      </c>
      <c r="W732" s="5" t="s">
        <v>42</v>
      </c>
      <c r="X732" s="3" t="s">
        <v>6002</v>
      </c>
      <c r="Y732" s="9" t="str">
        <f>HYPERLINK("http://linkedin.com/in/yasser-joharji-59b20b15/?originalsubdomain=sa", "http://linkedin.com/in/yasser-joharji-59b20b15/?originalsubdomain=sa")</f>
        <v>http://linkedin.com/in/yasser-joharji-59b20b15/?originalsubdomain=sa</v>
      </c>
      <c r="Z732" s="3" t="s">
        <v>174</v>
      </c>
      <c r="AA732" s="3" t="s">
        <v>4782</v>
      </c>
      <c r="AB732" s="3" t="s">
        <v>4783</v>
      </c>
      <c r="AC732" s="3" t="s">
        <v>176</v>
      </c>
      <c r="AD732" s="3" t="s">
        <v>42</v>
      </c>
      <c r="AE732" s="5" t="s">
        <v>4784</v>
      </c>
      <c r="AF732" s="3" t="s">
        <v>60</v>
      </c>
      <c r="AG732" s="5" t="s">
        <v>42</v>
      </c>
      <c r="AH732" s="3" t="s">
        <v>61</v>
      </c>
      <c r="AI732" s="3" t="s">
        <v>61</v>
      </c>
      <c r="AJ732" s="3" t="s">
        <v>42</v>
      </c>
      <c r="AK732" s="3" t="s">
        <v>42</v>
      </c>
      <c r="AL732" s="29">
        <v>45838</v>
      </c>
      <c r="AM732" s="5">
        <v>1970</v>
      </c>
      <c r="AN732" s="9" t="str">
        <f>HYPERLINK("https://my.pitchbook.com?p=297570-34P", "View People Online")</f>
        <v>View People Online</v>
      </c>
    </row>
    <row r="733" spans="1:40" x14ac:dyDescent="0.2">
      <c r="A733" s="2" t="s">
        <v>6003</v>
      </c>
      <c r="B733" s="2" t="s">
        <v>6004</v>
      </c>
      <c r="C733" s="2" t="s">
        <v>42</v>
      </c>
      <c r="D733" s="2" t="s">
        <v>42</v>
      </c>
      <c r="E733" s="2" t="s">
        <v>6003</v>
      </c>
      <c r="F733" s="2" t="s">
        <v>6005</v>
      </c>
      <c r="G733" s="2" t="s">
        <v>6006</v>
      </c>
      <c r="H733" s="2" t="s">
        <v>42</v>
      </c>
      <c r="I733" s="2" t="s">
        <v>46</v>
      </c>
      <c r="J733" s="2" t="s">
        <v>47</v>
      </c>
      <c r="K733" s="2" t="s">
        <v>3911</v>
      </c>
      <c r="L733" s="2" t="s">
        <v>111</v>
      </c>
      <c r="M733" s="8" t="str">
        <f>HYPERLINK("http://www.rasan.co", "www.rasan.co")</f>
        <v>www.rasan.co</v>
      </c>
      <c r="N733" s="2" t="s">
        <v>534</v>
      </c>
      <c r="O733" s="2" t="s">
        <v>42</v>
      </c>
      <c r="P733" s="2" t="s">
        <v>6007</v>
      </c>
      <c r="Q733" s="2" t="s">
        <v>42</v>
      </c>
      <c r="R733" s="16" t="s">
        <v>42</v>
      </c>
      <c r="S733" s="16">
        <v>1</v>
      </c>
      <c r="T733" s="16">
        <v>1</v>
      </c>
      <c r="U733" s="16" t="s">
        <v>42</v>
      </c>
      <c r="V733" s="16" t="s">
        <v>42</v>
      </c>
      <c r="W733" s="4" t="s">
        <v>3913</v>
      </c>
      <c r="X733" s="2" t="s">
        <v>6008</v>
      </c>
      <c r="Y733" s="2" t="s">
        <v>42</v>
      </c>
      <c r="Z733" s="2" t="s">
        <v>55</v>
      </c>
      <c r="AA733" s="2" t="s">
        <v>3915</v>
      </c>
      <c r="AB733" s="2" t="s">
        <v>3916</v>
      </c>
      <c r="AC733" s="2" t="s">
        <v>58</v>
      </c>
      <c r="AD733" s="2" t="s">
        <v>42</v>
      </c>
      <c r="AE733" s="4" t="s">
        <v>3917</v>
      </c>
      <c r="AF733" s="2" t="s">
        <v>60</v>
      </c>
      <c r="AG733" s="4" t="s">
        <v>42</v>
      </c>
      <c r="AH733" s="2" t="s">
        <v>61</v>
      </c>
      <c r="AI733" s="2" t="s">
        <v>61</v>
      </c>
      <c r="AJ733" s="2" t="s">
        <v>42</v>
      </c>
      <c r="AK733" s="2" t="s">
        <v>42</v>
      </c>
      <c r="AL733" s="28">
        <v>45791</v>
      </c>
      <c r="AM733" s="4" t="s">
        <v>42</v>
      </c>
      <c r="AN733" s="8" t="str">
        <f>HYPERLINK("https://my.pitchbook.com?p=442940-59P", "View People Online")</f>
        <v>View People Online</v>
      </c>
    </row>
    <row r="734" spans="1:40" x14ac:dyDescent="0.2">
      <c r="A734" s="3" t="s">
        <v>6009</v>
      </c>
      <c r="B734" s="3" t="s">
        <v>6010</v>
      </c>
      <c r="C734" s="3" t="s">
        <v>42</v>
      </c>
      <c r="D734" s="3" t="s">
        <v>42</v>
      </c>
      <c r="E734" s="3" t="s">
        <v>6009</v>
      </c>
      <c r="F734" s="3" t="s">
        <v>6011</v>
      </c>
      <c r="G734" s="3" t="s">
        <v>6012</v>
      </c>
      <c r="H734" s="3" t="s">
        <v>698</v>
      </c>
      <c r="I734" s="3" t="s">
        <v>46</v>
      </c>
      <c r="J734" s="3" t="s">
        <v>47</v>
      </c>
      <c r="K734" s="3" t="s">
        <v>6013</v>
      </c>
      <c r="L734" s="3" t="s">
        <v>111</v>
      </c>
      <c r="M734" s="9" t="str">
        <f>HYPERLINK("http://www.pcandles.sa", "www.pcandles.sa")</f>
        <v>www.pcandles.sa</v>
      </c>
      <c r="N734" s="3" t="s">
        <v>210</v>
      </c>
      <c r="O734" s="3" t="s">
        <v>42</v>
      </c>
      <c r="P734" s="3" t="s">
        <v>6014</v>
      </c>
      <c r="Q734" s="3" t="s">
        <v>42</v>
      </c>
      <c r="R734" s="17" t="s">
        <v>42</v>
      </c>
      <c r="S734" s="17">
        <v>1</v>
      </c>
      <c r="T734" s="17">
        <v>1</v>
      </c>
      <c r="U734" s="17" t="s">
        <v>42</v>
      </c>
      <c r="V734" s="17" t="s">
        <v>42</v>
      </c>
      <c r="W734" s="5" t="s">
        <v>42</v>
      </c>
      <c r="X734" s="3" t="s">
        <v>42</v>
      </c>
      <c r="Y734" s="9" t="str">
        <f>HYPERLINK("http://linkedin.com/in/yazeed-bin-hammad-3a8809171/", "http://linkedin.com/in/yazeed-bin-hammad-3a8809171/")</f>
        <v>http://linkedin.com/in/yazeed-bin-hammad-3a8809171/</v>
      </c>
      <c r="Z734" s="3" t="s">
        <v>6015</v>
      </c>
      <c r="AA734" s="3" t="s">
        <v>42</v>
      </c>
      <c r="AB734" s="3" t="s">
        <v>42</v>
      </c>
      <c r="AC734" s="3" t="s">
        <v>6016</v>
      </c>
      <c r="AD734" s="3" t="s">
        <v>42</v>
      </c>
      <c r="AE734" s="5" t="s">
        <v>6017</v>
      </c>
      <c r="AF734" s="3" t="s">
        <v>60</v>
      </c>
      <c r="AG734" s="5" t="s">
        <v>42</v>
      </c>
      <c r="AH734" s="3" t="s">
        <v>61</v>
      </c>
      <c r="AI734" s="3" t="s">
        <v>61</v>
      </c>
      <c r="AJ734" s="3" t="s">
        <v>42</v>
      </c>
      <c r="AK734" s="3" t="s">
        <v>42</v>
      </c>
      <c r="AL734" s="29">
        <v>45642</v>
      </c>
      <c r="AM734" s="5" t="s">
        <v>42</v>
      </c>
      <c r="AN734" s="9" t="str">
        <f>HYPERLINK("https://my.pitchbook.com?p=425040-22P", "View People Online")</f>
        <v>View People Online</v>
      </c>
    </row>
    <row r="735" spans="1:40" x14ac:dyDescent="0.2">
      <c r="A735" s="2" t="s">
        <v>6018</v>
      </c>
      <c r="B735" s="2" t="s">
        <v>6019</v>
      </c>
      <c r="C735" s="2" t="s">
        <v>42</v>
      </c>
      <c r="D735" s="2" t="s">
        <v>42</v>
      </c>
      <c r="E735" s="2" t="s">
        <v>6018</v>
      </c>
      <c r="F735" s="2" t="s">
        <v>1710</v>
      </c>
      <c r="G735" s="2" t="s">
        <v>1719</v>
      </c>
      <c r="H735" s="2" t="s">
        <v>6020</v>
      </c>
      <c r="I735" s="2" t="s">
        <v>46</v>
      </c>
      <c r="J735" s="2" t="s">
        <v>47</v>
      </c>
      <c r="K735" s="2" t="s">
        <v>2599</v>
      </c>
      <c r="L735" s="2" t="s">
        <v>111</v>
      </c>
      <c r="M735" s="8" t="str">
        <f>HYPERLINK("http://www.daralarkan.com", "www.daralarkan.com")</f>
        <v>www.daralarkan.com</v>
      </c>
      <c r="N735" s="2" t="s">
        <v>2004</v>
      </c>
      <c r="O735" s="2" t="s">
        <v>42</v>
      </c>
      <c r="P735" s="2" t="s">
        <v>6021</v>
      </c>
      <c r="Q735" s="2" t="s">
        <v>42</v>
      </c>
      <c r="R735" s="16">
        <v>1</v>
      </c>
      <c r="S735" s="16">
        <v>1</v>
      </c>
      <c r="T735" s="16">
        <v>1</v>
      </c>
      <c r="U735" s="16" t="s">
        <v>42</v>
      </c>
      <c r="V735" s="16" t="s">
        <v>42</v>
      </c>
      <c r="W735" s="4" t="s">
        <v>42</v>
      </c>
      <c r="X735" s="2" t="s">
        <v>6022</v>
      </c>
      <c r="Y735" s="2" t="s">
        <v>42</v>
      </c>
      <c r="Z735" s="2" t="s">
        <v>55</v>
      </c>
      <c r="AA735" s="2" t="s">
        <v>2602</v>
      </c>
      <c r="AB735" s="2" t="s">
        <v>2603</v>
      </c>
      <c r="AC735" s="2" t="s">
        <v>58</v>
      </c>
      <c r="AD735" s="2" t="s">
        <v>42</v>
      </c>
      <c r="AE735" s="4" t="s">
        <v>715</v>
      </c>
      <c r="AF735" s="2" t="s">
        <v>60</v>
      </c>
      <c r="AG735" s="4" t="s">
        <v>42</v>
      </c>
      <c r="AH735" s="2" t="s">
        <v>61</v>
      </c>
      <c r="AI735" s="2" t="s">
        <v>61</v>
      </c>
      <c r="AJ735" s="2" t="s">
        <v>42</v>
      </c>
      <c r="AK735" s="2" t="s">
        <v>42</v>
      </c>
      <c r="AL735" s="28">
        <v>45812</v>
      </c>
      <c r="AM735" s="4" t="s">
        <v>42</v>
      </c>
      <c r="AN735" s="8" t="str">
        <f>HYPERLINK("https://my.pitchbook.com?p=329500-81P", "View People Online")</f>
        <v>View People Online</v>
      </c>
    </row>
    <row r="736" spans="1:40" x14ac:dyDescent="0.2">
      <c r="A736" s="3" t="s">
        <v>6023</v>
      </c>
      <c r="B736" s="3" t="s">
        <v>6024</v>
      </c>
      <c r="C736" s="3" t="s">
        <v>42</v>
      </c>
      <c r="D736" s="3" t="s">
        <v>42</v>
      </c>
      <c r="E736" s="3" t="s">
        <v>6023</v>
      </c>
      <c r="F736" s="3" t="s">
        <v>6025</v>
      </c>
      <c r="G736" s="3" t="s">
        <v>6026</v>
      </c>
      <c r="H736" s="3" t="s">
        <v>6027</v>
      </c>
      <c r="I736" s="3" t="s">
        <v>46</v>
      </c>
      <c r="J736" s="3" t="s">
        <v>47</v>
      </c>
      <c r="K736" s="3" t="s">
        <v>4965</v>
      </c>
      <c r="L736" s="3" t="s">
        <v>111</v>
      </c>
      <c r="M736" s="9" t="str">
        <f>HYPERLINK("http://www.wataniasteel.com", "www.wataniasteel.com")</f>
        <v>www.wataniasteel.com</v>
      </c>
      <c r="N736" s="3" t="s">
        <v>1201</v>
      </c>
      <c r="O736" s="3" t="s">
        <v>42</v>
      </c>
      <c r="P736" s="3" t="s">
        <v>6028</v>
      </c>
      <c r="Q736" s="3" t="s">
        <v>42</v>
      </c>
      <c r="R736" s="17">
        <v>1</v>
      </c>
      <c r="S736" s="17">
        <v>1</v>
      </c>
      <c r="T736" s="17">
        <v>1</v>
      </c>
      <c r="U736" s="17" t="s">
        <v>42</v>
      </c>
      <c r="V736" s="17" t="s">
        <v>42</v>
      </c>
      <c r="W736" s="5" t="s">
        <v>4967</v>
      </c>
      <c r="X736" s="3" t="s">
        <v>6029</v>
      </c>
      <c r="Y736" s="3" t="s">
        <v>42</v>
      </c>
      <c r="Z736" s="3" t="s">
        <v>55</v>
      </c>
      <c r="AA736" s="3" t="s">
        <v>4969</v>
      </c>
      <c r="AB736" s="3" t="s">
        <v>42</v>
      </c>
      <c r="AC736" s="3" t="s">
        <v>58</v>
      </c>
      <c r="AD736" s="3" t="s">
        <v>42</v>
      </c>
      <c r="AE736" s="5" t="s">
        <v>4970</v>
      </c>
      <c r="AF736" s="3" t="s">
        <v>60</v>
      </c>
      <c r="AG736" s="5" t="s">
        <v>4971</v>
      </c>
      <c r="AH736" s="3" t="s">
        <v>61</v>
      </c>
      <c r="AI736" s="3" t="s">
        <v>61</v>
      </c>
      <c r="AJ736" s="3" t="s">
        <v>42</v>
      </c>
      <c r="AK736" s="3" t="s">
        <v>42</v>
      </c>
      <c r="AL736" s="29">
        <v>45671</v>
      </c>
      <c r="AM736" s="5" t="s">
        <v>42</v>
      </c>
      <c r="AN736" s="9" t="str">
        <f>HYPERLINK("https://my.pitchbook.com?p=326397-97P", "View People Online")</f>
        <v>View People Online</v>
      </c>
    </row>
    <row r="737" spans="1:40" x14ac:dyDescent="0.2">
      <c r="A737" s="2" t="s">
        <v>6030</v>
      </c>
      <c r="B737" s="2" t="s">
        <v>6031</v>
      </c>
      <c r="C737" s="2" t="s">
        <v>42</v>
      </c>
      <c r="D737" s="2" t="s">
        <v>42</v>
      </c>
      <c r="E737" s="2" t="s">
        <v>6030</v>
      </c>
      <c r="F737" s="2" t="s">
        <v>6032</v>
      </c>
      <c r="G737" s="2" t="s">
        <v>6033</v>
      </c>
      <c r="H737" s="2" t="s">
        <v>42</v>
      </c>
      <c r="I737" s="2" t="s">
        <v>46</v>
      </c>
      <c r="J737" s="2" t="s">
        <v>47</v>
      </c>
      <c r="K737" s="2" t="s">
        <v>6034</v>
      </c>
      <c r="L737" s="2" t="s">
        <v>111</v>
      </c>
      <c r="M737" s="8" t="str">
        <f>HYPERLINK("http://www.saudipaper.com", "www.saudipaper.com")</f>
        <v>www.saudipaper.com</v>
      </c>
      <c r="N737" s="2" t="s">
        <v>210</v>
      </c>
      <c r="O737" s="2" t="s">
        <v>42</v>
      </c>
      <c r="P737" s="2" t="s">
        <v>6035</v>
      </c>
      <c r="Q737" s="2" t="s">
        <v>42</v>
      </c>
      <c r="R737" s="16" t="s">
        <v>42</v>
      </c>
      <c r="S737" s="16">
        <v>1</v>
      </c>
      <c r="T737" s="16">
        <v>1</v>
      </c>
      <c r="U737" s="16" t="s">
        <v>42</v>
      </c>
      <c r="V737" s="16" t="s">
        <v>42</v>
      </c>
      <c r="W737" s="4" t="s">
        <v>6036</v>
      </c>
      <c r="X737" s="2" t="s">
        <v>6037</v>
      </c>
      <c r="Y737" s="2" t="s">
        <v>42</v>
      </c>
      <c r="Z737" s="2" t="s">
        <v>383</v>
      </c>
      <c r="AA737" s="2" t="s">
        <v>6038</v>
      </c>
      <c r="AB737" s="2" t="s">
        <v>42</v>
      </c>
      <c r="AC737" s="2" t="s">
        <v>385</v>
      </c>
      <c r="AD737" s="2" t="s">
        <v>42</v>
      </c>
      <c r="AE737" s="4" t="s">
        <v>6039</v>
      </c>
      <c r="AF737" s="2" t="s">
        <v>60</v>
      </c>
      <c r="AG737" s="4" t="s">
        <v>6040</v>
      </c>
      <c r="AH737" s="2" t="s">
        <v>61</v>
      </c>
      <c r="AI737" s="2" t="s">
        <v>61</v>
      </c>
      <c r="AJ737" s="2" t="s">
        <v>42</v>
      </c>
      <c r="AK737" s="2" t="s">
        <v>42</v>
      </c>
      <c r="AL737" s="28">
        <v>45729</v>
      </c>
      <c r="AM737" s="4" t="s">
        <v>42</v>
      </c>
      <c r="AN737" s="8" t="str">
        <f>HYPERLINK("https://my.pitchbook.com?p=341661-07P", "View People Online")</f>
        <v>View People Online</v>
      </c>
    </row>
    <row r="738" spans="1:40" x14ac:dyDescent="0.2">
      <c r="A738" s="3" t="s">
        <v>6041</v>
      </c>
      <c r="B738" s="3" t="s">
        <v>6042</v>
      </c>
      <c r="C738" s="3" t="s">
        <v>42</v>
      </c>
      <c r="D738" s="3" t="s">
        <v>42</v>
      </c>
      <c r="E738" s="3" t="s">
        <v>6041</v>
      </c>
      <c r="F738" s="3" t="s">
        <v>6043</v>
      </c>
      <c r="G738" s="3" t="s">
        <v>6044</v>
      </c>
      <c r="H738" s="3" t="s">
        <v>6045</v>
      </c>
      <c r="I738" s="3" t="s">
        <v>46</v>
      </c>
      <c r="J738" s="3" t="s">
        <v>47</v>
      </c>
      <c r="K738" s="3" t="s">
        <v>1900</v>
      </c>
      <c r="L738" s="3" t="s">
        <v>111</v>
      </c>
      <c r="M738" s="9" t="str">
        <f>HYPERLINK("http://www.saudiceramics.com", "www.saudiceramics.com")</f>
        <v>www.saudiceramics.com</v>
      </c>
      <c r="N738" s="3" t="s">
        <v>246</v>
      </c>
      <c r="O738" s="3" t="s">
        <v>42</v>
      </c>
      <c r="P738" s="3" t="s">
        <v>6046</v>
      </c>
      <c r="Q738" s="3" t="s">
        <v>42</v>
      </c>
      <c r="R738" s="17">
        <v>1</v>
      </c>
      <c r="S738" s="17">
        <v>1</v>
      </c>
      <c r="T738" s="17" t="s">
        <v>42</v>
      </c>
      <c r="U738" s="17" t="s">
        <v>42</v>
      </c>
      <c r="V738" s="17" t="s">
        <v>42</v>
      </c>
      <c r="W738" s="5" t="s">
        <v>1902</v>
      </c>
      <c r="X738" s="3" t="s">
        <v>42</v>
      </c>
      <c r="Y738" s="3" t="s">
        <v>42</v>
      </c>
      <c r="Z738" s="3" t="s">
        <v>55</v>
      </c>
      <c r="AA738" s="3" t="s">
        <v>1904</v>
      </c>
      <c r="AB738" s="3" t="s">
        <v>1905</v>
      </c>
      <c r="AC738" s="3" t="s">
        <v>58</v>
      </c>
      <c r="AD738" s="3" t="s">
        <v>42</v>
      </c>
      <c r="AE738" s="5" t="s">
        <v>1906</v>
      </c>
      <c r="AF738" s="3" t="s">
        <v>60</v>
      </c>
      <c r="AG738" s="5" t="s">
        <v>1907</v>
      </c>
      <c r="AH738" s="3" t="s">
        <v>61</v>
      </c>
      <c r="AI738" s="3" t="s">
        <v>61</v>
      </c>
      <c r="AJ738" s="3" t="s">
        <v>42</v>
      </c>
      <c r="AK738" s="3" t="s">
        <v>42</v>
      </c>
      <c r="AL738" s="29">
        <v>45743</v>
      </c>
      <c r="AM738" s="5" t="s">
        <v>42</v>
      </c>
      <c r="AN738" s="9" t="str">
        <f>HYPERLINK("https://my.pitchbook.com?p=297518-14P", "View People Online")</f>
        <v>View People Online</v>
      </c>
    </row>
    <row r="739" spans="1:40" x14ac:dyDescent="0.2">
      <c r="A739" s="2" t="s">
        <v>6047</v>
      </c>
      <c r="B739" s="2" t="s">
        <v>6048</v>
      </c>
      <c r="C739" s="2" t="s">
        <v>42</v>
      </c>
      <c r="D739" s="2" t="s">
        <v>42</v>
      </c>
      <c r="E739" s="2" t="s">
        <v>6047</v>
      </c>
      <c r="F739" s="2" t="s">
        <v>6049</v>
      </c>
      <c r="G739" s="2" t="s">
        <v>6050</v>
      </c>
      <c r="H739" s="2" t="s">
        <v>6051</v>
      </c>
      <c r="I739" s="2" t="s">
        <v>46</v>
      </c>
      <c r="J739" s="2" t="s">
        <v>47</v>
      </c>
      <c r="K739" s="2" t="s">
        <v>1394</v>
      </c>
      <c r="L739" s="2" t="s">
        <v>111</v>
      </c>
      <c r="M739" s="8" t="str">
        <f>HYPERLINK("http://www.cherry.com.sa", "www.cherry.com.sa")</f>
        <v>www.cherry.com.sa</v>
      </c>
      <c r="N739" s="2" t="s">
        <v>370</v>
      </c>
      <c r="O739" s="2" t="s">
        <v>42</v>
      </c>
      <c r="P739" s="2" t="s">
        <v>6052</v>
      </c>
      <c r="Q739" s="2" t="s">
        <v>42</v>
      </c>
      <c r="R739" s="16" t="s">
        <v>42</v>
      </c>
      <c r="S739" s="16">
        <v>1</v>
      </c>
      <c r="T739" s="16">
        <v>1</v>
      </c>
      <c r="U739" s="16" t="s">
        <v>42</v>
      </c>
      <c r="V739" s="16" t="s">
        <v>42</v>
      </c>
      <c r="W739" s="4" t="s">
        <v>1396</v>
      </c>
      <c r="X739" s="2" t="s">
        <v>6053</v>
      </c>
      <c r="Y739" s="2" t="s">
        <v>42</v>
      </c>
      <c r="Z739" s="2" t="s">
        <v>55</v>
      </c>
      <c r="AA739" s="2" t="s">
        <v>1398</v>
      </c>
      <c r="AB739" s="2" t="s">
        <v>1399</v>
      </c>
      <c r="AC739" s="2" t="s">
        <v>58</v>
      </c>
      <c r="AD739" s="2" t="s">
        <v>42</v>
      </c>
      <c r="AE739" s="4" t="s">
        <v>1400</v>
      </c>
      <c r="AF739" s="2" t="s">
        <v>60</v>
      </c>
      <c r="AG739" s="4" t="s">
        <v>42</v>
      </c>
      <c r="AH739" s="2" t="s">
        <v>61</v>
      </c>
      <c r="AI739" s="2" t="s">
        <v>61</v>
      </c>
      <c r="AJ739" s="2" t="s">
        <v>42</v>
      </c>
      <c r="AK739" s="2" t="s">
        <v>42</v>
      </c>
      <c r="AL739" s="28">
        <v>45993</v>
      </c>
      <c r="AM739" s="4" t="s">
        <v>42</v>
      </c>
      <c r="AN739" s="8" t="str">
        <f>HYPERLINK("https://my.pitchbook.com?p=476221-96P", "View People Online")</f>
        <v>View People Online</v>
      </c>
    </row>
    <row r="740" spans="1:40" x14ac:dyDescent="0.2">
      <c r="A740" s="3" t="s">
        <v>6054</v>
      </c>
      <c r="B740" s="3" t="s">
        <v>6055</v>
      </c>
      <c r="C740" s="3" t="s">
        <v>42</v>
      </c>
      <c r="D740" s="3" t="s">
        <v>42</v>
      </c>
      <c r="E740" s="3" t="s">
        <v>6054</v>
      </c>
      <c r="F740" s="3" t="s">
        <v>6056</v>
      </c>
      <c r="G740" s="3" t="s">
        <v>503</v>
      </c>
      <c r="H740" s="3" t="s">
        <v>6057</v>
      </c>
      <c r="I740" s="3" t="s">
        <v>46</v>
      </c>
      <c r="J740" s="3" t="s">
        <v>47</v>
      </c>
      <c r="K740" s="3" t="s">
        <v>4384</v>
      </c>
      <c r="L740" s="3" t="s">
        <v>111</v>
      </c>
      <c r="M740" s="9" t="str">
        <f>HYPERLINK("http://www.aljouf.com.sa", "www.aljouf.com.sa")</f>
        <v>www.aljouf.com.sa</v>
      </c>
      <c r="N740" s="3" t="s">
        <v>534</v>
      </c>
      <c r="O740" s="3" t="s">
        <v>42</v>
      </c>
      <c r="P740" s="3" t="s">
        <v>6058</v>
      </c>
      <c r="Q740" s="3" t="s">
        <v>42</v>
      </c>
      <c r="R740" s="17" t="s">
        <v>42</v>
      </c>
      <c r="S740" s="17">
        <v>1</v>
      </c>
      <c r="T740" s="17">
        <v>1</v>
      </c>
      <c r="U740" s="17" t="s">
        <v>42</v>
      </c>
      <c r="V740" s="17" t="s">
        <v>42</v>
      </c>
      <c r="W740" s="5" t="s">
        <v>4386</v>
      </c>
      <c r="X740" s="3" t="s">
        <v>42</v>
      </c>
      <c r="Y740" s="3" t="s">
        <v>42</v>
      </c>
      <c r="Z740" s="3" t="s">
        <v>4387</v>
      </c>
      <c r="AA740" s="3" t="s">
        <v>4388</v>
      </c>
      <c r="AB740" s="3" t="s">
        <v>4389</v>
      </c>
      <c r="AC740" s="3" t="s">
        <v>4390</v>
      </c>
      <c r="AD740" s="3" t="s">
        <v>42</v>
      </c>
      <c r="AE740" s="5" t="s">
        <v>4391</v>
      </c>
      <c r="AF740" s="3" t="s">
        <v>60</v>
      </c>
      <c r="AG740" s="5" t="s">
        <v>4392</v>
      </c>
      <c r="AH740" s="3" t="s">
        <v>61</v>
      </c>
      <c r="AI740" s="3" t="s">
        <v>61</v>
      </c>
      <c r="AJ740" s="3" t="s">
        <v>42</v>
      </c>
      <c r="AK740" s="3" t="s">
        <v>42</v>
      </c>
      <c r="AL740" s="29">
        <v>45938</v>
      </c>
      <c r="AM740" s="5" t="s">
        <v>42</v>
      </c>
      <c r="AN740" s="9" t="str">
        <f>HYPERLINK("https://my.pitchbook.com?p=376874-47P", "View People Online")</f>
        <v>View People Online</v>
      </c>
    </row>
    <row r="741" spans="1:40" x14ac:dyDescent="0.2">
      <c r="A741" s="2" t="s">
        <v>6059</v>
      </c>
      <c r="B741" s="2" t="s">
        <v>6060</v>
      </c>
      <c r="C741" s="2" t="s">
        <v>42</v>
      </c>
      <c r="D741" s="2" t="s">
        <v>42</v>
      </c>
      <c r="E741" s="2" t="s">
        <v>6059</v>
      </c>
      <c r="F741" s="2" t="s">
        <v>6061</v>
      </c>
      <c r="G741" s="2" t="s">
        <v>6062</v>
      </c>
      <c r="H741" s="2" t="s">
        <v>6063</v>
      </c>
      <c r="I741" s="2" t="s">
        <v>46</v>
      </c>
      <c r="J741" s="2" t="s">
        <v>47</v>
      </c>
      <c r="K741" s="2" t="s">
        <v>4002</v>
      </c>
      <c r="L741" s="2" t="s">
        <v>111</v>
      </c>
      <c r="M741" s="8" t="str">
        <f>HYPERLINK("http://ipo.janamd.com.sa", "ipo.janamd.com.sa")</f>
        <v>ipo.janamd.com.sa</v>
      </c>
      <c r="N741" s="2" t="s">
        <v>210</v>
      </c>
      <c r="O741" s="2" t="s">
        <v>42</v>
      </c>
      <c r="P741" s="2" t="s">
        <v>6064</v>
      </c>
      <c r="Q741" s="2" t="s">
        <v>42</v>
      </c>
      <c r="R741" s="16" t="s">
        <v>42</v>
      </c>
      <c r="S741" s="16">
        <v>1</v>
      </c>
      <c r="T741" s="16">
        <v>1</v>
      </c>
      <c r="U741" s="16" t="s">
        <v>42</v>
      </c>
      <c r="V741" s="16" t="s">
        <v>42</v>
      </c>
      <c r="W741" s="4" t="s">
        <v>4004</v>
      </c>
      <c r="X741" s="2" t="s">
        <v>6065</v>
      </c>
      <c r="Y741" s="8" t="str">
        <f>HYPERLINK("http://linkedin.com/in/ziyad-alsulais", "http://linkedin.com/in/ziyad-alsulais")</f>
        <v>http://linkedin.com/in/ziyad-alsulais</v>
      </c>
      <c r="Z741" s="2" t="s">
        <v>55</v>
      </c>
      <c r="AA741" s="2" t="s">
        <v>4005</v>
      </c>
      <c r="AB741" s="2" t="s">
        <v>42</v>
      </c>
      <c r="AC741" s="2" t="s">
        <v>58</v>
      </c>
      <c r="AD741" s="2" t="s">
        <v>4006</v>
      </c>
      <c r="AE741" s="4" t="s">
        <v>4007</v>
      </c>
      <c r="AF741" s="2" t="s">
        <v>60</v>
      </c>
      <c r="AG741" s="4" t="s">
        <v>4004</v>
      </c>
      <c r="AH741" s="2" t="s">
        <v>61</v>
      </c>
      <c r="AI741" s="2" t="s">
        <v>61</v>
      </c>
      <c r="AJ741" s="2" t="s">
        <v>42</v>
      </c>
      <c r="AK741" s="2" t="s">
        <v>42</v>
      </c>
      <c r="AL741" s="28">
        <v>45996</v>
      </c>
      <c r="AM741" s="4" t="s">
        <v>42</v>
      </c>
      <c r="AN741" s="8" t="str">
        <f>HYPERLINK("https://my.pitchbook.com?p=476907-49P", "View People Online")</f>
        <v>View People Online</v>
      </c>
    </row>
    <row r="742" spans="1:40" x14ac:dyDescent="0.2">
      <c r="A742" s="3" t="s">
        <v>6066</v>
      </c>
      <c r="B742" s="3" t="s">
        <v>6067</v>
      </c>
      <c r="C742" s="3" t="s">
        <v>42</v>
      </c>
      <c r="D742" s="3" t="s">
        <v>42</v>
      </c>
      <c r="E742" s="3" t="s">
        <v>6066</v>
      </c>
      <c r="F742" s="3" t="s">
        <v>6068</v>
      </c>
      <c r="G742" s="3" t="s">
        <v>6062</v>
      </c>
      <c r="H742" s="3" t="s">
        <v>6069</v>
      </c>
      <c r="I742" s="3" t="s">
        <v>46</v>
      </c>
      <c r="J742" s="3" t="s">
        <v>47</v>
      </c>
      <c r="K742" s="3" t="s">
        <v>1912</v>
      </c>
      <c r="L742" s="3" t="s">
        <v>111</v>
      </c>
      <c r="M742" s="9" t="str">
        <f>HYPERLINK("http://www.aicc.com.sa", "www.aicc.com.sa")</f>
        <v>www.aicc.com.sa</v>
      </c>
      <c r="N742" s="3" t="s">
        <v>210</v>
      </c>
      <c r="O742" s="3" t="s">
        <v>42</v>
      </c>
      <c r="P742" s="3" t="s">
        <v>6070</v>
      </c>
      <c r="Q742" s="3" t="s">
        <v>42</v>
      </c>
      <c r="R742" s="17" t="s">
        <v>42</v>
      </c>
      <c r="S742" s="17">
        <v>1</v>
      </c>
      <c r="T742" s="17">
        <v>1</v>
      </c>
      <c r="U742" s="17" t="s">
        <v>42</v>
      </c>
      <c r="V742" s="17" t="s">
        <v>42</v>
      </c>
      <c r="W742" s="5" t="s">
        <v>1915</v>
      </c>
      <c r="X742" s="3" t="s">
        <v>42</v>
      </c>
      <c r="Y742" s="3" t="s">
        <v>42</v>
      </c>
      <c r="Z742" s="3" t="s">
        <v>55</v>
      </c>
      <c r="AA742" s="3" t="s">
        <v>1917</v>
      </c>
      <c r="AB742" s="3" t="s">
        <v>42</v>
      </c>
      <c r="AC742" s="3" t="s">
        <v>58</v>
      </c>
      <c r="AD742" s="3" t="s">
        <v>42</v>
      </c>
      <c r="AE742" s="5" t="s">
        <v>329</v>
      </c>
      <c r="AF742" s="3" t="s">
        <v>60</v>
      </c>
      <c r="AG742" s="5" t="s">
        <v>1918</v>
      </c>
      <c r="AH742" s="3" t="s">
        <v>61</v>
      </c>
      <c r="AI742" s="3" t="s">
        <v>61</v>
      </c>
      <c r="AJ742" s="3" t="s">
        <v>42</v>
      </c>
      <c r="AK742" s="3" t="s">
        <v>42</v>
      </c>
      <c r="AL742" s="29">
        <v>46052</v>
      </c>
      <c r="AM742" s="5" t="s">
        <v>42</v>
      </c>
      <c r="AN742" s="9" t="str">
        <f>HYPERLINK("https://my.pitchbook.com?p=339804-82P", "View People Online")</f>
        <v>View People Online</v>
      </c>
    </row>
    <row r="744" spans="1:40" x14ac:dyDescent="0.2">
      <c r="A744" s="38" t="s">
        <v>6071</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48"/>
  <sheetViews>
    <sheetView workbookViewId="0"/>
  </sheetViews>
  <sheetFormatPr baseColWidth="10" defaultColWidth="8.83203125" defaultRowHeight="15" x14ac:dyDescent="0.2"/>
  <sheetData>
    <row r="1" spans="1:1" x14ac:dyDescent="0.2">
      <c r="A1" s="2"/>
    </row>
    <row r="2" spans="1:1" x14ac:dyDescent="0.2">
      <c r="A2" s="3"/>
    </row>
    <row r="3" spans="1:1" x14ac:dyDescent="0.2">
      <c r="A3" s="4"/>
    </row>
    <row r="4" spans="1:1" x14ac:dyDescent="0.2">
      <c r="A4" s="5"/>
    </row>
    <row r="5" spans="1:1" x14ac:dyDescent="0.2">
      <c r="A5" s="6"/>
    </row>
    <row r="6" spans="1:1" x14ac:dyDescent="0.2">
      <c r="A6" s="7"/>
    </row>
    <row r="7" spans="1:1" x14ac:dyDescent="0.2">
      <c r="A7" s="8"/>
    </row>
    <row r="8" spans="1:1" x14ac:dyDescent="0.2">
      <c r="A8" s="9"/>
    </row>
    <row r="9" spans="1:1" x14ac:dyDescent="0.2">
      <c r="A9" s="10"/>
    </row>
    <row r="10" spans="1:1" x14ac:dyDescent="0.2">
      <c r="A10" s="11"/>
    </row>
    <row r="11" spans="1:1" x14ac:dyDescent="0.2">
      <c r="A11" s="12"/>
    </row>
    <row r="12" spans="1:1" x14ac:dyDescent="0.2">
      <c r="A12" s="13"/>
    </row>
    <row r="13" spans="1:1" x14ac:dyDescent="0.2">
      <c r="A13" s="2"/>
    </row>
    <row r="14" spans="1:1" x14ac:dyDescent="0.2">
      <c r="A14" s="3"/>
    </row>
    <row r="15" spans="1:1" x14ac:dyDescent="0.2">
      <c r="A15" s="4"/>
    </row>
    <row r="16" spans="1:1" x14ac:dyDescent="0.2">
      <c r="A16" s="5"/>
    </row>
    <row r="17" spans="1:1" x14ac:dyDescent="0.2">
      <c r="A17" s="6"/>
    </row>
    <row r="18" spans="1:1" x14ac:dyDescent="0.2">
      <c r="A18" s="7"/>
    </row>
    <row r="19" spans="1:1" x14ac:dyDescent="0.2">
      <c r="A19" s="8"/>
    </row>
    <row r="20" spans="1:1" x14ac:dyDescent="0.2">
      <c r="A20" s="9"/>
    </row>
    <row r="21" spans="1:1" x14ac:dyDescent="0.2">
      <c r="A21" s="10"/>
    </row>
    <row r="22" spans="1:1" x14ac:dyDescent="0.2">
      <c r="A22" s="11"/>
    </row>
    <row r="23" spans="1:1" x14ac:dyDescent="0.2">
      <c r="A23" s="12"/>
    </row>
    <row r="24" spans="1:1" x14ac:dyDescent="0.2">
      <c r="A24" s="13"/>
    </row>
    <row r="25" spans="1:1" x14ac:dyDescent="0.2">
      <c r="A25" s="14"/>
    </row>
    <row r="26" spans="1:1" x14ac:dyDescent="0.2">
      <c r="A26" s="15"/>
    </row>
    <row r="27" spans="1:1" x14ac:dyDescent="0.2">
      <c r="A27" s="16"/>
    </row>
    <row r="28" spans="1:1" x14ac:dyDescent="0.2">
      <c r="A28" s="17"/>
    </row>
    <row r="29" spans="1:1" x14ac:dyDescent="0.2">
      <c r="A29" s="18"/>
    </row>
    <row r="30" spans="1:1" x14ac:dyDescent="0.2">
      <c r="A30" s="19"/>
    </row>
    <row r="31" spans="1:1" x14ac:dyDescent="0.2">
      <c r="A31" s="20"/>
    </row>
    <row r="32" spans="1:1" x14ac:dyDescent="0.2">
      <c r="A32" s="21"/>
    </row>
    <row r="33" spans="1:1" x14ac:dyDescent="0.2">
      <c r="A33" s="22"/>
    </row>
    <row r="34" spans="1:1" x14ac:dyDescent="0.2">
      <c r="A34" s="23"/>
    </row>
    <row r="35" spans="1:1" x14ac:dyDescent="0.2">
      <c r="A35" s="24"/>
    </row>
    <row r="36" spans="1:1" x14ac:dyDescent="0.2">
      <c r="A36" s="25"/>
    </row>
    <row r="37" spans="1:1" x14ac:dyDescent="0.2">
      <c r="A37" s="26"/>
    </row>
    <row r="38" spans="1:1" x14ac:dyDescent="0.2">
      <c r="A38" s="27"/>
    </row>
    <row r="39" spans="1:1" x14ac:dyDescent="0.2">
      <c r="A39" s="28"/>
    </row>
    <row r="40" spans="1:1" x14ac:dyDescent="0.2">
      <c r="A40" s="29"/>
    </row>
    <row r="41" spans="1:1" x14ac:dyDescent="0.2">
      <c r="A41" s="30"/>
    </row>
    <row r="42" spans="1:1" x14ac:dyDescent="0.2">
      <c r="A42" s="31"/>
    </row>
    <row r="43" spans="1:1" x14ac:dyDescent="0.2">
      <c r="A43" s="32"/>
    </row>
    <row r="44" spans="1:1" x14ac:dyDescent="0.2">
      <c r="A44" s="33"/>
    </row>
    <row r="45" spans="1:1" x14ac:dyDescent="0.2">
      <c r="A45" s="34"/>
    </row>
    <row r="46" spans="1:1" x14ac:dyDescent="0.2">
      <c r="A46" s="35"/>
    </row>
    <row r="47" spans="1:1" x14ac:dyDescent="0.2">
      <c r="A47" s="36"/>
    </row>
    <row r="48" spans="1:1" x14ac:dyDescent="0.2">
      <c r="A48" s="3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5"/>
  <sheetViews>
    <sheetView showGridLines="0" workbookViewId="0"/>
  </sheetViews>
  <sheetFormatPr baseColWidth="10" defaultColWidth="8.83203125" defaultRowHeight="15" x14ac:dyDescent="0.2"/>
  <cols>
    <col min="1" max="1" width="10.5" customWidth="1"/>
    <col min="2" max="2" width="49.1640625" customWidth="1"/>
    <col min="3" max="3" width="27.6640625" customWidth="1"/>
    <col min="4" max="4" width="4.5" customWidth="1"/>
    <col min="5" max="5" width="22.1640625" customWidth="1"/>
  </cols>
  <sheetData>
    <row r="1" spans="1:5" ht="20" x14ac:dyDescent="0.2">
      <c r="A1" s="39" t="s">
        <v>6072</v>
      </c>
    </row>
    <row r="3" spans="1:5" x14ac:dyDescent="0.2">
      <c r="A3" s="40" t="s">
        <v>6073</v>
      </c>
    </row>
    <row r="4" spans="1:5" x14ac:dyDescent="0.2">
      <c r="A4" s="41" t="s">
        <v>6074</v>
      </c>
    </row>
    <row r="6" spans="1:5" x14ac:dyDescent="0.2">
      <c r="A6" s="40" t="s">
        <v>6075</v>
      </c>
      <c r="C6" s="41" t="s">
        <v>6076</v>
      </c>
      <c r="E6" s="40" t="s">
        <v>6077</v>
      </c>
    </row>
    <row r="8" spans="1:5" x14ac:dyDescent="0.2">
      <c r="A8" s="40" t="s">
        <v>6078</v>
      </c>
    </row>
    <row r="9" spans="1:5" x14ac:dyDescent="0.2">
      <c r="A9" s="42" t="s">
        <v>6079</v>
      </c>
      <c r="B9" s="40" t="s">
        <v>6080</v>
      </c>
    </row>
    <row r="10" spans="1:5" x14ac:dyDescent="0.2">
      <c r="A10" s="42" t="s">
        <v>6081</v>
      </c>
      <c r="B10" s="40" t="s">
        <v>6082</v>
      </c>
    </row>
    <row r="11" spans="1:5" x14ac:dyDescent="0.2">
      <c r="A11" s="42" t="s">
        <v>6083</v>
      </c>
      <c r="B11" s="40" t="s">
        <v>6084</v>
      </c>
    </row>
    <row r="13" spans="1:5" x14ac:dyDescent="0.2">
      <c r="A13" s="40" t="s">
        <v>6085</v>
      </c>
      <c r="B13" s="41" t="s">
        <v>6074</v>
      </c>
    </row>
    <row r="15" spans="1:5" x14ac:dyDescent="0.2">
      <c r="A15" s="38" t="s">
        <v>6071</v>
      </c>
    </row>
  </sheetData>
  <sheetProtection algorithmName="SHA-512" hashValue="c62IlPYdPb9o7mRXCnuynNShbswzrWiKUTG1GnOHqtUlVqsrmTvNVo5rM/c1BvN591f/IRh4uu/GvH4XK6y6Ig==" saltValue="ydPWTIDPEBz+DQ2+vjbFng==" spinCount="100000" sheet="1" objects="1" scenarios="1"/>
  <hyperlinks>
    <hyperlink ref="A4" r:id="rId1" xr:uid="{00000000-0004-0000-0200-000000000000}"/>
    <hyperlink ref="C6" r:id="rId2" xr:uid="{00000000-0004-0000-0200-000001000000}"/>
    <hyperlink ref="B13" r:id="rId3" xr:uid="{00000000-0004-0000-0200-000002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Data</vt:lpstr>
      <vt:lpstr>Disclaimer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Jason Raziano</cp:lastModifiedBy>
  <dcterms:created xsi:type="dcterms:W3CDTF">2026-02-05T17:44:12Z</dcterms:created>
  <dcterms:modified xsi:type="dcterms:W3CDTF">2026-02-05T17:44:12Z</dcterms:modified>
</cp:coreProperties>
</file>