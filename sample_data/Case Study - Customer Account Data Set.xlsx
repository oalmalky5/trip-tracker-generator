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jasonraziano/Downloads/"/>
    </mc:Choice>
  </mc:AlternateContent>
  <xr:revisionPtr revIDLastSave="0" documentId="8_{CE9A5333-C9C9-3847-8274-5964FEB654D0}" xr6:coauthVersionLast="47" xr6:coauthVersionMax="47" xr10:uidLastSave="{00000000-0000-0000-0000-000000000000}"/>
  <bookViews>
    <workbookView xWindow="2000" yWindow="-21100" windowWidth="37380" windowHeight="20360" tabRatio="500" xr2:uid="{00000000-000D-0000-FFFF-FFFF00000000}"/>
  </bookViews>
  <sheets>
    <sheet name="Data" sheetId="2" r:id="rId1"/>
    <sheet name="hidden_styles_1" sheetId="3" state="veryHidden" r:id="rId2"/>
    <sheet name="Disclaimer"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82" i="2" l="1"/>
  <c r="Y381" i="2"/>
  <c r="X381" i="2"/>
  <c r="X380" i="2"/>
  <c r="Y379" i="2"/>
  <c r="X379" i="2"/>
  <c r="Y378" i="2"/>
  <c r="X378" i="2"/>
  <c r="Y377" i="2"/>
  <c r="X377" i="2"/>
  <c r="X376" i="2"/>
  <c r="Y375" i="2"/>
  <c r="X375" i="2"/>
  <c r="X374" i="2"/>
  <c r="Y373" i="2"/>
  <c r="X373" i="2"/>
  <c r="Y372" i="2"/>
  <c r="X372" i="2"/>
  <c r="Y371" i="2"/>
  <c r="X371" i="2"/>
  <c r="X370" i="2"/>
  <c r="Y369" i="2"/>
  <c r="X369" i="2"/>
  <c r="Y368" i="2"/>
  <c r="X368" i="2"/>
  <c r="Y367" i="2"/>
  <c r="X367" i="2"/>
  <c r="X366" i="2"/>
  <c r="Y365" i="2"/>
  <c r="X365" i="2"/>
  <c r="X364" i="2"/>
  <c r="Y363" i="2"/>
  <c r="X363" i="2"/>
  <c r="Y362" i="2"/>
  <c r="X362" i="2"/>
  <c r="Y361" i="2"/>
  <c r="X361" i="2"/>
  <c r="X360" i="2"/>
  <c r="Y359" i="2"/>
  <c r="X359" i="2"/>
  <c r="X358" i="2"/>
  <c r="Y357" i="2"/>
  <c r="X357" i="2"/>
  <c r="X356" i="2"/>
  <c r="Y355" i="2"/>
  <c r="X355" i="2"/>
  <c r="Y354" i="2"/>
  <c r="X354" i="2"/>
  <c r="Y353" i="2"/>
  <c r="X353" i="2"/>
  <c r="Y352" i="2"/>
  <c r="X352" i="2"/>
  <c r="Y351" i="2"/>
  <c r="X351" i="2"/>
  <c r="Y350" i="2"/>
  <c r="X350" i="2"/>
  <c r="Y349" i="2"/>
  <c r="X349" i="2"/>
  <c r="Y348" i="2"/>
  <c r="X348" i="2"/>
  <c r="Y347" i="2"/>
  <c r="X347" i="2"/>
  <c r="Y346" i="2"/>
  <c r="X346" i="2"/>
  <c r="Y345" i="2"/>
  <c r="X345" i="2"/>
  <c r="Y344" i="2"/>
  <c r="X344" i="2"/>
  <c r="X343" i="2"/>
  <c r="Y342" i="2"/>
  <c r="X342" i="2"/>
  <c r="X341" i="2"/>
  <c r="Y340" i="2"/>
  <c r="X340" i="2"/>
  <c r="X339" i="2"/>
  <c r="Y338" i="2"/>
  <c r="X338" i="2"/>
  <c r="Y337" i="2"/>
  <c r="X337" i="2"/>
  <c r="Y336" i="2"/>
  <c r="X336" i="2"/>
  <c r="Y335" i="2"/>
  <c r="X335" i="2"/>
  <c r="Y334" i="2"/>
  <c r="X334" i="2"/>
  <c r="Y333" i="2"/>
  <c r="X333" i="2"/>
  <c r="Y332" i="2"/>
  <c r="X332" i="2"/>
  <c r="Y331" i="2"/>
  <c r="X331" i="2"/>
  <c r="Y330" i="2"/>
  <c r="X330" i="2"/>
  <c r="X329" i="2"/>
  <c r="Y328" i="2"/>
  <c r="X328" i="2"/>
  <c r="Y327" i="2"/>
  <c r="X327" i="2"/>
  <c r="Y326" i="2"/>
  <c r="X326" i="2"/>
  <c r="Y325" i="2"/>
  <c r="X325" i="2"/>
  <c r="Y324" i="2"/>
  <c r="X324" i="2"/>
  <c r="Y323" i="2"/>
  <c r="X323" i="2"/>
  <c r="Y322" i="2"/>
  <c r="X322" i="2"/>
  <c r="Y321" i="2"/>
  <c r="X321" i="2"/>
  <c r="Y320" i="2"/>
  <c r="X320" i="2"/>
  <c r="Y319" i="2"/>
  <c r="X319" i="2"/>
  <c r="Y318" i="2"/>
  <c r="X318" i="2"/>
  <c r="Y317" i="2"/>
  <c r="X317" i="2"/>
  <c r="Y316" i="2"/>
  <c r="X316" i="2"/>
  <c r="Y315" i="2"/>
  <c r="X315" i="2"/>
  <c r="Y314" i="2"/>
  <c r="X314" i="2"/>
  <c r="Y313" i="2"/>
  <c r="X313" i="2"/>
  <c r="Y312" i="2"/>
  <c r="X312" i="2"/>
  <c r="Y311" i="2"/>
  <c r="X311" i="2"/>
  <c r="Y310" i="2"/>
  <c r="X310" i="2"/>
  <c r="Y309" i="2"/>
  <c r="X309" i="2"/>
  <c r="Y308" i="2"/>
  <c r="X308" i="2"/>
  <c r="Y307" i="2"/>
  <c r="X307" i="2"/>
  <c r="Y306" i="2"/>
  <c r="X306" i="2"/>
  <c r="Y305" i="2"/>
  <c r="X305" i="2"/>
  <c r="X304" i="2"/>
  <c r="Y303" i="2"/>
  <c r="X303" i="2"/>
  <c r="Y302" i="2"/>
  <c r="X302" i="2"/>
  <c r="Y301" i="2"/>
  <c r="X301" i="2"/>
  <c r="Y300" i="2"/>
  <c r="X300" i="2"/>
  <c r="Y299" i="2"/>
  <c r="X299" i="2"/>
  <c r="Y298" i="2"/>
  <c r="X298" i="2"/>
  <c r="Y297" i="2"/>
  <c r="X297" i="2"/>
  <c r="Y296" i="2"/>
  <c r="X296" i="2"/>
  <c r="X295" i="2"/>
  <c r="Y294" i="2"/>
  <c r="X294" i="2"/>
  <c r="Y293" i="2"/>
  <c r="X293" i="2"/>
  <c r="Y292" i="2"/>
  <c r="X292" i="2"/>
  <c r="Y291" i="2"/>
  <c r="X291" i="2"/>
  <c r="Y290" i="2"/>
  <c r="X290" i="2"/>
  <c r="Y289" i="2"/>
  <c r="X289" i="2"/>
  <c r="Y288" i="2"/>
  <c r="X288" i="2"/>
  <c r="X287" i="2"/>
  <c r="Y286" i="2"/>
  <c r="X286" i="2"/>
  <c r="Y285" i="2"/>
  <c r="X285" i="2"/>
  <c r="Y284" i="2"/>
  <c r="X284" i="2"/>
  <c r="Y283" i="2"/>
  <c r="X283" i="2"/>
  <c r="Y282" i="2"/>
  <c r="X282" i="2"/>
  <c r="Y281" i="2"/>
  <c r="X281" i="2"/>
  <c r="Y280" i="2"/>
  <c r="X280" i="2"/>
  <c r="Y279" i="2"/>
  <c r="X279" i="2"/>
  <c r="Y278" i="2"/>
  <c r="X278" i="2"/>
  <c r="X277" i="2"/>
  <c r="Y276" i="2"/>
  <c r="X276" i="2"/>
  <c r="Y275" i="2"/>
  <c r="X275" i="2"/>
  <c r="Y274" i="2"/>
  <c r="X274" i="2"/>
  <c r="Y273" i="2"/>
  <c r="X273" i="2"/>
  <c r="X272" i="2"/>
  <c r="Y271" i="2"/>
  <c r="X271" i="2"/>
  <c r="Y270" i="2"/>
  <c r="X270" i="2"/>
  <c r="X269" i="2"/>
  <c r="Y268" i="2"/>
  <c r="X268" i="2"/>
  <c r="Y267" i="2"/>
  <c r="Y265" i="2"/>
  <c r="X265" i="2"/>
  <c r="X264" i="2"/>
  <c r="Y263" i="2"/>
  <c r="X263" i="2"/>
  <c r="X262" i="2"/>
  <c r="Y261" i="2"/>
  <c r="X261" i="2"/>
  <c r="Y260" i="2"/>
  <c r="X260" i="2"/>
  <c r="X259" i="2"/>
  <c r="Y258" i="2"/>
  <c r="X258" i="2"/>
  <c r="X256" i="2"/>
  <c r="Y255" i="2"/>
  <c r="X255" i="2"/>
  <c r="X253" i="2"/>
  <c r="Y251" i="2"/>
  <c r="X251" i="2"/>
  <c r="X249" i="2"/>
  <c r="X247" i="2"/>
  <c r="X245" i="2"/>
  <c r="Y244" i="2"/>
  <c r="X244" i="2"/>
  <c r="Y242" i="2"/>
  <c r="X242" i="2"/>
  <c r="X241" i="2"/>
  <c r="Y240" i="2"/>
  <c r="X240" i="2"/>
  <c r="Y239" i="2"/>
  <c r="X239" i="2"/>
  <c r="Y238" i="2"/>
  <c r="X238" i="2"/>
  <c r="Y237" i="2"/>
  <c r="X237" i="2"/>
  <c r="Y236" i="2"/>
  <c r="X236" i="2"/>
  <c r="Y235" i="2"/>
  <c r="X235" i="2"/>
  <c r="Y234" i="2"/>
  <c r="X234" i="2"/>
  <c r="Y233" i="2"/>
  <c r="X233" i="2"/>
  <c r="Y232" i="2"/>
  <c r="X232" i="2"/>
  <c r="Y231" i="2"/>
  <c r="X231" i="2"/>
  <c r="Y230" i="2"/>
  <c r="X230" i="2"/>
  <c r="Y229" i="2"/>
  <c r="X229" i="2"/>
  <c r="Y228" i="2"/>
  <c r="X228" i="2"/>
  <c r="Y227" i="2"/>
  <c r="X227" i="2"/>
  <c r="Y226" i="2"/>
  <c r="X226" i="2"/>
  <c r="Y225" i="2"/>
  <c r="X225" i="2"/>
  <c r="Y224" i="2"/>
  <c r="X224" i="2"/>
  <c r="Y223" i="2"/>
  <c r="X223" i="2"/>
  <c r="Y222" i="2"/>
  <c r="X222" i="2"/>
  <c r="Y221" i="2"/>
  <c r="X221" i="2"/>
  <c r="X220" i="2"/>
  <c r="X219" i="2"/>
  <c r="Y218" i="2"/>
  <c r="X218" i="2"/>
  <c r="Y217" i="2"/>
  <c r="X217" i="2"/>
  <c r="Y216" i="2"/>
  <c r="X216" i="2"/>
  <c r="Y215" i="2"/>
  <c r="X215" i="2"/>
  <c r="X214" i="2"/>
  <c r="X213" i="2"/>
  <c r="Y212" i="2"/>
  <c r="X212" i="2"/>
  <c r="X211" i="2"/>
  <c r="Y210" i="2"/>
  <c r="X210" i="2"/>
  <c r="Y209" i="2"/>
  <c r="X209" i="2"/>
  <c r="Y208" i="2"/>
  <c r="X208" i="2"/>
  <c r="Y207" i="2"/>
  <c r="X207" i="2"/>
  <c r="Y206" i="2"/>
  <c r="X206" i="2"/>
  <c r="X205" i="2"/>
  <c r="X204" i="2"/>
  <c r="Y203" i="2"/>
  <c r="X203" i="2"/>
  <c r="Y202" i="2"/>
  <c r="X202" i="2"/>
  <c r="Y201" i="2"/>
  <c r="X201" i="2"/>
  <c r="Y200" i="2"/>
  <c r="X200" i="2"/>
  <c r="Y199" i="2"/>
  <c r="X199" i="2"/>
  <c r="Y198" i="2"/>
  <c r="X198" i="2"/>
  <c r="Y197" i="2"/>
  <c r="X197" i="2"/>
  <c r="Y196" i="2"/>
  <c r="X196" i="2"/>
  <c r="Y195" i="2"/>
  <c r="X195" i="2"/>
  <c r="Y194" i="2"/>
  <c r="X194" i="2"/>
  <c r="Y193" i="2"/>
  <c r="X193" i="2"/>
  <c r="Y192" i="2"/>
  <c r="X192" i="2"/>
  <c r="Y191" i="2"/>
  <c r="X191" i="2"/>
  <c r="Y190" i="2"/>
  <c r="X190" i="2"/>
  <c r="Y189" i="2"/>
  <c r="X189" i="2"/>
  <c r="Y188" i="2"/>
  <c r="X188" i="2"/>
  <c r="X186" i="2"/>
  <c r="Y185" i="2"/>
  <c r="X185" i="2"/>
  <c r="Y184" i="2"/>
  <c r="X184" i="2"/>
  <c r="Y183" i="2"/>
  <c r="X183" i="2"/>
  <c r="Y182" i="2"/>
  <c r="X182" i="2"/>
  <c r="Y181" i="2"/>
  <c r="X181" i="2"/>
  <c r="Y180" i="2"/>
  <c r="X180" i="2"/>
  <c r="Y179" i="2"/>
  <c r="X179" i="2"/>
  <c r="Y178" i="2"/>
  <c r="X178" i="2"/>
  <c r="X177" i="2"/>
  <c r="Y176" i="2"/>
  <c r="X176" i="2"/>
  <c r="Y175" i="2"/>
  <c r="X175" i="2"/>
  <c r="Y174" i="2"/>
  <c r="X174" i="2"/>
  <c r="Y173" i="2"/>
  <c r="X173" i="2"/>
  <c r="Y172" i="2"/>
  <c r="X172" i="2"/>
  <c r="Y171" i="2"/>
  <c r="X171" i="2"/>
  <c r="X170" i="2"/>
  <c r="X169" i="2"/>
  <c r="Y168" i="2"/>
  <c r="X168" i="2"/>
  <c r="Y167" i="2"/>
  <c r="X167" i="2"/>
  <c r="Y166" i="2"/>
  <c r="X166" i="2"/>
  <c r="X165" i="2"/>
  <c r="Y164" i="2"/>
  <c r="X164" i="2"/>
  <c r="X163" i="2"/>
  <c r="Y162" i="2"/>
  <c r="X162" i="2"/>
  <c r="Y161" i="2"/>
  <c r="X161" i="2"/>
  <c r="Y160" i="2"/>
  <c r="X160" i="2"/>
  <c r="Y159" i="2"/>
  <c r="X159" i="2"/>
  <c r="Y158" i="2"/>
  <c r="X158" i="2"/>
  <c r="Y157" i="2"/>
  <c r="X157" i="2"/>
  <c r="Y156" i="2"/>
  <c r="X156" i="2"/>
  <c r="Y155" i="2"/>
  <c r="X155" i="2"/>
  <c r="Y154" i="2"/>
  <c r="X154" i="2"/>
  <c r="Y152" i="2"/>
  <c r="X152" i="2"/>
  <c r="X151" i="2"/>
  <c r="Y150" i="2"/>
  <c r="X150" i="2"/>
  <c r="Y149" i="2"/>
  <c r="X149" i="2"/>
  <c r="Y148" i="2"/>
  <c r="X148" i="2"/>
  <c r="Y147" i="2"/>
  <c r="X147" i="2"/>
  <c r="Y146" i="2"/>
  <c r="X146" i="2"/>
  <c r="Y145" i="2"/>
  <c r="X145" i="2"/>
  <c r="Y144" i="2"/>
  <c r="X144" i="2"/>
  <c r="Y143" i="2"/>
  <c r="X143" i="2"/>
  <c r="Y142" i="2"/>
  <c r="X142" i="2"/>
  <c r="Y141" i="2"/>
  <c r="X141" i="2"/>
  <c r="X140" i="2"/>
  <c r="Y139" i="2"/>
  <c r="X139" i="2"/>
  <c r="X138" i="2"/>
  <c r="Y137" i="2"/>
  <c r="X137" i="2"/>
  <c r="X136" i="2"/>
  <c r="Y135" i="2"/>
  <c r="X135" i="2"/>
  <c r="Y134" i="2"/>
  <c r="X134" i="2"/>
  <c r="Y133" i="2"/>
  <c r="X133" i="2"/>
  <c r="Y132" i="2"/>
  <c r="X132" i="2"/>
  <c r="X131" i="2"/>
  <c r="Y130" i="2"/>
  <c r="X130" i="2"/>
  <c r="Y129" i="2"/>
  <c r="X129" i="2"/>
  <c r="Y128" i="2"/>
  <c r="X128" i="2"/>
  <c r="Y127" i="2"/>
  <c r="X127" i="2"/>
  <c r="Y126" i="2"/>
  <c r="X126" i="2"/>
  <c r="X125" i="2"/>
  <c r="Y124" i="2"/>
  <c r="X124" i="2"/>
  <c r="X123" i="2"/>
  <c r="Y122" i="2"/>
  <c r="X122" i="2"/>
  <c r="Y121" i="2"/>
  <c r="X121" i="2"/>
  <c r="Y120" i="2"/>
  <c r="X120" i="2"/>
  <c r="X119" i="2"/>
  <c r="Y118" i="2"/>
  <c r="X118" i="2"/>
  <c r="X117" i="2"/>
  <c r="Y116" i="2"/>
  <c r="X116" i="2"/>
  <c r="Y115" i="2"/>
  <c r="X115" i="2"/>
  <c r="X114" i="2"/>
  <c r="X113" i="2"/>
  <c r="X112" i="2"/>
  <c r="Y111" i="2"/>
  <c r="X111" i="2"/>
  <c r="Y110" i="2"/>
  <c r="X110" i="2"/>
  <c r="Y109" i="2"/>
  <c r="X109" i="2"/>
  <c r="Y108" i="2"/>
  <c r="X108" i="2"/>
  <c r="Y107" i="2"/>
  <c r="X107" i="2"/>
  <c r="Y106" i="2"/>
  <c r="X106" i="2"/>
  <c r="X105" i="2"/>
  <c r="Y104" i="2"/>
  <c r="X104" i="2"/>
  <c r="Y103" i="2"/>
  <c r="X103" i="2"/>
  <c r="Y102" i="2"/>
  <c r="X102" i="2"/>
  <c r="Y101" i="2"/>
  <c r="X101" i="2"/>
  <c r="Y100" i="2"/>
  <c r="X100" i="2"/>
  <c r="Y99" i="2"/>
  <c r="X99" i="2"/>
  <c r="X98" i="2"/>
  <c r="Y97" i="2"/>
  <c r="X97" i="2"/>
  <c r="Y96" i="2"/>
  <c r="X96" i="2"/>
  <c r="Y95" i="2"/>
  <c r="X95" i="2"/>
  <c r="Y94" i="2"/>
  <c r="X94" i="2"/>
  <c r="X93" i="2"/>
  <c r="X92" i="2"/>
  <c r="Y91" i="2"/>
  <c r="X91" i="2"/>
  <c r="Y90" i="2"/>
  <c r="X90" i="2"/>
  <c r="Y89" i="2"/>
  <c r="X89" i="2"/>
  <c r="X88" i="2"/>
  <c r="X87" i="2"/>
  <c r="X86" i="2"/>
  <c r="Y85" i="2"/>
  <c r="X85" i="2"/>
  <c r="Y84" i="2"/>
  <c r="X84" i="2"/>
  <c r="Y83" i="2"/>
  <c r="X83" i="2"/>
  <c r="Y82" i="2"/>
  <c r="X82" i="2"/>
  <c r="Y81" i="2"/>
  <c r="X81" i="2"/>
  <c r="Y80" i="2"/>
  <c r="X80" i="2"/>
  <c r="Y79" i="2"/>
  <c r="X79" i="2"/>
  <c r="Y78" i="2"/>
  <c r="X78" i="2"/>
  <c r="Y76" i="2"/>
  <c r="X75" i="2"/>
  <c r="Y74" i="2"/>
  <c r="X74" i="2"/>
  <c r="Y73" i="2"/>
  <c r="X73" i="2"/>
  <c r="Y72" i="2"/>
  <c r="X72" i="2"/>
  <c r="Y71" i="2"/>
  <c r="X71" i="2"/>
  <c r="X70" i="2"/>
  <c r="Y69" i="2"/>
  <c r="X69" i="2"/>
  <c r="Y68" i="2"/>
  <c r="X68" i="2"/>
  <c r="Y67" i="2"/>
  <c r="X67" i="2"/>
  <c r="Y66" i="2"/>
  <c r="X66" i="2"/>
  <c r="Y65" i="2"/>
  <c r="X65" i="2"/>
  <c r="Y64" i="2"/>
  <c r="X64" i="2"/>
  <c r="Y63" i="2"/>
  <c r="X63" i="2"/>
  <c r="X62" i="2"/>
  <c r="Y61" i="2"/>
  <c r="X61" i="2"/>
  <c r="Y60" i="2"/>
  <c r="X60" i="2"/>
  <c r="Y59" i="2"/>
  <c r="X59" i="2"/>
  <c r="Y58" i="2"/>
  <c r="X58" i="2"/>
  <c r="Y57" i="2"/>
  <c r="X57" i="2"/>
  <c r="Y56" i="2"/>
  <c r="X56" i="2"/>
  <c r="Y55" i="2"/>
  <c r="X55" i="2"/>
  <c r="Y54" i="2"/>
  <c r="X54" i="2"/>
  <c r="Y53" i="2"/>
  <c r="X53" i="2"/>
  <c r="Y52" i="2"/>
  <c r="X52" i="2"/>
  <c r="Y51" i="2"/>
  <c r="X51" i="2"/>
  <c r="X50" i="2"/>
  <c r="Y49" i="2"/>
  <c r="X49" i="2"/>
  <c r="Y48" i="2"/>
  <c r="X48" i="2"/>
  <c r="Y47" i="2"/>
  <c r="X47" i="2"/>
  <c r="Y46" i="2"/>
  <c r="X46" i="2"/>
  <c r="Y45" i="2"/>
  <c r="X45" i="2"/>
  <c r="Y44" i="2"/>
  <c r="X44" i="2"/>
  <c r="Y43" i="2"/>
  <c r="X43" i="2"/>
  <c r="Y42" i="2"/>
  <c r="X42" i="2"/>
  <c r="Y41" i="2"/>
  <c r="X41" i="2"/>
  <c r="X40" i="2"/>
  <c r="Y39" i="2"/>
  <c r="X39" i="2"/>
  <c r="X38" i="2"/>
  <c r="Y37" i="2"/>
  <c r="X37" i="2"/>
  <c r="Y36" i="2"/>
  <c r="X36" i="2"/>
  <c r="Y35" i="2"/>
  <c r="X35" i="2"/>
  <c r="Y34" i="2"/>
  <c r="X34" i="2"/>
  <c r="Y33" i="2"/>
  <c r="X33" i="2"/>
  <c r="Y32" i="2"/>
  <c r="X32" i="2"/>
  <c r="Y31" i="2"/>
  <c r="X31" i="2"/>
  <c r="Y30" i="2"/>
  <c r="X30" i="2"/>
  <c r="X29" i="2"/>
  <c r="Y28" i="2"/>
  <c r="X28" i="2"/>
  <c r="Y27" i="2"/>
  <c r="X27" i="2"/>
  <c r="Y26" i="2"/>
  <c r="X26" i="2"/>
  <c r="Y25" i="2"/>
  <c r="X25" i="2"/>
  <c r="Y24" i="2"/>
  <c r="X24" i="2"/>
  <c r="Y23" i="2"/>
  <c r="X23" i="2"/>
  <c r="Y22" i="2"/>
  <c r="X22" i="2"/>
  <c r="Y21" i="2"/>
  <c r="X21" i="2"/>
  <c r="Y20" i="2"/>
  <c r="X20" i="2"/>
  <c r="Y19" i="2"/>
  <c r="X19" i="2"/>
  <c r="Y18" i="2"/>
  <c r="X18" i="2"/>
  <c r="Y17" i="2"/>
  <c r="X17" i="2"/>
  <c r="Y16" i="2"/>
  <c r="X16" i="2"/>
  <c r="Y15" i="2"/>
  <c r="X15" i="2"/>
  <c r="Y14" i="2"/>
  <c r="X14" i="2"/>
  <c r="Y13" i="2"/>
  <c r="X13" i="2"/>
  <c r="Y12" i="2"/>
  <c r="X12" i="2"/>
  <c r="Y11" i="2"/>
  <c r="X11" i="2"/>
  <c r="X10" i="2"/>
  <c r="Y9" i="2"/>
  <c r="X9" i="2"/>
  <c r="Y8" i="2"/>
  <c r="X8" i="2"/>
  <c r="Y7" i="2"/>
  <c r="X7" i="2"/>
  <c r="Y6" i="2"/>
  <c r="X6" i="2"/>
  <c r="Y5" i="2"/>
  <c r="X5" i="2"/>
  <c r="Y4" i="2"/>
  <c r="X4" i="2"/>
  <c r="X3" i="2"/>
  <c r="Y2" i="2"/>
  <c r="X2" i="2"/>
</calcChain>
</file>

<file path=xl/sharedStrings.xml><?xml version="1.0" encoding="utf-8"?>
<sst xmlns="http://schemas.openxmlformats.org/spreadsheetml/2006/main" count="17699" uniqueCount="6060">
  <si>
    <t>Company ID</t>
  </si>
  <si>
    <t>Companies</t>
  </si>
  <si>
    <t>Latest Note</t>
  </si>
  <si>
    <t>Latest Note - Author</t>
  </si>
  <si>
    <t>Company Former Name</t>
  </si>
  <si>
    <t>Company Also Known As</t>
  </si>
  <si>
    <t>Company Legal Name</t>
  </si>
  <si>
    <t>Registration Number</t>
  </si>
  <si>
    <t>Company Registry</t>
  </si>
  <si>
    <t>Competitors</t>
  </si>
  <si>
    <t>PBId</t>
  </si>
  <si>
    <t>Description</t>
  </si>
  <si>
    <t>Primary Industry Sector</t>
  </si>
  <si>
    <t>Primary Industry Group</t>
  </si>
  <si>
    <t>Primary Industry Code</t>
  </si>
  <si>
    <t>All Industries</t>
  </si>
  <si>
    <t>Verticals</t>
  </si>
  <si>
    <t>Keywords</t>
  </si>
  <si>
    <t>Company Financing Status</t>
  </si>
  <si>
    <t>Total Raised</t>
  </si>
  <si>
    <t>Business Status</t>
  </si>
  <si>
    <t>Ownership Status</t>
  </si>
  <si>
    <t>Universe</t>
  </si>
  <si>
    <t>Website</t>
  </si>
  <si>
    <t>LinkedIn URL</t>
  </si>
  <si>
    <t>Employees</t>
  </si>
  <si>
    <t>Employee History</t>
  </si>
  <si>
    <t>Exchange</t>
  </si>
  <si>
    <t>Ticker</t>
  </si>
  <si>
    <t>Year Founded</t>
  </si>
  <si>
    <t>Parent Company</t>
  </si>
  <si>
    <t>Revenue</t>
  </si>
  <si>
    <t>Gross Profit</t>
  </si>
  <si>
    <t>Net Income</t>
  </si>
  <si>
    <t>Enterprise Value</t>
  </si>
  <si>
    <t>EBITDA</t>
  </si>
  <si>
    <t>EBIT</t>
  </si>
  <si>
    <t>Market Cap</t>
  </si>
  <si>
    <t>Net Debt</t>
  </si>
  <si>
    <t>Revenue Growth %</t>
  </si>
  <si>
    <t>Fiscal Period</t>
  </si>
  <si>
    <t>Primary Contact PBId</t>
  </si>
  <si>
    <t>Primary Contact</t>
  </si>
  <si>
    <t>Primary Contact Title</t>
  </si>
  <si>
    <t>Primary Contact Email</t>
  </si>
  <si>
    <t>Primary Contact Phone</t>
  </si>
  <si>
    <t>HQ Location</t>
  </si>
  <si>
    <t>HQ Address Line 1</t>
  </si>
  <si>
    <t>HQ Address Line 2</t>
  </si>
  <si>
    <t>HQ City</t>
  </si>
  <si>
    <t>HQ State/Province</t>
  </si>
  <si>
    <t>HQ Post Code</t>
  </si>
  <si>
    <t>HQ Country/Territory/Region</t>
  </si>
  <si>
    <t>HQ Phone</t>
  </si>
  <si>
    <t>HQ Fax</t>
  </si>
  <si>
    <t>HQ Email</t>
  </si>
  <si>
    <t>HQ Global Region</t>
  </si>
  <si>
    <t>HQ Global Sub Region</t>
  </si>
  <si>
    <t>535072-69</t>
  </si>
  <si>
    <t>United Mining Industries (SAU: 9583)</t>
  </si>
  <si>
    <t/>
  </si>
  <si>
    <t>United Mining Industries Limited</t>
  </si>
  <si>
    <t>United Mining Industries Co is engaged in manufacturing and selling raw materials extracted from mines and mining of gypsum and anhydrite based on a license from the Ministry of Industry and Mineral Resources. It is one of the companies in the field of manufacturing gypsum and cement building materials and products in the Kingdom of Saudi Arabia. It offers products such as Gypsum Board, Fiber Cement Board, Gypsum Powder, and others. The company has three business segments: Fiber cement board, Gypsum board, and Others. It earns the majority of its revenue from Gypsum Board Segment.</t>
  </si>
  <si>
    <t>Business Products and Services (B2B)</t>
  </si>
  <si>
    <t>Commercial Products</t>
  </si>
  <si>
    <t>Building Products</t>
  </si>
  <si>
    <t>Building Products*, Raw Materials (Non-Wood)</t>
  </si>
  <si>
    <t>Manufacturing</t>
  </si>
  <si>
    <t>building product, building product company, building products, building products company, building products manufacturer, construction products, construction products manufacturer, raw materials information, raw materials seller, raw materials trader</t>
  </si>
  <si>
    <t>Private Equity-Backed</t>
  </si>
  <si>
    <t>Generating Revenue</t>
  </si>
  <si>
    <t>Publicly Held</t>
  </si>
  <si>
    <t>M&amp;A, Private Equity, Publicly Listed</t>
  </si>
  <si>
    <t>2023: 331</t>
  </si>
  <si>
    <t>SAU</t>
  </si>
  <si>
    <t>9583</t>
  </si>
  <si>
    <t>TTM 2Q2025</t>
  </si>
  <si>
    <t>363592-36P</t>
  </si>
  <si>
    <t>Hamad Alsourayia</t>
  </si>
  <si>
    <t>Chief Executive Officer</t>
  </si>
  <si>
    <t>hamad@ugc.com.sa</t>
  </si>
  <si>
    <t>+966 (0)12 677 4164</t>
  </si>
  <si>
    <t>Jeddah, Saudi Arabia</t>
  </si>
  <si>
    <t>Al Madinah Al Munawarah Street - Salamah District - Salamah Tower</t>
  </si>
  <si>
    <t>Floor Number 4, Office Number 403</t>
  </si>
  <si>
    <t>Jeddah</t>
  </si>
  <si>
    <t>23525</t>
  </si>
  <si>
    <t>Saudi Arabia</t>
  </si>
  <si>
    <t>Middle East</t>
  </si>
  <si>
    <t>1157684-86</t>
  </si>
  <si>
    <t>Khaled Al-Dhafer &amp; Brothers Logistics Services (SAU: 9653)</t>
  </si>
  <si>
    <t>Khaled Al-Dhafer &amp; Brothers Logistics Services Company</t>
  </si>
  <si>
    <t>Commercial Services</t>
  </si>
  <si>
    <t>Logistics</t>
  </si>
  <si>
    <t>Logistics*</t>
  </si>
  <si>
    <t>air freight, customs clearance software, logistics company, logistics company operator, sea freight, storage solution provider</t>
  </si>
  <si>
    <t>Corporation</t>
  </si>
  <si>
    <t>Profitable</t>
  </si>
  <si>
    <t>Publicly Listed</t>
  </si>
  <si>
    <t>9653</t>
  </si>
  <si>
    <t>FY 2024</t>
  </si>
  <si>
    <t>471263-77P</t>
  </si>
  <si>
    <t>Saleh Al-Hariri</t>
  </si>
  <si>
    <t>CEO</t>
  </si>
  <si>
    <t>saleh@kdl.com.sa</t>
  </si>
  <si>
    <t>+966 (0)92 000 0541</t>
  </si>
  <si>
    <t>Riyadh, Saudi Arabia</t>
  </si>
  <si>
    <t>Omar Ibn Al-Khattab Road - Al-Malaz District</t>
  </si>
  <si>
    <t>Next to the dry port and railway</t>
  </si>
  <si>
    <t>Riyadh</t>
  </si>
  <si>
    <t>marhba@kdl.com.sa</t>
  </si>
  <si>
    <t>757078-66</t>
  </si>
  <si>
    <t>Al Ramz Real Estate (Riyadh) (SAU: 4327)</t>
  </si>
  <si>
    <t>Al Ramz Real Estate Company</t>
  </si>
  <si>
    <t>Al Ramz Real Estate Co is engaged in comprehensive real estate development, managing each phase from land acquisition and concept development to design, construction, and marketing. The company's offerings include residential villas, commercial units, and mixed-use developments. Its field of activities includes: Construction, Accommodation and food services activities, Real Estate activities, Administrative and support services, Other service activities. The company derives its revenue from the sale of residential units and the leasing of commercial space.</t>
  </si>
  <si>
    <t>Consumer Products and Services (B2C)</t>
  </si>
  <si>
    <t>Services (Non-Financial)</t>
  </si>
  <si>
    <t>Real Estate Services (B2C)</t>
  </si>
  <si>
    <t>Real Estate Services (B2C)*</t>
  </si>
  <si>
    <t>buildings space, property management, real estate, real estate company, real estate company operator, real estate sector, urban developer</t>
  </si>
  <si>
    <t>2022: 24, 2023: 55, 2024: 100, 2025: 183, 2026: 195</t>
  </si>
  <si>
    <t>4327</t>
  </si>
  <si>
    <t>473524-12P</t>
  </si>
  <si>
    <t>Abdulmalik Al-Rasheed</t>
  </si>
  <si>
    <t>Chief Financial Officer</t>
  </si>
  <si>
    <t>+966 (0)92 003 1440</t>
  </si>
  <si>
    <t>Al Fasilah Square Complex, Al Malqa District</t>
  </si>
  <si>
    <t>Abdul Latif Bin Abdul Malik Al Sheikh Road</t>
  </si>
  <si>
    <t>13521</t>
  </si>
  <si>
    <t>info@alramzre.com</t>
  </si>
  <si>
    <t>1157750-56</t>
  </si>
  <si>
    <t>Consolidated Grünenfelder Saady Holding (SAU: 4147)</t>
  </si>
  <si>
    <t>Consolidated Grunenfelder Saady Holding Co.</t>
  </si>
  <si>
    <t>Consolidated Grunenfelder Saady Holding Co is engaged in the manufacture and sale of cooling containers and vehicle bodies for food transport, as well as cold storage rooms. The company also provides servicing and maintenance of refrigeration bodies, cooling units, and cold stores. It operates through segments covering the sale of refrigeration and non-refrigeration bodies with cooling units, installation of temperature-controlled storage facilities, and servicing activities. Its products include reefer bodies, trailers, refrigeration systems, insulated panels, mobile cold stores, and selected special products. The company operates in the Kingdom of Saudi Arabia, which generates the majority of its revenue, as well as in other countries.</t>
  </si>
  <si>
    <t>Financial Services</t>
  </si>
  <si>
    <t>Other Financial Services</t>
  </si>
  <si>
    <t>Holding Companies</t>
  </si>
  <si>
    <t>Holding Companies*</t>
  </si>
  <si>
    <t>holding company, holding company firm, holding company operator, holding company operator firm, holding company owner, holding company services</t>
  </si>
  <si>
    <t>2022: 445, 2023: 448, 2024: 498</t>
  </si>
  <si>
    <t>4147</t>
  </si>
  <si>
    <t>FY 2025</t>
  </si>
  <si>
    <t>471267-37P</t>
  </si>
  <si>
    <t>Ruban Bilen</t>
  </si>
  <si>
    <t>ruban.bilen@cgs.com.sa</t>
  </si>
  <si>
    <t>+966 (0)11 265 0990</t>
  </si>
  <si>
    <t>P.O. Box 358</t>
  </si>
  <si>
    <t>Coldstores Group of Saudi Arabia</t>
  </si>
  <si>
    <t>11383</t>
  </si>
  <si>
    <t>+966 (0)11 265 1079</t>
  </si>
  <si>
    <t>info@cgs.com.sa</t>
  </si>
  <si>
    <t>1083634-75</t>
  </si>
  <si>
    <t>Almasar Alshamil Education (SAU: 6019)</t>
  </si>
  <si>
    <t>Almasar Alshamil Education Co.</t>
  </si>
  <si>
    <t>Almasar Alshamil Education Co is committed to lifelong education while enabling organic growth across existing institutions, expanding its geographic footprint within the GCC, and strategically enhancing offerings in each education segment. It operates in two business segments, Higher Education and Special Needs Education and Care (SEC). The group operates in Saudi Arabia and the UAE.</t>
  </si>
  <si>
    <t>Educational and Training Services (B2C)</t>
  </si>
  <si>
    <t>Educational and Training Services (B2C)*</t>
  </si>
  <si>
    <t>education community platform, education company, education company operator, education service, education service provider, education study</t>
  </si>
  <si>
    <t>2025: 3717</t>
  </si>
  <si>
    <t>6019</t>
  </si>
  <si>
    <t>467249-68P</t>
  </si>
  <si>
    <t>Ahmed Gamaledin</t>
  </si>
  <si>
    <t>agamaledin@masareducation.com</t>
  </si>
  <si>
    <t>+966 (0)11 404 9200</t>
  </si>
  <si>
    <t>Altawuniya Tower, 17th Floor</t>
  </si>
  <si>
    <t>North Building, King Fahad Road, Al Olaya District, Building Number 6897</t>
  </si>
  <si>
    <t>12211-3388</t>
  </si>
  <si>
    <t>info@masareducation.com</t>
  </si>
  <si>
    <t>509435-11</t>
  </si>
  <si>
    <t>Miahona (SAU: 2084)</t>
  </si>
  <si>
    <t>Miahona Co is a Company engaged in the transportation and distribution of water. Its activities involve operations of sewage treatment networks and facilities, General construction of non-residential buildings such as schools, hospitals, and hotels, water distribution stations and main lines, sewage plants and projects, sewage networks, and pumps.</t>
  </si>
  <si>
    <t>Environmental Services (B2B)</t>
  </si>
  <si>
    <t>Environmental Services (B2B)*, Other Commercial Services</t>
  </si>
  <si>
    <t>wastewater collection, wastewater collection facilities, wastewater collection service, wastewater treatment, wastewater treatment company, wastewater treatment service, water distribution</t>
  </si>
  <si>
    <t>Corporate Backed or Acquired</t>
  </si>
  <si>
    <t>M&amp;A, Publicly Listed</t>
  </si>
  <si>
    <t>2020: 30, 2021: 40, 2022: 28, 2023: 46</t>
  </si>
  <si>
    <t>2084</t>
  </si>
  <si>
    <t>Vision Invest</t>
  </si>
  <si>
    <t>TTM 3Q2025</t>
  </si>
  <si>
    <t>317663-11P</t>
  </si>
  <si>
    <t>Sharjeel Aslam</t>
  </si>
  <si>
    <t>+966 (0)11 296 0560</t>
  </si>
  <si>
    <t>Post Office Box 6709</t>
  </si>
  <si>
    <t>13316-8580</t>
  </si>
  <si>
    <t>+966 (0)11 470 1958</t>
  </si>
  <si>
    <t>contact@miahona.com</t>
  </si>
  <si>
    <t>753047-02</t>
  </si>
  <si>
    <t>Cherry Trading (Automotive) (SAU: 4265)</t>
  </si>
  <si>
    <t>Cherry Cars Rental</t>
  </si>
  <si>
    <t>Cherry Trading Company (Automotive)</t>
  </si>
  <si>
    <t>Cherry Trading Co is engaged in wholesale and retail trade of new and used private cars, car service and maintenance center activities, public fare and school transportation, real estate management for commission, and passenger car rental. The company also provides crane rental with operator, rental and operational leasing of passenger cars, trucks, utility trailers, recreational vehicles, buses, electronic car rental, machine tools, public taxi, educational transport, light goods transport, and wholesale and retail sale of used specialized passenger vehicles, including ambulances, minibuses, and jeeps. The group operates through three segments: Long-Term Lease, Short-Term Rental, and Sales of Motor Vehicles, with the Long-Term Lease segment generating the maximum revenue.</t>
  </si>
  <si>
    <t>Transportation</t>
  </si>
  <si>
    <t>Automotive</t>
  </si>
  <si>
    <t>Automotive*, Other Services (B2C Non-Financial)</t>
  </si>
  <si>
    <t>car rental, car rental company, car rental firm, car rental service, rental company, rental company for vehicles, rental company operator</t>
  </si>
  <si>
    <t>4265</t>
  </si>
  <si>
    <t>435115-36P</t>
  </si>
  <si>
    <t>Wahab Khattak</t>
  </si>
  <si>
    <t>wahab.khattak@cherry.com.sa</t>
  </si>
  <si>
    <t>+966 (0)11 511 5600</t>
  </si>
  <si>
    <t>8656 Eastern Ring Branch Rd</t>
  </si>
  <si>
    <t>Ar Rabwah, Unit No 2</t>
  </si>
  <si>
    <t>12822</t>
  </si>
  <si>
    <t>528669-37</t>
  </si>
  <si>
    <t>Abdul Aziz Al-Tuwaijri (SAU: 9651)</t>
  </si>
  <si>
    <t>Abdul Aziz Al-Tuwaijri Co., Ltd.</t>
  </si>
  <si>
    <t>Abdulaziz Bin Ahmed Altwijri Trading Co is engaged in marketing consumer products, including food, medical supplies, cleaning products, and personal care items, by attracting international and local agencies and building its own brands.</t>
  </si>
  <si>
    <t>Consumer Non-Durables</t>
  </si>
  <si>
    <t>Household Products</t>
  </si>
  <si>
    <t>Household Products*, Personal Products, Specialty Retail</t>
  </si>
  <si>
    <t>consumer items, consumer products, consumption goods, durable products, marketing food, medical consumer products, personal care products, retail goods</t>
  </si>
  <si>
    <t>9651</t>
  </si>
  <si>
    <t>350080-93P</t>
  </si>
  <si>
    <t>Khaled Tuwaijri</t>
  </si>
  <si>
    <t>Chief Executive Officer &amp; Managing Director</t>
  </si>
  <si>
    <t>khaled@altwijri.com</t>
  </si>
  <si>
    <t>+966 (0)11 234 0000</t>
  </si>
  <si>
    <t>P.O. Box 4560</t>
  </si>
  <si>
    <t>King Abdulaziz Street Alyasmeen district</t>
  </si>
  <si>
    <t>+966 (0)11 210 5555</t>
  </si>
  <si>
    <t>info@altwijri.com</t>
  </si>
  <si>
    <t>1083387-79</t>
  </si>
  <si>
    <t>Sahat Almajd Trading (SAU: 9650)</t>
  </si>
  <si>
    <t>Sahat Almajd Trading Co</t>
  </si>
  <si>
    <t>Sahat Almajd Trading Co is a Saudi-based food and beverage company engaged in the production, distribution, and retail of premium consumer products. The company's portfolio includes the Hanoverian brand of premium chocolates, Susam baked goods and pastries, and Jadeel specialty coffee. It also produces and markets Spark carbonated beverages and offers fresh juices and cold drinks across the Kingdom. In addition to its core food and beverage operations, Sahat Almajd is involved in the wholesale distribution of chocolates, baked goods, and beverages, as well as the trading of solid fuels such as charcoal and coal.</t>
  </si>
  <si>
    <t>Food Products</t>
  </si>
  <si>
    <t>Food Products*</t>
  </si>
  <si>
    <t>chocolates business, chocolates candy, chocolates gift, chocolates maker, chocolates retailer, chocolates seller</t>
  </si>
  <si>
    <t>9650</t>
  </si>
  <si>
    <t>467103-16P</t>
  </si>
  <si>
    <t>Saleh Ibrahim Al-Humaidhi</t>
  </si>
  <si>
    <t>Chairman of the Board</t>
  </si>
  <si>
    <t>+966 (0)1 454 8701</t>
  </si>
  <si>
    <t>Al Takhassusi Street</t>
  </si>
  <si>
    <t>Al Ma'athar Al Shamali District</t>
  </si>
  <si>
    <t>163028-53</t>
  </si>
  <si>
    <t>Umm Al Qura Cement Company (SAU: 3005)</t>
  </si>
  <si>
    <t>UACC</t>
  </si>
  <si>
    <t>Umm Al Qura Cement Company SJSC</t>
  </si>
  <si>
    <t>Umm Al-Qura Cement Co is engaged in producing all kinds of Portland Cement in Saudi Arabia. The company is also engaged in manufacturing salt-resistant cement, white cement, and agglomerated cement (clinker). The products of the company include Cement OPC, Sulphate Resistant Cement, Portland Pozzolana Cement, and others.</t>
  </si>
  <si>
    <t>Materials and Resources</t>
  </si>
  <si>
    <t>Construction (Non-Wood)</t>
  </si>
  <si>
    <t>Raw Materials (Non-Wood)</t>
  </si>
  <si>
    <t>Raw Materials (Non-Wood)*</t>
  </si>
  <si>
    <t>bulk cement, cement, cement mill, cement producer, clinker product, portland cement</t>
  </si>
  <si>
    <t>3005</t>
  </si>
  <si>
    <t>393243-22P</t>
  </si>
  <si>
    <t>Muhammad Al-Hawi</t>
  </si>
  <si>
    <t>m.alhawi@uacc.com.sa</t>
  </si>
  <si>
    <t>+966 (0)11 487 4477</t>
  </si>
  <si>
    <t>King Abdulaziz Road. Al</t>
  </si>
  <si>
    <t>Sahafa District</t>
  </si>
  <si>
    <t>info@uacc.com.sa</t>
  </si>
  <si>
    <t>164707-75</t>
  </si>
  <si>
    <t>Yanbu Cement (SAU: 3060)</t>
  </si>
  <si>
    <t>YCC</t>
  </si>
  <si>
    <t>Yanbu Cement Co</t>
  </si>
  <si>
    <t>Eastern Province Cement</t>
  </si>
  <si>
    <t>Yanbu Cement Co is engaged in manufacturing, producing, and trading cement and its related products. It generates revenue from bulk and packed cement, cement bags, and raw cement. The company product portfolio includes Ordinary Portland Cement - Premium; Ordinary Portland Cement; Pozzolana Portland Cement; Mixed Finishes Cement; and Sulfate Resistant Cement.</t>
  </si>
  <si>
    <t>Industrials, Manufacturing</t>
  </si>
  <si>
    <t>cement, cement bags, cement manufacturer, cement manufacturing, cement plant, cement product</t>
  </si>
  <si>
    <t>2011: 1006, 2012: 1000</t>
  </si>
  <si>
    <t>3060</t>
  </si>
  <si>
    <t>235567-63P</t>
  </si>
  <si>
    <t>Fahd bin Suleiman Al-Rajihi</t>
  </si>
  <si>
    <t>Chairman</t>
  </si>
  <si>
    <t>+966 (0)12 653 1555</t>
  </si>
  <si>
    <t>P.O.Box 5330</t>
  </si>
  <si>
    <t>21422</t>
  </si>
  <si>
    <t>+966 (0)12 653 1420</t>
  </si>
  <si>
    <t>925187-32</t>
  </si>
  <si>
    <t>Jamjoom Fashion (SAU: 9649)</t>
  </si>
  <si>
    <t>Jamjoom Fashion Co.</t>
  </si>
  <si>
    <t>Jamjoom Fashion Trading Co creates and develops market-resonant brands through inventive concepts, modern designs, marketing, and exceptional in-store, online, and e-commerce shopping experiences. It is one of the market leader in women's intimate apparel and nightwear in Saudi. The Group controls its brand identity, product design development, pricing techniques, and the overall strategic direction. The company has approximately 215 stores across GCC.</t>
  </si>
  <si>
    <t>Retail</t>
  </si>
  <si>
    <t>Other Retail</t>
  </si>
  <si>
    <t>Other Retail*, Specialty Retail</t>
  </si>
  <si>
    <t>fashion store, retail brand, retail branding, retail store, retail store operator, retail stores firm</t>
  </si>
  <si>
    <t>2023: 620, 2024: 725</t>
  </si>
  <si>
    <t>9649</t>
  </si>
  <si>
    <t>460432-27P</t>
  </si>
  <si>
    <t>Scott Bissett</t>
  </si>
  <si>
    <t>Group Chief Financial Officer</t>
  </si>
  <si>
    <t>sbissett@jamjoomfashion.com</t>
  </si>
  <si>
    <t>+966 (0)50 336 7382</t>
  </si>
  <si>
    <t>Triya Boulevard, 3rd Floor</t>
  </si>
  <si>
    <t>Asma Bint Umais Street, Extension Number Al Shatea District</t>
  </si>
  <si>
    <t>484678-63</t>
  </si>
  <si>
    <t>Hamad Mohammed bin Saedan Real Estate (SAU: 9648)</t>
  </si>
  <si>
    <t>Hamad Mohammed Bin Saedan Real Estate Co.</t>
  </si>
  <si>
    <t>Hamad Mohammed Bin Saidan Real Estate Co is engaged in the construction of residential and commercial complexes, as well as the development of residential and commercial plots. Its projects include: Business projects, Residential projects, and Logistics projects. Its services include: Real estate project development; Real estate marketing; Off-plan sale; Property Management; and Real estate contributions.</t>
  </si>
  <si>
    <t>Other Business Products and Services</t>
  </si>
  <si>
    <t>Buildings and Property</t>
  </si>
  <si>
    <t>Buildings and Property*, Other Financial Services</t>
  </si>
  <si>
    <t>development service provider, development services, development services provider, logistics sector, real estate firm, real estate firm operator</t>
  </si>
  <si>
    <t>9648</t>
  </si>
  <si>
    <t>460624-78P</t>
  </si>
  <si>
    <t>Abdulaziz bin Saidan</t>
  </si>
  <si>
    <t>Chief Executive Officer &amp; Board Member</t>
  </si>
  <si>
    <t>Development Tower (building 4)</t>
  </si>
  <si>
    <t>Al-Muhammadiyah District</t>
  </si>
  <si>
    <t>info@h-saedan.sa</t>
  </si>
  <si>
    <t>164702-80</t>
  </si>
  <si>
    <t>Cenomi Retail (SAU: 4240)</t>
  </si>
  <si>
    <t>Cenomi</t>
  </si>
  <si>
    <t>Fawaz A. Alhokair &amp; Co</t>
  </si>
  <si>
    <t>Fawaz Abdulaziz AlHokair Co is a Saudi Joint Stock company. The company engages in wholesale and retail trading of ready-made cloth for men, women, and children, shoes, textiles, house and office furniture, perfumes, natural cosmetics, ornaments and beauty materials and their compounds, and traditional jewelry. The operating segments of the company include Fashion retail; Indoor entertainment and Food &amp; Beverage. The company generates maximum revenue from the Fashion retail segment. Geographically, it derives a majority of its revenue from the Kingdom of Saudi Arabia.</t>
  </si>
  <si>
    <t>Apparel and Accessories</t>
  </si>
  <si>
    <t>Clothing</t>
  </si>
  <si>
    <t>Clothing*, Distributors/Wholesale, Electronics (B2C), Footwear</t>
  </si>
  <si>
    <t>TMT</t>
  </si>
  <si>
    <t>bags, cloth line, fashion clothing retail, fashion retail, furniture, textile</t>
  </si>
  <si>
    <t>2011: 2525, 2012: 2525, 2017: 6850, 2018: 7987, 2019: 9517, 2020: 8896, 2021: 7525, 2022: 8416, 2023: 6774, 2024: 4637</t>
  </si>
  <si>
    <t>4240</t>
  </si>
  <si>
    <t>437085-37P</t>
  </si>
  <si>
    <t>Ahmad AbdelKareem</t>
  </si>
  <si>
    <t>Deputy Chief Financial Officer</t>
  </si>
  <si>
    <t>aabdelkareem@cenomiretail.com</t>
  </si>
  <si>
    <t>+966 (0)11 435 0000</t>
  </si>
  <si>
    <t>U-Walk, A3 Building, 1st Floor University Walk</t>
  </si>
  <si>
    <t>Beside Muvi Cinema Prince Turki Ibn Abdulaz Al Awwal Road, PO Box 4925</t>
  </si>
  <si>
    <t>12373</t>
  </si>
  <si>
    <t>info.retail@cenomi.com</t>
  </si>
  <si>
    <t>925213-24</t>
  </si>
  <si>
    <t>Wajd Al Hayat Trading (SAU: 9647)</t>
  </si>
  <si>
    <t>Wajd Al Hayat Trading Company</t>
  </si>
  <si>
    <t>Wajd Life Trading Co is a company specialized in medical and non-medical operations, in addition to supplying medical and non-medical equipment supplies and accessories. It is engaged in providing spare parts for devices and their maintenance provides specialized services to businesses, healthcare, and education. It relies on a team of qualified and trained experts and technicians to ensure high-quality services and rapid implementation. The products include diagnostic and therapeutic devices, such as blood pressure and thermometers, ultrasound machines, and electrocardiograms.</t>
  </si>
  <si>
    <t>Healthcare</t>
  </si>
  <si>
    <t>Healthcare Devices and Supplies</t>
  </si>
  <si>
    <t>Medical Supplies</t>
  </si>
  <si>
    <t>Medical Supplies*, Other Healthcare Services</t>
  </si>
  <si>
    <t>medical company, medical company operator, medical devices, medical equipment, medical operations, medical operator</t>
  </si>
  <si>
    <t>9647</t>
  </si>
  <si>
    <t>460438-30P</t>
  </si>
  <si>
    <t>Ahmed Karim</t>
  </si>
  <si>
    <t>Al Zahra</t>
  </si>
  <si>
    <t>info@wagdlife.com</t>
  </si>
  <si>
    <t>902717-38</t>
  </si>
  <si>
    <t>National Signage Industrial (SAU: 9645)</t>
  </si>
  <si>
    <t>National Signage Industrial Co</t>
  </si>
  <si>
    <t>National Signage Industrial Co is a Saudi company engaged in the repair and maintenance of roads, streets, sidewalks, and road accessories, pouring foundations and footings, electrical wiring installation, lighting system installation, various decoration works and installations, as well as the installation and maintenance of traffic safety devices. The company generates revenue from Advertising Signages, Screens Project, Car License Plate, Traffic Signages, and Wayfinding Architectural Signages.</t>
  </si>
  <si>
    <t>Printing Services (B2B)</t>
  </si>
  <si>
    <t>Other Commercial Products, Printing Services (B2B)*</t>
  </si>
  <si>
    <t>directional signage, led screens, license plate, promotional signs, signs board, traffic signs board, traffic signs provider</t>
  </si>
  <si>
    <t>9645</t>
  </si>
  <si>
    <t>457985-44P</t>
  </si>
  <si>
    <t>Hamza Badir</t>
  </si>
  <si>
    <t>+966 (0)11 510 8910</t>
  </si>
  <si>
    <t>Eastern Ring Road - Al Noor District</t>
  </si>
  <si>
    <t>14338</t>
  </si>
  <si>
    <t>902524-06</t>
  </si>
  <si>
    <t>Marketing Home Group For Trading (SAU: 4194)</t>
  </si>
  <si>
    <t>Marketing Home Group for Trading CJSC</t>
  </si>
  <si>
    <t>Marketing Home Group for Trading Co is a prominent trading group that oversees a diverse range of brands within the residential and commercial sectors. Its segments include: Ceramics and sanitary ware sector; Lighting sector; Consultations, supplies, installations and others. The group generates the majority of its revenue from Ceramics and sanitary ware sector segment. Geographically, the company has presence in Saudi Arabia, UAE, China, Egypt, and Spain. It generates the majority of its revenue from Saudi Arabia.</t>
  </si>
  <si>
    <t>Building Products*, Media and Information Services (B2B)</t>
  </si>
  <si>
    <t>brand development company, brand development service, building products company, building products seller, cement manufactrurer, fuel trading services, retail hardware, structural metal product</t>
  </si>
  <si>
    <t>4194</t>
  </si>
  <si>
    <t>457655-41P</t>
  </si>
  <si>
    <t>Musaad AlQfari</t>
  </si>
  <si>
    <t>+966 (0)11 273 5290</t>
  </si>
  <si>
    <t>3533 Old Al Kharj Road</t>
  </si>
  <si>
    <t>14511</t>
  </si>
  <si>
    <t>+966 (0)11 495 7573</t>
  </si>
  <si>
    <t>151363-27</t>
  </si>
  <si>
    <t>Bodymasters</t>
  </si>
  <si>
    <t>BodyMasters KSA</t>
  </si>
  <si>
    <t>Operator of a chain of fitness clubs intended to provide fitness classes. The company offers a wide range of sports, fitness and health services through its network of clubs including 41 sports clubs with a total area of more than 150,000 square meters enabling its customers to raise their fitness level, lose weight and reshape their bodies.</t>
  </si>
  <si>
    <t>Restaurants, Hotels and Leisure</t>
  </si>
  <si>
    <t>Leisure Facilities</t>
  </si>
  <si>
    <t>Leisure Facilities*</t>
  </si>
  <si>
    <t>bodybuilding center, fitness center, fitness center chain, fitness club, fitness club operator, gym operator, recreation facilities</t>
  </si>
  <si>
    <t>Formerly PE-Backed</t>
  </si>
  <si>
    <t>Private Equity, Publicly Listed</t>
  </si>
  <si>
    <t>2016: 501, 2022: 238</t>
  </si>
  <si>
    <t>135164-08P</t>
  </si>
  <si>
    <t>Wael El Merhabi</t>
  </si>
  <si>
    <t>w.elmerhabi@bodymasters.com.sa</t>
  </si>
  <si>
    <t>+966 (0)92 000 0626</t>
  </si>
  <si>
    <t>Al Sahafa, Imam Saud bin Faisal Road</t>
  </si>
  <si>
    <t>Opposite Al-Sahafa Schools, AlSahafa District</t>
  </si>
  <si>
    <t>13321</t>
  </si>
  <si>
    <t>865519-12</t>
  </si>
  <si>
    <t>Sport Clubs (SAU: 6018)</t>
  </si>
  <si>
    <t>Sport Clubs Company</t>
  </si>
  <si>
    <t>Sport Clubs Co operates in the sports and fitness industry through its clubs spread across different provinces and cities of the Kingdom. It works to support and develop the fitness infrastructure, providing integrated solutions for fitness and healthy life throughout the Kingdom. Its brands include: Body Masters, Body Motions; and Body Experts. The company offers a range of amenities, including cardio and strength areas, fully equipped group exercise studios, indoor cycling, functional training zones, swimming pools and spa areas, flexible personal training programs and other related services.</t>
  </si>
  <si>
    <t>Media</t>
  </si>
  <si>
    <t>Information Services (B2C)</t>
  </si>
  <si>
    <t>Information Services (B2C)*</t>
  </si>
  <si>
    <t>fitness center, fitness center chain, fitness center management, fitness center owner, fitness center provider, fitness center service</t>
  </si>
  <si>
    <t>2021: 1172, 2022: 1188, 2023: 1241, 2024: 1258</t>
  </si>
  <si>
    <t>6018</t>
  </si>
  <si>
    <t>451126-00P</t>
  </si>
  <si>
    <t>welmerhabi@sportclubscompany.com.sa</t>
  </si>
  <si>
    <t>Imam Saud bin Faisal Road</t>
  </si>
  <si>
    <t>Al-Sahafa District</t>
  </si>
  <si>
    <t>info@sportclubscompany.com.sa</t>
  </si>
  <si>
    <t>717691-51</t>
  </si>
  <si>
    <t>SMC Hospital (SAU: 4019)</t>
  </si>
  <si>
    <t>SMC Hospital JSC</t>
  </si>
  <si>
    <t>Specialized Medical Co is a full-service healthcare provider, offering a broad range of specialized medical services that encompass the entire healthcare value chain. The healthcare services provided by the company include ambulance services, cardiology, internal medicine, family medicine and pediatrics. The company also offers surgical services, including general surgery, orthopedics, otorhinolaryngology, gynecological procedures, spinal surgery, obesity surgeries and all general and specialized surgeries, supported by an integrated network of ancillary departments such as laboratories, diagnostic radiology, nuclear medicine services, anesthesia departments, internal pharmacies, physical therapy services and nutritional consultations.</t>
  </si>
  <si>
    <t>Healthcare Services</t>
  </si>
  <si>
    <t>Hospitals/Inpatient Services</t>
  </si>
  <si>
    <t>Hospitals/Inpatient Services*</t>
  </si>
  <si>
    <t>health care service, health care service company, health care service firm, health care service provider, health care service providing company, hospital service management, hospital services, hospital services provider</t>
  </si>
  <si>
    <t>2025: 1602, 2026: 1669</t>
  </si>
  <si>
    <t>4019</t>
  </si>
  <si>
    <t>434751-85P</t>
  </si>
  <si>
    <t>Bassam Chahine</t>
  </si>
  <si>
    <t>bassam_chahine@smc.com.sa</t>
  </si>
  <si>
    <t>+966 (0)11 434 3800</t>
  </si>
  <si>
    <t>King Fahad Road, Cairo Square</t>
  </si>
  <si>
    <t>info@smc.com.sa</t>
  </si>
  <si>
    <t>12679-93</t>
  </si>
  <si>
    <t>Flynas (SAU: 4264)</t>
  </si>
  <si>
    <t>Nas Air, National Air Services Group</t>
  </si>
  <si>
    <t>Flynas Company LCC</t>
  </si>
  <si>
    <t>Flynas Co is a low-cost airline in Saudi Arabia and the Middle East.</t>
  </si>
  <si>
    <t>Commercial Transportation</t>
  </si>
  <si>
    <t>Air</t>
  </si>
  <si>
    <t>Air*</t>
  </si>
  <si>
    <t>Industrials</t>
  </si>
  <si>
    <t>air transportation, aviation service provider, aviation services, aviation services company, budget airline, commercial airline</t>
  </si>
  <si>
    <t>Debt Financed, Private Equity, Publicly Listed</t>
  </si>
  <si>
    <t>2017: 8000, 2021: 1764, 2022: 2351, 2023: 1930, 2024: 3049, 2025: 2401</t>
  </si>
  <si>
    <t>4264</t>
  </si>
  <si>
    <t>144076-33P</t>
  </si>
  <si>
    <t>Ramzi Zaroubi</t>
  </si>
  <si>
    <t>rzaroubi@flynas.com</t>
  </si>
  <si>
    <t>+966 (0)11 434 9000</t>
  </si>
  <si>
    <t>8018 Abi Bakr As Siddiq</t>
  </si>
  <si>
    <t>Ar Rabi</t>
  </si>
  <si>
    <t>13316-4040</t>
  </si>
  <si>
    <t>contact@flynas.com</t>
  </si>
  <si>
    <t>570429-28</t>
  </si>
  <si>
    <t>Time Entertainment (SAU: 9642)</t>
  </si>
  <si>
    <t>Time Entertainment Co.</t>
  </si>
  <si>
    <t>Time Entertainment Co is engaged in organizing entertainment events and operating entertainment event facilities.</t>
  </si>
  <si>
    <t>Media and Information Services (B2B)</t>
  </si>
  <si>
    <t>Media and Information Services (B2B)*</t>
  </si>
  <si>
    <t>content creation, entertainment industry, entertainment industry service, public event management, public events, special events</t>
  </si>
  <si>
    <t>2025: 45</t>
  </si>
  <si>
    <t>9642</t>
  </si>
  <si>
    <t>446247-19P</t>
  </si>
  <si>
    <t>Abdul Taha</t>
  </si>
  <si>
    <t>Hamad Tower 5th Floor, Al Olaya Dist</t>
  </si>
  <si>
    <t>King Fahad Rd</t>
  </si>
  <si>
    <t>12212</t>
  </si>
  <si>
    <t>819214-75</t>
  </si>
  <si>
    <t>Asas Makeen (SAU: 9640)</t>
  </si>
  <si>
    <t>Asas Makeen Real Estate Development and Investment Co</t>
  </si>
  <si>
    <t>Asas Makeen Real Estate Development And Investment Co is engaged in developing and investing in land and real estate residential, commercial, and hotel projects.</t>
  </si>
  <si>
    <t>real estate development busines, real estate development company, real estate development corporation, real estate development firm, real estate development group, real estate development management, real estate development sector, real estate project design, real estate projects advisor, real estate projects developer, real estate projects management</t>
  </si>
  <si>
    <t>2022: 73, 2023: 98, 2024: 96</t>
  </si>
  <si>
    <t>9640</t>
  </si>
  <si>
    <t>FY 2023</t>
  </si>
  <si>
    <t>444925-36P</t>
  </si>
  <si>
    <t>Abdulrahman Al-Hadlaq</t>
  </si>
  <si>
    <t>a.hadlaq@asasmakeen.com</t>
  </si>
  <si>
    <t>+966 (0)92 003 3366</t>
  </si>
  <si>
    <t>Bin Malik Road</t>
  </si>
  <si>
    <t>Central Region</t>
  </si>
  <si>
    <t>Narjis - Anas District</t>
  </si>
  <si>
    <t>41121-3327</t>
  </si>
  <si>
    <t>+966 (0)11 211 2983</t>
  </si>
  <si>
    <t>info@asasmakeen.com</t>
  </si>
  <si>
    <t>549884-53</t>
  </si>
  <si>
    <t>Al Kuzama Trading (SAU: 9636)</t>
  </si>
  <si>
    <t>Al Kuzama Trading Co.</t>
  </si>
  <si>
    <t>AlKuzama Trading Co is specialized company in the hospitality sector, offering a diverse range of services that meet the needs of individuals and businesses. It expertise spans multiple fields including traditional restaurants, cloud kitchens, event and occasion catering, and professional event management. It also provide daily hospitality services for government and private sectors.</t>
  </si>
  <si>
    <t>Restaurants and Bars</t>
  </si>
  <si>
    <t>Restaurants and Bars*</t>
  </si>
  <si>
    <t>restaurant and bar firm, restaurant chain company, restaurant chain firm, restaurant chain operator, restaurant operator, restaurants bars</t>
  </si>
  <si>
    <t>9636</t>
  </si>
  <si>
    <t>444447-46P</t>
  </si>
  <si>
    <t>Nemer Msalm</t>
  </si>
  <si>
    <t>+966 (0)1 230 4104</t>
  </si>
  <si>
    <t>Northern Ring Road, Al Wadi</t>
  </si>
  <si>
    <t>Exit 6</t>
  </si>
  <si>
    <t>13313</t>
  </si>
  <si>
    <t>info@kuzama.co</t>
  </si>
  <si>
    <t>543141-28</t>
  </si>
  <si>
    <t>Axelerated Solutions for Information and Communication Technology (SAU: 9637)</t>
  </si>
  <si>
    <t>Axelerated Solutions for Information and Communication Technology Company</t>
  </si>
  <si>
    <t>Axelerated Solutions For Information And Communication Technology Co engaged in the business of Information and Communication, includes System analysis, Application development, Administration and monitoring services of information and communication network infrastructure, and others; Trade activities includes wholesale and retail, as well as the servicing and repair of motor vehicles and motorcycles; and Other services includes Technical support and maintenance for personal computers across models. Its projects are the Establishment of a New Data Center for the Financial Sector, Storage Systems Upgrade for the Customs and Tax Sector, and Others.</t>
  </si>
  <si>
    <t>Information Technology</t>
  </si>
  <si>
    <t>Software</t>
  </si>
  <si>
    <t>Application Software</t>
  </si>
  <si>
    <t>Application Software*, Business/Productivity Software</t>
  </si>
  <si>
    <t>it solution firm, it solution service, it solutions, it solutions company, it solutions platform, it solutions tools</t>
  </si>
  <si>
    <t>9637</t>
  </si>
  <si>
    <t>446258-35P</t>
  </si>
  <si>
    <t>Mohammed Rubaian</t>
  </si>
  <si>
    <t>8498</t>
  </si>
  <si>
    <t>Al Riyadh</t>
  </si>
  <si>
    <t>791753-95</t>
  </si>
  <si>
    <t>United Carton Industries Company (SAU: 1323)</t>
  </si>
  <si>
    <t>United Carton Industries Company Ltd.</t>
  </si>
  <si>
    <t>United Carton Industries Co is engaged in carton manufacturing. It focuses on corrugated solutions for customized packaging needs to meet customers' requirements. Its Cartton productaion includes digital Printed stands, Regular slotted containers, High graphics, and Others. The company operates in Kingdom of Saudi Arabia, United Arab Emirates, and Others.</t>
  </si>
  <si>
    <t>Containers and Packaging</t>
  </si>
  <si>
    <t>Paper Containers and Packaging</t>
  </si>
  <si>
    <t>Paper Containers and Packaging*</t>
  </si>
  <si>
    <t>container maker, container manufacturing, container seller, packaging box manufacturer, packaging boxes, packaging material</t>
  </si>
  <si>
    <t>1323</t>
  </si>
  <si>
    <t>442809-28P</t>
  </si>
  <si>
    <t>Abdul Ghani</t>
  </si>
  <si>
    <t>Chief Financial Officer &amp; Senior Vice President of Finance</t>
  </si>
  <si>
    <t>+966 (0)12 224 4100</t>
  </si>
  <si>
    <t>Post Box 31503</t>
  </si>
  <si>
    <t>Industrial Area Phase 5</t>
  </si>
  <si>
    <t>21418</t>
  </si>
  <si>
    <t>info@ucic.com.sa</t>
  </si>
  <si>
    <t>772594-03</t>
  </si>
  <si>
    <t>Adeer Real Estate (SAU: 9634)</t>
  </si>
  <si>
    <t>Adeer Real Estate S.A.</t>
  </si>
  <si>
    <t>Adeer Real Estate Co offers a comprehensive package of high-quality real estate marketing services to individuals, companies, and institutions. Its services are Sales, Marketing, Property Management, Real Estate Consulting and Studies, and Customer Service.</t>
  </si>
  <si>
    <t>Media and Information Services (B2B)*, Real Estate Services (B2C)</t>
  </si>
  <si>
    <t>marketing services, marketing services firm, real estate marketing, real estate marketing company, real estate marketing firm, real estate marketing service</t>
  </si>
  <si>
    <t>9634</t>
  </si>
  <si>
    <t>441621-82P</t>
  </si>
  <si>
    <t>Bassel Serafy</t>
  </si>
  <si>
    <t>+966 (0)92 000 4024</t>
  </si>
  <si>
    <t>Khobar, Saudi Arabia</t>
  </si>
  <si>
    <t>Al Yarmouk Prince Turkey Street</t>
  </si>
  <si>
    <t>Khobar</t>
  </si>
  <si>
    <t>info@adeer.com</t>
  </si>
  <si>
    <t>763038-64</t>
  </si>
  <si>
    <t>Service Equipment (SAU: 9633)</t>
  </si>
  <si>
    <t>Service Equipment Co.</t>
  </si>
  <si>
    <t>Service Equipment Co has distinguished itself by providing high-quality equipment for automotive-related businesses, along with a comprehensive range of advanced lifting equipment, precision fuel dispensers, efficient air compressors, and modern spray booths, catering to the needs of both public and private sectors. The Company has prioritized customer satisfaction, while diligently striving to increase its market share and enhance its competitive advantage through high quality and continuous innovation.</t>
  </si>
  <si>
    <t>Industrial Supplies and Parts</t>
  </si>
  <si>
    <t>Automotive, Industrial Supplies and Parts*, Other Commercial Products</t>
  </si>
  <si>
    <t>car washing equipments, equipment maintenance service, equipment supply, equipment supply service, garage equipment, garage equipment provider, garage equipment supply, installation service platform, installation services, supply support</t>
  </si>
  <si>
    <t>9633</t>
  </si>
  <si>
    <t>439039-36P</t>
  </si>
  <si>
    <t>Majed Balubaid</t>
  </si>
  <si>
    <t>Chief Executive Officer and Vice Chairman of the Board</t>
  </si>
  <si>
    <t>mbalubaid@serviceequipment.com.sa</t>
  </si>
  <si>
    <t>+966 (0)12 640 3000</t>
  </si>
  <si>
    <t>P.O.Box 4784</t>
  </si>
  <si>
    <t>21411</t>
  </si>
  <si>
    <t>756581-14</t>
  </si>
  <si>
    <t>Future Vision For Health Training (SAU: 9632)</t>
  </si>
  <si>
    <t>Future Vision for Health Training Co.</t>
  </si>
  <si>
    <t>Future Vision For Health Training Co is engaged in developing and delivering the latest educational and training programs. It is providing the latest professional development and training programs by contracting with a select group of the specialists and researchers in the healthcare field, both locally and internationally.</t>
  </si>
  <si>
    <t>Education and Training Services (B2B)</t>
  </si>
  <si>
    <t>Education and Training Services (B2B)*</t>
  </si>
  <si>
    <t>professional development courses, training and education service, training and education services, training company, training company operator, training courses provider</t>
  </si>
  <si>
    <t>2024: 29</t>
  </si>
  <si>
    <t>9632</t>
  </si>
  <si>
    <t>436947-04P</t>
  </si>
  <si>
    <t>Wael Abdul Rahman Mohammed Al-Aoufi</t>
  </si>
  <si>
    <t>+966 (0)92 001 2604</t>
  </si>
  <si>
    <t>Madinah, Saudi Arabia</t>
  </si>
  <si>
    <t>P.O. Box 42351</t>
  </si>
  <si>
    <t>Medina - Abu Bakr Al Siddiq Road</t>
  </si>
  <si>
    <t>Madinah</t>
  </si>
  <si>
    <t>Al Qiblatain</t>
  </si>
  <si>
    <t>42312</t>
  </si>
  <si>
    <t>info@fv.academy</t>
  </si>
  <si>
    <t>164710-09</t>
  </si>
  <si>
    <t>Gulf General Cooperative Insurance (SAU: 8260)</t>
  </si>
  <si>
    <t>GGI</t>
  </si>
  <si>
    <t>Gulf General Cooperative Insurance Co.</t>
  </si>
  <si>
    <t>Gulf General Cooperative Insurance Co provides insurance and related services. Its principal lines of business include the provision of insurance services in the areas of Motor, Medical, Accident and Liability, Marine, Property and Engineering.</t>
  </si>
  <si>
    <t>Insurance</t>
  </si>
  <si>
    <t>Re-Insurance</t>
  </si>
  <si>
    <t>Other Insurance, Re-Insurance*</t>
  </si>
  <si>
    <t>accident and liability, insurance, insurance coverage, medical, motor insurance, motor segment, reinsurance risk</t>
  </si>
  <si>
    <t>2011: 140, 2012: 140, 2023: 230</t>
  </si>
  <si>
    <t>8260</t>
  </si>
  <si>
    <t>301805-83P</t>
  </si>
  <si>
    <t>Ammar Al-Sayrafi</t>
  </si>
  <si>
    <t>ammar@ggi-sa.com</t>
  </si>
  <si>
    <t>+966 (0)12 651 6610</t>
  </si>
  <si>
    <t>No. 7698 Amir Al-Shuara Street</t>
  </si>
  <si>
    <t>Al-Ruwais District, Unit 10</t>
  </si>
  <si>
    <t>23215-4877</t>
  </si>
  <si>
    <t>+966 (0)12 651 1720</t>
  </si>
  <si>
    <t>mailjed@ggi-sa.com</t>
  </si>
  <si>
    <t>225205-12</t>
  </si>
  <si>
    <t>Umm Al-Qura Development and Construction (SAU: 4325)</t>
  </si>
  <si>
    <t>Umm Al Qura for Development and Construction Co</t>
  </si>
  <si>
    <t>Umm AlQura For Development And Construction Co specializes in developing the Masar Destination project and is responsible for supervising all technical, planning, administrative, and operational aspects of Masar Destination. The group is engaged in real estate activities represented in purchasing, selling and dividing of lands and real estate, off-plan sales activities, management and leasing of owned or leased (nonresidential) properties, in addition to the construction field of public works of residential buildings and non-residential buildings such as schools, hospitals, hotels, etc., and the construction of roads, streets, sidewalks, road supplies, and the construction of bridges and tunnels.</t>
  </si>
  <si>
    <t>Construction and Engineering</t>
  </si>
  <si>
    <t>Construction and Engineering*</t>
  </si>
  <si>
    <t>building design, construction, construction planning, construction service, real estate space, real estate space management</t>
  </si>
  <si>
    <t>2023: 81, 2024: 89</t>
  </si>
  <si>
    <t>4325</t>
  </si>
  <si>
    <t>Jabal Omar Development</t>
  </si>
  <si>
    <t>376446-07P</t>
  </si>
  <si>
    <t>Yasser Ateeq</t>
  </si>
  <si>
    <t>yateeq@ummalqura.com.sa</t>
  </si>
  <si>
    <t>+966 (0)12 696 2400</t>
  </si>
  <si>
    <t>Makkah, Saudi Arabia</t>
  </si>
  <si>
    <t>PO Box 16786</t>
  </si>
  <si>
    <t>Makkah</t>
  </si>
  <si>
    <t>21955</t>
  </si>
  <si>
    <t>info@ummalqura.com.sa</t>
  </si>
  <si>
    <t>741695-32</t>
  </si>
  <si>
    <t>Arabian Company for Agricultural and Industrial Investment (SAU: 2287)</t>
  </si>
  <si>
    <t>Arabian Co For Agricultural And Industrial Investment is a poultry producers company in Saudi. It sells its product under the brand Entaj. It operates in a single business segment of Agriculture and Food business which includes manufacturing and distribution of fresh and processed poultry and poultry related products.</t>
  </si>
  <si>
    <t>Animal Husbandry, Food Products*</t>
  </si>
  <si>
    <t>chicken product, fresh poultry, poultry egg, poultry egg producer, poultry products, poultry products supplier</t>
  </si>
  <si>
    <t>2021: 1171, 2022: 1265, 2023: 1675, 2024: 1755</t>
  </si>
  <si>
    <t>2287</t>
  </si>
  <si>
    <t>432026-47P</t>
  </si>
  <si>
    <t>Raja M. Al-Harbi</t>
  </si>
  <si>
    <t>P.O. Box 53845</t>
  </si>
  <si>
    <t>11593</t>
  </si>
  <si>
    <t>info@entaj.com</t>
  </si>
  <si>
    <t>484000-84</t>
  </si>
  <si>
    <t>Rasan Information Technology (SAU: 8313)</t>
  </si>
  <si>
    <t>Rasan Technology</t>
  </si>
  <si>
    <t>Rasan Information Technology Co.</t>
  </si>
  <si>
    <t>Rasan Information Technology Co is engaged in online wholesale, electronic publishing, ready software publishing, systems analysis, design and customization of program software, software maintenance, web page design, setting up of web page hosting infrastructure, providing SMS design, and website design. Currently, it is engaged in providing insurance aggregator, online auto auction, and online leasing insurance services. The company's operating segments include Tameeni-Motors, Tameeni-Health, Leasing, Awal Mazad, and R Solutions. Maximum revenue is derived from the Tameeni Motors segment which offers a B2C digital platform providing vehicle owners access to motor insurers.</t>
  </si>
  <si>
    <t>Financial Software</t>
  </si>
  <si>
    <t>Financial Software*, Other Insurance</t>
  </si>
  <si>
    <t>FinTech, InsurTech</t>
  </si>
  <si>
    <t>banking technology, car insurance, car insurance quote, distribution and intermediation, financial service infrastructure, financial services infrastructure, insurance platform, insurance policy, insurance technology, insurtech platform, medical insurance</t>
  </si>
  <si>
    <t>Formerly VC-backed</t>
  </si>
  <si>
    <t>Publicly Listed, Venture Capital</t>
  </si>
  <si>
    <t>2022: 179, 2023: 312, 2024: 367, 2025: 370</t>
  </si>
  <si>
    <t>8313</t>
  </si>
  <si>
    <t>446503-51P</t>
  </si>
  <si>
    <t>Edoardo Monti</t>
  </si>
  <si>
    <t>Executive</t>
  </si>
  <si>
    <t>emonti@rasan.co</t>
  </si>
  <si>
    <t>+966 (0)11 482 6290</t>
  </si>
  <si>
    <t>First Floor, Al-Jadah Square 3413</t>
  </si>
  <si>
    <t>Al-Thumama Road, Qurtubah</t>
  </si>
  <si>
    <t>13248</t>
  </si>
  <si>
    <t>info@rasan.com</t>
  </si>
  <si>
    <t>184965-58</t>
  </si>
  <si>
    <t>Derayah Financial (SAU: 4084)</t>
  </si>
  <si>
    <t>Derayah</t>
  </si>
  <si>
    <t>Derayah Financial Co</t>
  </si>
  <si>
    <t>Derayah Financial deals in securities, managing investments and operating funds, arranging securities transactions, providing advisory services on securities, and custody of securities. The group's operating segments include: Brokerage, Asset Management, Investment, and Investment Property. It generates the majority of its revenue from the Brokerage segment.</t>
  </si>
  <si>
    <t>Capital Markets/Institutions</t>
  </si>
  <si>
    <t>Asset Management</t>
  </si>
  <si>
    <t>Asset Management*, Other Financial Services</t>
  </si>
  <si>
    <t>asset management, asset management firm, digital investment, digital investment firm, digital investment market, digital investment platform, equity investment, investment firm, margin financing</t>
  </si>
  <si>
    <t>2021: 216, 2022: 248, 2023: 179, 2024: 183</t>
  </si>
  <si>
    <t>4084</t>
  </si>
  <si>
    <t>169115-41P</t>
  </si>
  <si>
    <t>Bilal Bushnaq</t>
  </si>
  <si>
    <t>bilal.bushnaq@web.derayah.com</t>
  </si>
  <si>
    <t>+966 (0)11 299 8000</t>
  </si>
  <si>
    <t>Third Floor, Prestige Center</t>
  </si>
  <si>
    <t>Al Takhassousi Street, Al Olaya, P.O.Box 286546</t>
  </si>
  <si>
    <t>11323</t>
  </si>
  <si>
    <t>+966 (0)96 299 8071</t>
  </si>
  <si>
    <t>info@derayah.com</t>
  </si>
  <si>
    <t>741495-61</t>
  </si>
  <si>
    <t>Hedab Alkhaleej Trading (SAU: 9631Q)</t>
  </si>
  <si>
    <t>Hedab Alkhaleej Trading Co.</t>
  </si>
  <si>
    <t>Hedab Alkhaleej Trading Co is engaged in the trading and distribution of industrial equipment, construction materials, and consumer goods. The company also plays a role in import and export activities, catering to various market needs across different sectors.</t>
  </si>
  <si>
    <t>Building Products*</t>
  </si>
  <si>
    <t>bricks seller, ceramic wall, ceramic ware, marble floor, marble seller, porcelain slabs</t>
  </si>
  <si>
    <t>9631Q</t>
  </si>
  <si>
    <t>Riyadh, Dammam, Buraidah</t>
  </si>
  <si>
    <t>Khamis Mushait, Yanbu, Tabuk, Taif, Jizan</t>
  </si>
  <si>
    <t>+966 (0)92 001 7737</t>
  </si>
  <si>
    <t>info@hkc-sa.com</t>
  </si>
  <si>
    <t>731203-93</t>
  </si>
  <si>
    <t>Lamasat (SAU: 9628)</t>
  </si>
  <si>
    <t>Lamasat Co.</t>
  </si>
  <si>
    <t>Lamasat Co is engaged in providing women's grooming services, selling cosmetics goods and products, offering personal care services, and providing photography and editing services. The company owns luxury beauty centers and is focused in supplying and manufacturing many beauty products.</t>
  </si>
  <si>
    <t>Personal Products</t>
  </si>
  <si>
    <t>Leisure Facilities, Personal Products*</t>
  </si>
  <si>
    <t>beauty center appointment, beauty products, cosmetic products distributor, cosmetic products supplier, manufacturing cosmetics, spa operator</t>
  </si>
  <si>
    <t>9628</t>
  </si>
  <si>
    <t>427090-60P</t>
  </si>
  <si>
    <t>Hamza Masoudi</t>
  </si>
  <si>
    <t>Makkah Al Mukkaramah, Saudi Arabia</t>
  </si>
  <si>
    <t>King Sultan Street Jeddah</t>
  </si>
  <si>
    <t>Makkah Al Mukkaramah</t>
  </si>
  <si>
    <t>722741-77</t>
  </si>
  <si>
    <t>Basma Adeem Medical (SAU: 9626)</t>
  </si>
  <si>
    <t>Basma Adeem Medical Co.</t>
  </si>
  <si>
    <t>Basma Adeem Medical Co. operates in the field of dental medicine, treatment, and cosmetic dentistry. The company provides its services to clients through its professional and specialized medical staff in therapeutic and cosmetic dentistry.</t>
  </si>
  <si>
    <t>cosmetic services, dentistry service firm, dentistry service provider, medical clinic operator, medical company operator, medical service, specialty medical</t>
  </si>
  <si>
    <t>2022: 39, 2023: 47, 2024: 53</t>
  </si>
  <si>
    <t>9626</t>
  </si>
  <si>
    <t>426511-90P</t>
  </si>
  <si>
    <t>Mohammed Abdulaziz Al-Buward</t>
  </si>
  <si>
    <t>+966 (0)77 400 8920</t>
  </si>
  <si>
    <t>P.O. Box 13322</t>
  </si>
  <si>
    <t>Al Yasmeen District, King Abdulaziz Branch Road</t>
  </si>
  <si>
    <t>13322</t>
  </si>
  <si>
    <t>543714-85</t>
  </si>
  <si>
    <t>Twareat Medical Care Company (SAU: 9627)</t>
  </si>
  <si>
    <t>Twareat Co.</t>
  </si>
  <si>
    <t>Twareat Medical Care Co is engaged in healthcare solutions. It provides medical care services in remote and industrial areas in the Kingdom of Saudi Arabia. The company also owns Twareat Medical Center in Jubail City, through which it provides internal medicine clinics, pediatric clinics, obstetrics and gynecology clinics, ENT clinics, general medicine clinics and Twareat clinics. It also provides radiology and medical examination services.</t>
  </si>
  <si>
    <t>healthcare clinic, healthcare clinic operator, medical care, medical care service, medical care service provider, private medical care</t>
  </si>
  <si>
    <t>9627</t>
  </si>
  <si>
    <t>426703-33P</t>
  </si>
  <si>
    <t>Mohamed El-Sayed</t>
  </si>
  <si>
    <t>mohamedelsayed@twareat.com</t>
  </si>
  <si>
    <t>+966 (0)13 858 7000</t>
  </si>
  <si>
    <t>Al Khobar, Saudi Arabia</t>
  </si>
  <si>
    <t>Kinan A1-Sharq. Al Kurnish District</t>
  </si>
  <si>
    <t>Prince Turki Road</t>
  </si>
  <si>
    <t>Al Khobar</t>
  </si>
  <si>
    <t>34413</t>
  </si>
  <si>
    <t>info@twareat.com</t>
  </si>
  <si>
    <t>741495-70</t>
  </si>
  <si>
    <t>Ratio Specialty Company (SAU: 9630)</t>
  </si>
  <si>
    <t>Ratio S.A.</t>
  </si>
  <si>
    <t>Ratio Specialty Trading Co is a trading company in the food and beverage sector. It has two brand Ratio and Morning.</t>
  </si>
  <si>
    <t>Beverages</t>
  </si>
  <si>
    <t>Beverages*</t>
  </si>
  <si>
    <t>beverage company, beverage company operator, beverages cafe, beverages firm, coffee chain, coffee industry, franchise model</t>
  </si>
  <si>
    <t>9630</t>
  </si>
  <si>
    <t>431527-33P</t>
  </si>
  <si>
    <t>Abdullatif Almulhim</t>
  </si>
  <si>
    <t>aalmulhim@ratio.sa</t>
  </si>
  <si>
    <t>Al-Hofuf, Saudi Arabia</t>
  </si>
  <si>
    <t>Al-Salam 1 District</t>
  </si>
  <si>
    <t>King Saud Street</t>
  </si>
  <si>
    <t>Al-Hofuf</t>
  </si>
  <si>
    <t>96613-5757</t>
  </si>
  <si>
    <t>58783-78</t>
  </si>
  <si>
    <t>Saudi National Bank (SAU: 1180)</t>
  </si>
  <si>
    <t>NCB</t>
  </si>
  <si>
    <t>National Commercial Bank SJSC</t>
  </si>
  <si>
    <t>Arab National Bank, Banque Saudi Fransi, Riyad Bank, Saudi Awwal Bank, Commercial Bank International, Mashreq Bank, Al Rajhi Banking and Investment, Emirates NBD Bank, Commercial Bank of Dubai, United Arab Bank, National Bank of Fujairah, NatWest Group, Lloyds Banking Group, Samba Financial Group, The National Bank of Ras Al Khaimah, Dubai Islamic Bank, The Royal Bank of Scotland (Malaysia), YES Bank, State Bank of India, Axis Bank, Abu Dhabi Commercial Bank, HSBC Holdings, Arab Bank, Sharjah Islamic Bank, Williams &amp; Glyn Bank</t>
  </si>
  <si>
    <t>Saudi National Bank is the financial institution in Saudi Arabia. It is engaged in the treasury and capital markets, asset management, brokerage, and investment banks. It has a presence in the Middle East, South Asia, and Turkey. Its operating segments include Retail Banking: Provides banking services, including lending and current accounts to individual and private banking; Wholesale Banking: Provides banking services including all conventional credit-related products as well as financing products ; Capital Market: Provides wealth management, asset management, investment Banking, etc; and International Banking: TFKB and SBL are included within this segment. The majority of its revenue is derived from the Wholesale Banking segment.</t>
  </si>
  <si>
    <t>Commercial Banks</t>
  </si>
  <si>
    <t>National Banks</t>
  </si>
  <si>
    <t>National Banks*</t>
  </si>
  <si>
    <t>commercial banking, commercial banking company, commercial banking facility, commercial banking firm, commercial banking product, commercial banking service, commercial banking service provider, national bank</t>
  </si>
  <si>
    <t>2014: 12356, 2015: 12586, 2016: 12310, 2017: 13436, 2018: 13058, 2019: 12883, 2020: 13334, 2021: 16113, 2022: 15906, 2023: 16084, 2024: 15679</t>
  </si>
  <si>
    <t>1180</t>
  </si>
  <si>
    <t>347458-69P</t>
  </si>
  <si>
    <t>Munther Al Hebaishi</t>
  </si>
  <si>
    <t>Senior Vice President</t>
  </si>
  <si>
    <t>m.alhebaishi@alahli.com</t>
  </si>
  <si>
    <t>+966 (0)92 000 1000</t>
  </si>
  <si>
    <t>King Fahd Road 3208</t>
  </si>
  <si>
    <t>Al Aqeeq District Unit Number 778</t>
  </si>
  <si>
    <t>Al Aqeeq</t>
  </si>
  <si>
    <t>13519</t>
  </si>
  <si>
    <t>contactus@alahli.com</t>
  </si>
  <si>
    <t>720844-12</t>
  </si>
  <si>
    <t>ITMAM Consulting (SAU: 9625)</t>
  </si>
  <si>
    <t>ITMAM Consulting Co.</t>
  </si>
  <si>
    <t>ITMAM Consulting Co is engaged in delivering new, high-impact business transformation and management consulting solutions. The company is also engaged in rehabilitating and restructuring the administrative, financial and operational processes of establishments, providing senior management consulting services, market research, and opinion polls, integrated office administrative services activities, business incubator, and accelerator activities.</t>
  </si>
  <si>
    <t>Consulting Services (B2B)</t>
  </si>
  <si>
    <t>Consulting Services (B2B)*</t>
  </si>
  <si>
    <t>business transformation, business transformation advisory, business transformation services, management consulting, management consulting service, operational service</t>
  </si>
  <si>
    <t>2025: 54</t>
  </si>
  <si>
    <t>9625</t>
  </si>
  <si>
    <t>425683-63P</t>
  </si>
  <si>
    <t>Adham Qari</t>
  </si>
  <si>
    <t>+966 (0)11 247 5339</t>
  </si>
  <si>
    <t>Mefic Tower</t>
  </si>
  <si>
    <t>King Fahad Road, Almalqa</t>
  </si>
  <si>
    <t>info@itmam.sa</t>
  </si>
  <si>
    <t>719981-65</t>
  </si>
  <si>
    <t>Alshehili Company (SAU: 9624)</t>
  </si>
  <si>
    <t>Alshehili Co.</t>
  </si>
  <si>
    <t>Alshehili Company For Metal Industries is a manufacturer and maintenance center specializing in logistics freight vehicles, and defense products. Its product line includes Reefer Trucks, Reefer Trailers, Curtain Side Trailers, Flat Bed Trailers, Low Bed Trailers, High Side Trailers, Van Insulation services, Caravans, and Construction Vehicles, Military Troop Carrier, Armored Vehicles and Armored Glass.</t>
  </si>
  <si>
    <t>Road</t>
  </si>
  <si>
    <t>Road*</t>
  </si>
  <si>
    <t>armored vehicle, armored vehicle manufacturer, caravans seller, freight vehicle, reefer trailer, reefer truck</t>
  </si>
  <si>
    <t>9624</t>
  </si>
  <si>
    <t>424442-98P</t>
  </si>
  <si>
    <t>Mohammed Fahad Alshehhi</t>
  </si>
  <si>
    <t>Vice Chairman &amp; Chief Executive Officer</t>
  </si>
  <si>
    <t>+966 (0)92 001 0000</t>
  </si>
  <si>
    <t>4699 Al-Tenhat Street</t>
  </si>
  <si>
    <t>7288 Al-Manakh District</t>
  </si>
  <si>
    <t>14314</t>
  </si>
  <si>
    <t>info@alshehili.com</t>
  </si>
  <si>
    <t>164711-35</t>
  </si>
  <si>
    <t>Saudi Re (SAU: 8200)</t>
  </si>
  <si>
    <t>Saudi Reinsurance Co</t>
  </si>
  <si>
    <t>Saudi Reinsurance Co is engaged in providing insurance and reinsurance related services. It operates its business in two reportable segments Property and Casualty and Life and Health. Property and Casualty provide coverage for property and casualty risks, including Engineering, Fire, Marine, General Accident, Specialty, IDI, Motor and other business segments (Whole Accounts, Aviation, Energy, Agriculture and Political Risk etc). Life and Health segment includes Health and Life insurance business lines. These products provide coverage for personal well-being, healthcare expenses, and life protection.</t>
  </si>
  <si>
    <t>Re-Insurance*</t>
  </si>
  <si>
    <t>casualty insurance, insurance, insurance provider, insurance service, marine insurance, reinsurance product</t>
  </si>
  <si>
    <t>2011: 25, 2012: 25</t>
  </si>
  <si>
    <t>8200</t>
  </si>
  <si>
    <t>250270-66P</t>
  </si>
  <si>
    <t>Ahmed Al-Jabr</t>
  </si>
  <si>
    <t>+966 (0)11 510 2000</t>
  </si>
  <si>
    <t>Northern Ring Road</t>
  </si>
  <si>
    <t>Al Wadi</t>
  </si>
  <si>
    <t>+966 (0)11 510 2111</t>
  </si>
  <si>
    <t>719630-11</t>
  </si>
  <si>
    <t>Shmoh Almadi (SAU: 9622)</t>
  </si>
  <si>
    <t>Shmoh Almadi Co.</t>
  </si>
  <si>
    <t>Shmoh Almadi Co is the agent for Mamoula Mamma, Loli, Mamloul Um Salih products, frozen products ready for cooking and plastik.</t>
  </si>
  <si>
    <t>Food Products*, Plastic Containers and Packaging</t>
  </si>
  <si>
    <t>frozen food, plastic packaging, plastic product company, plastic products, ready-to-cook, ready-to-cook food</t>
  </si>
  <si>
    <t>9622</t>
  </si>
  <si>
    <t>425040-22P</t>
  </si>
  <si>
    <t>Yazid Hammad</t>
  </si>
  <si>
    <t>Aziziyah, Saudi Arabia</t>
  </si>
  <si>
    <t>Aziziyah</t>
  </si>
  <si>
    <t>14512</t>
  </si>
  <si>
    <t>680191-39</t>
  </si>
  <si>
    <t>Almoosa Health (SAU: 4018)</t>
  </si>
  <si>
    <t>Almoosa Health Co</t>
  </si>
  <si>
    <t>Almoosa Health Co provides integrated healthcare services that include primary, acute and rehabilitative care along with ancillary services such as pharmaceuticals, home healthcare and telemedicine. The company is also designing, constructing and developing hospitals care centers. The reported segments are: Medical Services and Hospital: Focused on delivering medical care and treatment; Rehabilitation Centre: Specializing in rehabilitation-related services; Pharmacy: Engaged in the sale of medicines.</t>
  </si>
  <si>
    <t>healthcare sector, healthcare service, hospital, hospital center, hospital complex, hospital network, hospitals/inpatient services</t>
  </si>
  <si>
    <t>2024: 2922</t>
  </si>
  <si>
    <t>4018</t>
  </si>
  <si>
    <t>415208-17P</t>
  </si>
  <si>
    <t>Shailesh Chander</t>
  </si>
  <si>
    <t>schander@almoosahealthgroup.org</t>
  </si>
  <si>
    <t>Al-Ahsa, Saudi Arabia</t>
  </si>
  <si>
    <t>Dharan Street, Alfaisal District</t>
  </si>
  <si>
    <t>Al-Ahsa, Eastern province, PO Box 5098</t>
  </si>
  <si>
    <t>Al-Ahsa</t>
  </si>
  <si>
    <t>568419-76</t>
  </si>
  <si>
    <t>Nice one (Internet Retail) (SAU: 4193)</t>
  </si>
  <si>
    <t>Nice One Beauty Digital Marketing Co</t>
  </si>
  <si>
    <t>Nice One Beauty Digital Marketing Co operates as a online stores engaged in sale of beauty and personal care products. The company offers beauty and body care products, contact lenses, perfumes, skin and hair care products, as well as supplements. The Company's main activities are as Wholesale of textiles, clothing and footwear. Non-specialized wholesale trade.</t>
  </si>
  <si>
    <t>Internet Retail</t>
  </si>
  <si>
    <t>Accessories, Internet Retail*, Personal Products</t>
  </si>
  <si>
    <t>E-Commerce</t>
  </si>
  <si>
    <t>beauty products, body care products, hair device, makeup tool, online platform, perfume retail</t>
  </si>
  <si>
    <t>2024: 401</t>
  </si>
  <si>
    <t>4193</t>
  </si>
  <si>
    <t>382332-25P</t>
  </si>
  <si>
    <t>Omar Ali Abdulrahman AlOlayan</t>
  </si>
  <si>
    <t>Co-Founder, Chief Executive Officer and Board Member</t>
  </si>
  <si>
    <t>omar@niceonesa.com</t>
  </si>
  <si>
    <t>Anas Ibn Malik</t>
  </si>
  <si>
    <t>AlMalqa District P.O. Box: 5497</t>
  </si>
  <si>
    <t>AlMalqa District</t>
  </si>
  <si>
    <t>51422</t>
  </si>
  <si>
    <t>info@niceonesa.com</t>
  </si>
  <si>
    <t>719981-74</t>
  </si>
  <si>
    <t>AL Battal Factory For Chemical Industries (SAU: 9623)</t>
  </si>
  <si>
    <t>Al Battal Chemical Industries Factory</t>
  </si>
  <si>
    <t>AL Battal Factory For Chemical Industries Co.</t>
  </si>
  <si>
    <t>Al Battal Factory For Chemical Industries Co is engaged in the production and manufacture of basic organic chemicals that include acetylene. The company is engaged in production and marketing of top-quality cellulose ether products like Polyanionic Cellulose (PAC) and Carboxymethyl cellulose (CMC).</t>
  </si>
  <si>
    <t>Chemicals and Gases</t>
  </si>
  <si>
    <t>Industrial Chemicals</t>
  </si>
  <si>
    <t>Industrial Chemicals*</t>
  </si>
  <si>
    <t>carboxymethyl cellulose, cellulose ether, cellulose manufacturer, cellulose materials, cellulose product, polyanionic cellulose</t>
  </si>
  <si>
    <t>9623</t>
  </si>
  <si>
    <t>424361-98P</t>
  </si>
  <si>
    <t>Khalid Aldossary</t>
  </si>
  <si>
    <t>+966 (0)13 812 8881</t>
  </si>
  <si>
    <t>Dammam, Saudi Arabia</t>
  </si>
  <si>
    <t>2nd Industrial City</t>
  </si>
  <si>
    <t>Dammam</t>
  </si>
  <si>
    <t>info@albattalchem.com</t>
  </si>
  <si>
    <t>707245-48</t>
  </si>
  <si>
    <t>Digital Research Company (SAU: 9621)</t>
  </si>
  <si>
    <t>Digital Research Co.</t>
  </si>
  <si>
    <t>Digital Research Co is a joint stock consulting company specializing in Market Research and Data Analytics with international expertise and local talent. It takes pride in its capabilities, approach, adoption of state of the art technologies and deep cultural understanding to serve as a trusted advisor to its clients.</t>
  </si>
  <si>
    <t>Consulting Services (B2B)*, Media and Information Services (B2B)</t>
  </si>
  <si>
    <t>consulting company, consulting service, data analytics, data solutions, market research, market segmentation</t>
  </si>
  <si>
    <t>2024: 98</t>
  </si>
  <si>
    <t>9621</t>
  </si>
  <si>
    <t>420032-26P</t>
  </si>
  <si>
    <t>Mansour Alkahtani</t>
  </si>
  <si>
    <t>Co-Founder</t>
  </si>
  <si>
    <t>+966 (0)92 000 3485</t>
  </si>
  <si>
    <t>Roshen Business Front</t>
  </si>
  <si>
    <t>Building N8</t>
  </si>
  <si>
    <t>info@drc.net.sa</t>
  </si>
  <si>
    <t>711821-35</t>
  </si>
  <si>
    <t>Balsm Alofoq Medical (SAU: 9620)</t>
  </si>
  <si>
    <t>Balsm Alofoq Medical Co.</t>
  </si>
  <si>
    <t>Balsm Alofoq Medical Co operates in the medical sector. Its activities include medical services, specialized clinics and medical complexes, medical operations, and the import and supply of medical devices and supplies to all regions of the Kingdom of Saudi Arabia.</t>
  </si>
  <si>
    <t>healthcare service, medical clinic, medical device, medical equipment, medical technology, operation service</t>
  </si>
  <si>
    <t>2024: 100</t>
  </si>
  <si>
    <t>9620</t>
  </si>
  <si>
    <t>422803-63P</t>
  </si>
  <si>
    <t>Rami Alharbi</t>
  </si>
  <si>
    <t>ralharbi@balsmalofoq-mc.com</t>
  </si>
  <si>
    <t>Kingdom Of Suadi Arabia</t>
  </si>
  <si>
    <t>info@balsmalofoq-mc.com</t>
  </si>
  <si>
    <t>706251-43</t>
  </si>
  <si>
    <t>Arabica Star (SAU: 9617)</t>
  </si>
  <si>
    <t>Arabica Star Co is engaged in operating beverage stores (coffee shops) and restaurants.</t>
  </si>
  <si>
    <t>coffee chain, coffee chain business, coffee chain operator, food and beverage, food and beverage chain, food and beverage store</t>
  </si>
  <si>
    <t>9617</t>
  </si>
  <si>
    <t>424103-41P</t>
  </si>
  <si>
    <t>Mohammed Hamoud Al-Hamoud</t>
  </si>
  <si>
    <t>mal-hamoud@arabicastar.com</t>
  </si>
  <si>
    <t>Buraydah, Saudi Arabia</t>
  </si>
  <si>
    <t>Al-Qassim, Saudi Arabia</t>
  </si>
  <si>
    <t>Buraydah</t>
  </si>
  <si>
    <t>706749-40</t>
  </si>
  <si>
    <t>Multi Business Group (SAU: 9619)</t>
  </si>
  <si>
    <t>Multi Business Group Ltd</t>
  </si>
  <si>
    <t>Multi Business Group Co provides design and construction contracting services for architectural finishes, interior decoration, electrical and mechanical engineering for buildings, retail sale of building materials, electricity, plumbing, and finishing for buildings, including a others products.</t>
  </si>
  <si>
    <t>Construction and Engineering*, Real Estate Services (B2C)</t>
  </si>
  <si>
    <t>building construction, building construction company, building construction product, building construction project, building construction service, construction service firm, construction service provider, construction services</t>
  </si>
  <si>
    <t>9619</t>
  </si>
  <si>
    <t>419441-05P</t>
  </si>
  <si>
    <t>Adel Basri</t>
  </si>
  <si>
    <t>abasri@mbg.sa</t>
  </si>
  <si>
    <t>+966 (0)92 001 3202</t>
  </si>
  <si>
    <t>Anas Bin Malik Road</t>
  </si>
  <si>
    <t>Al Narjis District, SA</t>
  </si>
  <si>
    <t>info@mbg.sa</t>
  </si>
  <si>
    <t>697026-79</t>
  </si>
  <si>
    <t>United International Holding Company (SAU: 4083)</t>
  </si>
  <si>
    <t>United International Holding Co.</t>
  </si>
  <si>
    <t>United International Holding Co is a Saudi Arabia company along with its subsidiary, it is engaged in consumer finance services. The principal activities of UIHC and its subsidiaries (collectively referred to as the Group) are investing in stocks and other securities, providing loans, guarantees, financing to its affiliated companies and various types of consumer and product finance services.</t>
  </si>
  <si>
    <t>Consumer Finance, Other Financial Services*</t>
  </si>
  <si>
    <t>consumer finance, digital financial services, digital financial services provider, financial service company, financial services, joint stock company</t>
  </si>
  <si>
    <t>4083</t>
  </si>
  <si>
    <t>418033-00P</t>
  </si>
  <si>
    <t>Sakhr Al Mulhem</t>
  </si>
  <si>
    <t>salmulhem@unitedholding.com.sa</t>
  </si>
  <si>
    <t>+966 (0)13 847 8888</t>
  </si>
  <si>
    <t>King Faisal Bin Abdulaziz Street</t>
  </si>
  <si>
    <t>Unit No. 8868</t>
  </si>
  <si>
    <t>Al Rawabi</t>
  </si>
  <si>
    <t>31952</t>
  </si>
  <si>
    <t>+966 (0)13 858 7799</t>
  </si>
  <si>
    <t>info@uihc.sa</t>
  </si>
  <si>
    <t>696977-83</t>
  </si>
  <si>
    <t>Jana Medical Company (SAU: 9616)</t>
  </si>
  <si>
    <t>Jana Medical Co.</t>
  </si>
  <si>
    <t>Jana Medical Co is engaged in the medical sector. The company is in the field of medical supplies and devices for anesthesia, cardiac surgeries, respiratory therapy supplies, neurosurgery, spine, ear, nose, and throat represented in the Excellent Medical Care Company and the Elite Medical Company.</t>
  </si>
  <si>
    <t>Other Devices and Supplies</t>
  </si>
  <si>
    <t>Other Devices and Supplies*</t>
  </si>
  <si>
    <t>anesthesia device, medical device, medical device manfacturer, medical device supplier, medical supplies, neurosurgery device</t>
  </si>
  <si>
    <t>9616</t>
  </si>
  <si>
    <t>418119-31P</t>
  </si>
  <si>
    <t>Khaled Ali</t>
  </si>
  <si>
    <t>+966 (0)11 231 7685</t>
  </si>
  <si>
    <t>Al Sahra Al Maghribiyyah</t>
  </si>
  <si>
    <t>Al-Nafl</t>
  </si>
  <si>
    <t>13312</t>
  </si>
  <si>
    <t>info@janamd.com.sa</t>
  </si>
  <si>
    <t>126916-03</t>
  </si>
  <si>
    <t>Saudi Research and Media Group (SAU: 4210)</t>
  </si>
  <si>
    <t>Saudi Printing and Packaging Company, Saudi Research and Marketing Group</t>
  </si>
  <si>
    <t>SRMG</t>
  </si>
  <si>
    <t>SRMG, PLC.</t>
  </si>
  <si>
    <t>Saudi Research And Media Group is an integrated publishing group based in Saudi Arabia, engaged in trading, media, advertising, promotions, distribution, printing and publishing, and public relations. It operates mainly in the Middle East, Europe, and North Africa. The company has four operating segments; Publishing, visual, and digital content segment, the Public relations and advertising segment, the Printing and packaging segment, and All other segments. The company derives a majority of its revenue from the Publishing, visual, and digital content segment.</t>
  </si>
  <si>
    <t>Publishing</t>
  </si>
  <si>
    <t>Media and Information Services (B2B), Publishing*</t>
  </si>
  <si>
    <t>media house, news provider firm, news publisher, promotional material, public relations, publishing company, publishing services</t>
  </si>
  <si>
    <t>2010: 80, 2012: 80, 2023: 2000, 2024: 2000, 2025: 1900</t>
  </si>
  <si>
    <t>4210</t>
  </si>
  <si>
    <t>328622-86P</t>
  </si>
  <si>
    <t>Bassil Al Mouallimi</t>
  </si>
  <si>
    <t>Chief Strategy and Commercial Officer</t>
  </si>
  <si>
    <t>bassil@srmg.com</t>
  </si>
  <si>
    <t>+966 (0)11 212 8000</t>
  </si>
  <si>
    <t>PO Box 53108</t>
  </si>
  <si>
    <t>Makkah Road</t>
  </si>
  <si>
    <t>info@srmg.com</t>
  </si>
  <si>
    <t>706716-28</t>
  </si>
  <si>
    <t>Al Fakhera (SAU: 9618)</t>
  </si>
  <si>
    <t>Al Fakhera Company</t>
  </si>
  <si>
    <t>Alfakhera For Mens Tailoring Co is engaged in detailing, sewing, and knitting Arab and non-Arab men's clothing, and retail sales of luxury goods and accessories such as Underwear, Shoes, Prayer Beads, Rings, and other men's apparels.</t>
  </si>
  <si>
    <t>Clothing*</t>
  </si>
  <si>
    <t>fashion company, fashion company operator, retail fashion, retail fashion management, retail fashion store, traditional clothes</t>
  </si>
  <si>
    <t>9618</t>
  </si>
  <si>
    <t>443249-29P</t>
  </si>
  <si>
    <t>Abdulrahman Al Maleh</t>
  </si>
  <si>
    <t>abdulrahman.maleh@alfakhera.com</t>
  </si>
  <si>
    <t>+966 (0)92 000 0255</t>
  </si>
  <si>
    <t>New Industrial City</t>
  </si>
  <si>
    <t>8872 PO Box</t>
  </si>
  <si>
    <t>11942</t>
  </si>
  <si>
    <t>info@alfakhera.com</t>
  </si>
  <si>
    <t>494293-42</t>
  </si>
  <si>
    <t>Tamkeen HR (SAU: 1835)</t>
  </si>
  <si>
    <t>Tamkeen Human Resource Co.</t>
  </si>
  <si>
    <t>Tamkeen Human Resource Co is engaged in providing manpower resources services to various sectors, The Group provides continuous support to each sector, from supplying skilled professionals to ensuring swift employment and addressing sector-specific requirements. The Companys main activity is in labour recruitment and providing manpower services in respect of domestic human resources. It has two segments Corporate segment (B2B) in various sectors, and the Individual segment (B2C), serving households mainly with maids, drivers, and cooks.</t>
  </si>
  <si>
    <t>Human Capital Services</t>
  </si>
  <si>
    <t>Consulting Services (B2B), Human Capital Services*</t>
  </si>
  <si>
    <t>hiring firm, hr services, human resources, manpower, recruitment and operations, recruting agency, recruting firm, talent acquisition</t>
  </si>
  <si>
    <t>2022: 148</t>
  </si>
  <si>
    <t>1835</t>
  </si>
  <si>
    <t>315732-16P</t>
  </si>
  <si>
    <t>Mohammad Al-Basha</t>
  </si>
  <si>
    <t>malbasha@tamkeenhr.com</t>
  </si>
  <si>
    <t>+966 (0)92 000 0199</t>
  </si>
  <si>
    <t>2nd Floor, building 3720</t>
  </si>
  <si>
    <t>Northern Ring Road Exit 5</t>
  </si>
  <si>
    <t>AI Nafl District</t>
  </si>
  <si>
    <t>12333</t>
  </si>
  <si>
    <t>info@tamkeenhr.com</t>
  </si>
  <si>
    <t>690699-07</t>
  </si>
  <si>
    <t>Mufeed (SAU: 9615)</t>
  </si>
  <si>
    <t>Mufeed Co</t>
  </si>
  <si>
    <t>Mufeed Co operates in the field of event, exhibition, and conference management and implementation, alongside creative media production. The group handles all logistical, organizational, and media aspects, starting from identifying needs and objectives, preparing the venue, and ensuring the smooth operation of the event according to the highest standards. Its activities include leasing film production equipment, booking and selling tickets for sporting and entertainment events, exhibitions and conferences, organizing and managing exhibitions and conferences, organizing and managing crowds, and operating exhibition and conference centers and facilities.</t>
  </si>
  <si>
    <t>Movies, Music and Entertainment</t>
  </si>
  <si>
    <t>Movies, Music and Entertainment*</t>
  </si>
  <si>
    <t>event management, event management firm, event management service, event management service firm, event management service provider, sound system, sound system provider</t>
  </si>
  <si>
    <t>9615</t>
  </si>
  <si>
    <t>423101-44P</t>
  </si>
  <si>
    <t>Wafi Al Qahtani</t>
  </si>
  <si>
    <t>Founder, Chief Executive Officer &amp; Vice Chairman</t>
  </si>
  <si>
    <t>walqahtani@mufeed.com</t>
  </si>
  <si>
    <t>+966 (0)92 002 6366</t>
  </si>
  <si>
    <t>3455 Anas Ibn Malik Road</t>
  </si>
  <si>
    <t>Al Malqa</t>
  </si>
  <si>
    <t>13522</t>
  </si>
  <si>
    <t>info@mufeed.com</t>
  </si>
  <si>
    <t>680047-66</t>
  </si>
  <si>
    <t>Shalfa Facilities Management (SAU: 9613)</t>
  </si>
  <si>
    <t>Shalfa Facilities Management Co</t>
  </si>
  <si>
    <t>Shalfa Facilities Management Co provides facilities management solutions, environmental services, and project management services.</t>
  </si>
  <si>
    <t>Office Services (B2B)</t>
  </si>
  <si>
    <t>Office Services (B2B)*, Security Services (B2B)</t>
  </si>
  <si>
    <t>facility management, facility management firm, facility management service, facility management service provider, security service system, security services, security services firm</t>
  </si>
  <si>
    <t>9613</t>
  </si>
  <si>
    <t>415472-86P</t>
  </si>
  <si>
    <t>Abdullah Albrahim</t>
  </si>
  <si>
    <t>+966 (0)11 476 6611</t>
  </si>
  <si>
    <t>Post Box: 16331</t>
  </si>
  <si>
    <t>11464</t>
  </si>
  <si>
    <t>+966 (0)11 453 8055</t>
  </si>
  <si>
    <t>info@shalfaintl.com.sa</t>
  </si>
  <si>
    <t>530404-30</t>
  </si>
  <si>
    <t>Purity Tech (SAU: 9614)</t>
  </si>
  <si>
    <t>Purity For Information Technology Co</t>
  </si>
  <si>
    <t>Purity For Information Technology Co is engaged to improve infrastructure efficiency and availability. Its services are Digital Journey, Professional &amp; Information Management Solutions, Software Development, Managed &amp; Support, and Technologies. The group's technology includes On-Premises, Cloud, Data, and Development.</t>
  </si>
  <si>
    <t>IT Services</t>
  </si>
  <si>
    <t>IT Consulting and Outsourcing</t>
  </si>
  <si>
    <t>IT Consulting and Outsourcing*, Systems and Information Management</t>
  </si>
  <si>
    <t>Big Data, Cybersecurity</t>
  </si>
  <si>
    <t>application infrastructure services, business process consulting, cctv systems, data visualization system, data warehousing, it enterprise management, managed services, microservices architecture, programming services</t>
  </si>
  <si>
    <t>9614</t>
  </si>
  <si>
    <t>427200-04P</t>
  </si>
  <si>
    <t>Ahmed Aldubaykhi</t>
  </si>
  <si>
    <t>+966 (0)53 880 4044</t>
  </si>
  <si>
    <t>King Abdul Aziz Road</t>
  </si>
  <si>
    <t>An Narjis</t>
  </si>
  <si>
    <t>13327</t>
  </si>
  <si>
    <t>info@purity.sa</t>
  </si>
  <si>
    <t>167877-01</t>
  </si>
  <si>
    <t>MBC Group (Media Company) (SAU: 4072)</t>
  </si>
  <si>
    <t>Middle East Broadcasting Center</t>
  </si>
  <si>
    <t>MBC Group, MBC</t>
  </si>
  <si>
    <t>MBC Group CJSC</t>
  </si>
  <si>
    <t>MBC Group Co is a media company in the Middle East and North Africa, having principal activities consisting of information, communication, education, arts, entertainment, and recreation. Its operating segments include Broadcasting and other commercial activities, Shahid, and Media and Entertainment. The Group generates its revenue from: advertising revenue, predominantly from advertisers placing advertisements on its free-to-air TV channels, radio channels, and on the Group's advertising-video-on-demand streaming platform (AVOD); revenue from subscriptions of the Group's Shahid VIP subscription-video-ondemand (SVOD) service; and ancillary revenue from its other business operations.</t>
  </si>
  <si>
    <t>Broadcasting, Radio and Television</t>
  </si>
  <si>
    <t>Broadcasting, Radio and Television*</t>
  </si>
  <si>
    <t>broadcast media company, broadcast media network, broadcasting service, broadcasting service provider, broadcasting services, radio broadcasting, television broadcasting</t>
  </si>
  <si>
    <t>2021: 1800, 2024: 2956</t>
  </si>
  <si>
    <t>4072</t>
  </si>
  <si>
    <t>171505-09P</t>
  </si>
  <si>
    <t>Fadel Zahreddine</t>
  </si>
  <si>
    <t>Group Director of Brand Management- Marketing, Branding, Digital Businesses</t>
  </si>
  <si>
    <t>fadel.zahreddine@mbc.net</t>
  </si>
  <si>
    <t>+966 (0)11 268 4444</t>
  </si>
  <si>
    <t>3237 Riyadh, Abu al-Qasim al-Majriti</t>
  </si>
  <si>
    <t>Al Safarat District, 6501</t>
  </si>
  <si>
    <t>12511</t>
  </si>
  <si>
    <t>+966 (0)11 444 0066</t>
  </si>
  <si>
    <t>contact@mbc.net</t>
  </si>
  <si>
    <t>466788-79</t>
  </si>
  <si>
    <t>Fourth Milling (SAU: 2286)</t>
  </si>
  <si>
    <t>Fourth Milling Co.</t>
  </si>
  <si>
    <t>Fourth Milling Co is in the business of flour products in designated areas in Saudi Arabia. Its main business activities include packing and milling of wheat, maize, Barley and rice, production of flour from rice, manufacture of flour and dough for bakeries, manufacture of concentrated fooder for animal, manufacture of cattle fodder, preparation, milling and pressing of animal feed, animal food and feed stores, storage in warehouse of grain silos, flour and agricultural products, storage of goods in foreign trade zones, wholesale of bakery products and trade of special and healthy food.</t>
  </si>
  <si>
    <t>Cultivation, Food Products*</t>
  </si>
  <si>
    <t>agribusiness marketplace, agriculture product, agrifinance &amp; ecommerce, agrifinance and ecommerce, feed, flour mill, flour producer, flour products, wheat flour</t>
  </si>
  <si>
    <t>2023: 532</t>
  </si>
  <si>
    <t>2286</t>
  </si>
  <si>
    <t>263695-69P</t>
  </si>
  <si>
    <t>Samir Al-Hamdan</t>
  </si>
  <si>
    <t>Chief Operating Officer</t>
  </si>
  <si>
    <t>+966 (0)13 829 9010</t>
  </si>
  <si>
    <t>King Abdul-Aziz Port</t>
  </si>
  <si>
    <t>32211</t>
  </si>
  <si>
    <t>+966 (0)13 829 9011</t>
  </si>
  <si>
    <t>info@millingcompany4.com</t>
  </si>
  <si>
    <t>653939-83</t>
  </si>
  <si>
    <t>Sama Water (SAU: 9612)</t>
  </si>
  <si>
    <t>Sama Health Water Factory Co</t>
  </si>
  <si>
    <t>SAMA Healthy Water Factory Co engaged in the production and manufacturing of drinking water and ice cubes. The company's operating segments include Water which generates maximum revenue, and Ice.</t>
  </si>
  <si>
    <t>Beverages*, Environmental Services (B2B)</t>
  </si>
  <si>
    <t>water bottle, water bottle company, water bottle distributor, water bottle equipment, water bottle manufacturer, water bottle producer, water bottle provider, water bottle services, water bottle supplier</t>
  </si>
  <si>
    <t>2022: 358, 2023: 343</t>
  </si>
  <si>
    <t>9612</t>
  </si>
  <si>
    <t>412458-67P</t>
  </si>
  <si>
    <t>Abdulaziz Tabaiqi</t>
  </si>
  <si>
    <t>atabaiqi@samawaterco.com</t>
  </si>
  <si>
    <t>+966 (0)9 200 0254</t>
  </si>
  <si>
    <t>Jazan City, Saudi Arabia</t>
  </si>
  <si>
    <t>P.O. Box 6321</t>
  </si>
  <si>
    <t>Jazan City</t>
  </si>
  <si>
    <t>82771</t>
  </si>
  <si>
    <t>+966 (0)17 315 2849</t>
  </si>
  <si>
    <t>info@samawaterco.com</t>
  </si>
  <si>
    <t>435916-00</t>
  </si>
  <si>
    <t>Professional Medical Expertise (SAU: 9574)</t>
  </si>
  <si>
    <t>Professional Medical Expertise, LLC</t>
  </si>
  <si>
    <t>Professional Medical Expertise Co is a medical devices distributor in the Saudi market, representing selected top-notch quality suppliers of inventive state of the art medical technologies. The Company's current activities comprise the import and export of medical implants, devices and high-tech consumables and their sale to private and public hospitals and medical centers throughout the Kingdom. It activities consist of the following: Agents involved in the sale of medicines, Drug warehouse activities, Retail sale of medical equipment, tools and supplies, Medical Devices warehouse activities and Legal representation of medical products and devices' manufacturers. The Group operates in the Kingdom of Saudi Arabia (KSA) which gives key revenue and United Arab of Emirates (UAE).</t>
  </si>
  <si>
    <t>Distributors (Healthcare)</t>
  </si>
  <si>
    <t>Diagnostic Equipment, Distributors (Healthcare)*, Medical Supplies</t>
  </si>
  <si>
    <t>health care devices, health care devices distributor, healthcare, healthcare device, healthcare distributor, healthcare firm</t>
  </si>
  <si>
    <t>2023: 130</t>
  </si>
  <si>
    <t>9574</t>
  </si>
  <si>
    <t>232251-58P</t>
  </si>
  <si>
    <t>Moetaz Abdulmonem</t>
  </si>
  <si>
    <t>Commercial Excellence Director</t>
  </si>
  <si>
    <t>moetaz.monem@promedex.com</t>
  </si>
  <si>
    <t>+966 (0)12 612 4949</t>
  </si>
  <si>
    <t>Floor 5, Rawdah Bussiness Center, Prince Saud Al-Faisal Street</t>
  </si>
  <si>
    <t>Suite 503</t>
  </si>
  <si>
    <t>23434</t>
  </si>
  <si>
    <t>+966 (0)12 612 5050</t>
  </si>
  <si>
    <t>info@promedex.com</t>
  </si>
  <si>
    <t>482160-79</t>
  </si>
  <si>
    <t>Arabian Mills (SAU: 2285)</t>
  </si>
  <si>
    <t>MC2, Milling Company 2</t>
  </si>
  <si>
    <t>Arabian Mills For Food Products Co is engaged in producing and grinding wheat and feed products throughout the Kingdom. Its commercial activities include Packing and grinding wheat, packing and grinding grits, semolina, and bulgur, manufacture of concentrated feed for animals, manufacture of livestock feed, wholesale of bakery products, trade of specialty and healthy foods, land transportation of goods, storage in ports and customs or free zones, and integrated office administrative services activities. The operations of the Company are in the Kingdom of Saudi Arabia in three branches: Riyadh, Hail and Jazzan. Key revenue is generated from Riyadh.</t>
  </si>
  <si>
    <t>agribusiness marketplace, agrifinance &amp; ecommerce, agrifinance and ecommerce, bread making, cattle food, dough ingredients, flour bread, grain manufacturer, livestock food, poultry feed, poultry feed product</t>
  </si>
  <si>
    <t>2021: 736, 2022: 578, 2023: 622</t>
  </si>
  <si>
    <t>2285</t>
  </si>
  <si>
    <t>National Agriculture Development</t>
  </si>
  <si>
    <t>72973-45P</t>
  </si>
  <si>
    <t>Abdulrahman Al-Ruwaita</t>
  </si>
  <si>
    <t>Chief Legal Officer &amp; Chief Compliance Officer</t>
  </si>
  <si>
    <t>Al-Manakh</t>
  </si>
  <si>
    <t>14313</t>
  </si>
  <si>
    <t>info@arabianmills.com</t>
  </si>
  <si>
    <t>554020-48</t>
  </si>
  <si>
    <t>Al Majed Oud (SAU: 4165)</t>
  </si>
  <si>
    <t>Al-Majed Oud Company</t>
  </si>
  <si>
    <t>Al Majed For Oud Co is engaged in the perfume industry. Its activities include wholesale and retail trade in oud, musk, incense, saffron, oriental and western perfumes, cosmetics, bags, glasses, antiques, gifts, and ornamental flowers. The group's products are Perfumes, Perfume Oil, Oud &amp; Incense, freshener, Saffron, and Others.</t>
  </si>
  <si>
    <t>Distributors/Wholesale</t>
  </si>
  <si>
    <t>Distributors/Wholesale*, Specialty Retail</t>
  </si>
  <si>
    <t>Beauty</t>
  </si>
  <si>
    <t>incense stick, perfume oils, perfumes fragrances, perfumes retail, perfumes supplier, perfumes wholesaler</t>
  </si>
  <si>
    <t>2021: 1016, 2022: 1497, 2023: 1863</t>
  </si>
  <si>
    <t>4165</t>
  </si>
  <si>
    <t>399582-82P</t>
  </si>
  <si>
    <t>Mostafa Maghawry</t>
  </si>
  <si>
    <t>Executive assistant Chief Financial Officer</t>
  </si>
  <si>
    <t>m.maghawry@almajed4oud.com</t>
  </si>
  <si>
    <t>+966 (0)92 002 0088</t>
  </si>
  <si>
    <t>King Abdulaziz Road</t>
  </si>
  <si>
    <t>Al Sahafa</t>
  </si>
  <si>
    <t>info@almajed4oud.com</t>
  </si>
  <si>
    <t>665294-59</t>
  </si>
  <si>
    <t>Arabian United Float Glass (SAU: 9611)</t>
  </si>
  <si>
    <t>Arabian United Float Glass Co.</t>
  </si>
  <si>
    <t>United Arab Float Glass Co is engaged in the float glass market that designs, thicknesses, and dimensions glasses. Its products are Clear float glass, Pattern glass, Silver, and Decorative mirrors. The company's activity is represented in the wholesale and retail trade of the company's products and building materials, including importing and exporting them abroad, owning lands and real estate, constructing buildings on them, practicing manufacturing industries related to the glass industry, and manufacturing and mining all glass industry requirements from raw materials and others.</t>
  </si>
  <si>
    <t>building products, building products company, building products manfacturer, building products retail, building products supplier, building products wholesale, glass manufacturer, mirrors manufacturer</t>
  </si>
  <si>
    <t>9611</t>
  </si>
  <si>
    <t>413771-77P</t>
  </si>
  <si>
    <t>Mohammed Ali</t>
  </si>
  <si>
    <t>mohammed@aufgc.com</t>
  </si>
  <si>
    <t>Al Thumama Road</t>
  </si>
  <si>
    <t>13316 P.O. Box, All Rabie District</t>
  </si>
  <si>
    <t>65264-23</t>
  </si>
  <si>
    <t>Savola Group (SAU: 2050)</t>
  </si>
  <si>
    <t>Savola</t>
  </si>
  <si>
    <t>Savola Group Company</t>
  </si>
  <si>
    <t>Post Holdings, Olam Group, Pepsico, General Mills (Food Products), Tate &amp; Lyle, AAK, SunOpta, PepsiCo Brazil</t>
  </si>
  <si>
    <t>The Savola Group is a strategic investment holding group in the food and retail sectors in the Middle East and North Africa. It is organized into the following operating segments namely Foods processing, Retail, Food Services, Frozen food and Investment. The group derives majority of revenue from the Foods processing segment which consists of includes manufacturing, sale and distribution of Edible oils, Sugar, Pasta, Spices, Nuts, Pulses and other food products.</t>
  </si>
  <si>
    <t>Beverages, Food Products, Holding Companies*</t>
  </si>
  <si>
    <t>edible oils, food product, holding company, holding company firm, holding group, specialty fats, vegetables ghee</t>
  </si>
  <si>
    <t>2012: 18500, 2015: 31000, 2017: 29759</t>
  </si>
  <si>
    <t>2050</t>
  </si>
  <si>
    <t>254887-66P</t>
  </si>
  <si>
    <t>Wajid Khan</t>
  </si>
  <si>
    <t>wkhan@savola.com</t>
  </si>
  <si>
    <t>+966 (0)12 268 7755</t>
  </si>
  <si>
    <t>Savola Tower, Ashati District, Prince Faisal Bin Fahd Road</t>
  </si>
  <si>
    <t>2444 Taha Khusaifan-Ashati, Unit No. 15</t>
  </si>
  <si>
    <t>Al Shatea</t>
  </si>
  <si>
    <t>info@savola.com</t>
  </si>
  <si>
    <t>640763-11</t>
  </si>
  <si>
    <t>Naas Petrol Factory (SAU: 9609)</t>
  </si>
  <si>
    <t>Naas Petrol Factory Co</t>
  </si>
  <si>
    <t>Naas Petrol Factory Co specializes in the production of petroleum derivatives. It is proud to produce mechanical and hydraulic oils, Lubricants and distilled water for all engine types. Its products include Gear Oils, hydraulic oils, Gasoline Engine Oils, Diesel engine Oils, lubricant oils, and Automatic Transmission Oils.</t>
  </si>
  <si>
    <t>Energy</t>
  </si>
  <si>
    <t>Exploration, Production and Refining</t>
  </si>
  <si>
    <t>Energy Refining</t>
  </si>
  <si>
    <t>Energy Refining*, Specialty Chemicals</t>
  </si>
  <si>
    <t>Manufacturing, Oil &amp; Gas</t>
  </si>
  <si>
    <t>petroleum product, petroleum product seller, petroleum products, refined petroleum product, refined petroleum product terminal, refined petroleum products</t>
  </si>
  <si>
    <t>9609</t>
  </si>
  <si>
    <t>412343-92P</t>
  </si>
  <si>
    <t>Fadi Aljamal</t>
  </si>
  <si>
    <t>fadi.aljamal@naaspetrol.com</t>
  </si>
  <si>
    <t>+966 (0)92 002 1238</t>
  </si>
  <si>
    <t>Second Industrial City</t>
  </si>
  <si>
    <t>info@naaspetrol.com</t>
  </si>
  <si>
    <t>638794-63</t>
  </si>
  <si>
    <t>First Avenue Real Estate (SAU: 9610)</t>
  </si>
  <si>
    <t>First Avenue Real Estate Development Co.</t>
  </si>
  <si>
    <t>First Avenue Real Estate Development Co provides general construction of residential buildings, general construction of non-residential buildings including schools, hospitals, hotels, etc., construction of prefabricated buildings on-site, renovation of residential and non-residential buildings, demolition and removal of buildings and others, purchase and sale of real estate lands and properties.</t>
  </si>
  <si>
    <t>building construction, facility management, hospital construction, real estate development, real estate development service provider, real estate development services, real estate evaluation, real estate management, school construction</t>
  </si>
  <si>
    <t>9610</t>
  </si>
  <si>
    <t>410029-84P</t>
  </si>
  <si>
    <t>Nader Al-Omari</t>
  </si>
  <si>
    <t>+966 (0)57 111 2009</t>
  </si>
  <si>
    <t>Prince Turki Al Awwal Road</t>
  </si>
  <si>
    <t>P.O. Box 6314</t>
  </si>
  <si>
    <t>502709-50</t>
  </si>
  <si>
    <t>Tharwah HR (SAU: 9606)</t>
  </si>
  <si>
    <t>Tharwah HR Co.</t>
  </si>
  <si>
    <t>Altharwah Albashariyyah Co is a Saudi firm specializing in Human Capital Advisory Services. The company offers a diverse range of services in fields such as human development, capability-building, and talent development, including the following: Management Consulting, Organisational Excellence, Talent &amp; Leadership Development, and Talent Management.</t>
  </si>
  <si>
    <t>Human Capital Services*</t>
  </si>
  <si>
    <t>hr service, hr services firm, human capital advisory service, human capital service, human capital service company, human capital service provider</t>
  </si>
  <si>
    <t>9606</t>
  </si>
  <si>
    <t>310086-55P</t>
  </si>
  <si>
    <t>Abdullah Alzahrani</t>
  </si>
  <si>
    <t>Founder, Managing Director &amp; Chief Executive Officer</t>
  </si>
  <si>
    <t>abdullah@tharwah.net</t>
  </si>
  <si>
    <t>+966 (0)92 001 9590</t>
  </si>
  <si>
    <t>Al Thoumamah Rd, An Narjis</t>
  </si>
  <si>
    <t>Uthman Ibn Affan Rd, Crossing</t>
  </si>
  <si>
    <t>12472</t>
  </si>
  <si>
    <t>info@tharwah.net</t>
  </si>
  <si>
    <t>522578-98</t>
  </si>
  <si>
    <t>Balady Poultry Trading (SAU: 9559)</t>
  </si>
  <si>
    <t>Balady Poultry Trading Co</t>
  </si>
  <si>
    <t>Balady Poultry Trading Co is engaged in rearing and producing laying broiler breeders and operating its hatcheries. Operating slaughterhouses; slaughtering and preparing of fresh poultry, rabbit and bird meat; production of chilled and frozen meat; production of fertilizers from organic materials; etc. It operates in a single segment: poultry processing and the sale of chilled and frozen poultry products.</t>
  </si>
  <si>
    <t>Agriculture</t>
  </si>
  <si>
    <t>Animal Husbandry</t>
  </si>
  <si>
    <t>Animal Husbandry*, Food Products</t>
  </si>
  <si>
    <t>food producer, fresh poultry, frozen meat, poultry feed, slaughterhouse, slaughterhouse company</t>
  </si>
  <si>
    <t>2023: 635</t>
  </si>
  <si>
    <t>9559</t>
  </si>
  <si>
    <t>341840-62P</t>
  </si>
  <si>
    <t>Turki Shahrani</t>
  </si>
  <si>
    <t>tshahrani@balady-sa.com</t>
  </si>
  <si>
    <t>+966 (0)92 003 5184</t>
  </si>
  <si>
    <t>Khamis Mushait, Saudi Arabia</t>
  </si>
  <si>
    <t>62952 Main Road</t>
  </si>
  <si>
    <t>Wadi Bin Hashbal</t>
  </si>
  <si>
    <t>Khamis Mushait</t>
  </si>
  <si>
    <t>92003-5184</t>
  </si>
  <si>
    <t>info@balady-sa.com</t>
  </si>
  <si>
    <t>164710-54</t>
  </si>
  <si>
    <t>Malath Insurance (SAU: 8020)</t>
  </si>
  <si>
    <t>Malath Cooperative Insurance And Reinsurance Co</t>
  </si>
  <si>
    <t>Malath Cooperative Insurance Co is engaged in transacting cooperative insurance operations and all related activities including reinsurance and agency activities. Its principal line of business includes medical, motor, marine, property, engineering, casualty and other general insurance. Its segments include Medical, Motor, Property, Engineering, Marine, and Others.</t>
  </si>
  <si>
    <t>Automotive Insurance</t>
  </si>
  <si>
    <t>Automotive Insurance*, Life and Health Insurance, Re-Insurance</t>
  </si>
  <si>
    <t>general insurance, health insurance product, insurance, insurance company owner, insurance company service, insurance cover, marine insurance, motor insurance product</t>
  </si>
  <si>
    <t>2011: 150, 2012: 150, 2023: 331, 2024: 430</t>
  </si>
  <si>
    <t>8020</t>
  </si>
  <si>
    <t>324726-40P</t>
  </si>
  <si>
    <t>Fawaz Alhijji</t>
  </si>
  <si>
    <t>f.alhijji@malath.com.sa</t>
  </si>
  <si>
    <t>+966 (0)11 416 8222</t>
  </si>
  <si>
    <t>PO Box 99763</t>
  </si>
  <si>
    <t>Prince Mohammed bin Abdulaziz Road</t>
  </si>
  <si>
    <t>11625</t>
  </si>
  <si>
    <t>+966 (0)11 416 8333</t>
  </si>
  <si>
    <t>info@malath.com</t>
  </si>
  <si>
    <t>608343-40</t>
  </si>
  <si>
    <t>ASG Plastic Factory (SAU: 9607)</t>
  </si>
  <si>
    <t>ASG Plastic Factory Co.</t>
  </si>
  <si>
    <t>ASG Plastic Factory Co is engaged in manufacturing all kinds of plastic products. The company includes products such as packaging, jars, tableware, bags, food storage containers, and other related products.</t>
  </si>
  <si>
    <t>Household Products*, Plastic Containers and Packaging</t>
  </si>
  <si>
    <t>household product, household products, household products manufacturing, household products solutions, household products store, kitchen utensils, plastic product, plastic products</t>
  </si>
  <si>
    <t>2021: 303, 2022: 333, 2023: 393</t>
  </si>
  <si>
    <t>9607</t>
  </si>
  <si>
    <t>404294-50P</t>
  </si>
  <si>
    <t>Antar Al-Sayed</t>
  </si>
  <si>
    <t>600739-21</t>
  </si>
  <si>
    <t>Al Ashghal Almoysra (SAU: 9608)</t>
  </si>
  <si>
    <t>Al Ashghal Almoysra Co</t>
  </si>
  <si>
    <t>Al Ashghal Al Moysra Co main activity include general construction of government, residential, and non-residential buildings, prefabricated on-site construction, renovations, road and sidewalk works, and sports facilities such as stadiums. Services cover demolition, power station maintenance, refrigeration and air conditioning installation and repair, finishing works, furniture installation, and post-construction cleaning. Additional operations include sewage treatment, vehicle transport and towing, fuel station management, general and specialized building cleaning, park and garden maintenance, road cleaning, water distribution, wastewater transport, and airport ground handling services.</t>
  </si>
  <si>
    <t>Other Business Products and Services*</t>
  </si>
  <si>
    <t>contracting firm, facility management, logistics, transport solution provider, transport solution provider firm, transport solutions</t>
  </si>
  <si>
    <t>9608</t>
  </si>
  <si>
    <t>399617-74P</t>
  </si>
  <si>
    <t>Abdul Subhi</t>
  </si>
  <si>
    <t>asubhi@railway.app</t>
  </si>
  <si>
    <t>+966 (0)14 625 8828</t>
  </si>
  <si>
    <t>Sakaka, Saudi Arabia</t>
  </si>
  <si>
    <t>Al-Souq District 2350</t>
  </si>
  <si>
    <t>Sakaka</t>
  </si>
  <si>
    <t>Al Jawf</t>
  </si>
  <si>
    <t>72311</t>
  </si>
  <si>
    <t>+966 (0)14 624 0006</t>
  </si>
  <si>
    <t>ashamco@ashamco.net</t>
  </si>
  <si>
    <t>626500-90</t>
  </si>
  <si>
    <t>SEDCO Capital (SAU: 4703)</t>
  </si>
  <si>
    <t>SEDCO Capital Multi Asset Fund</t>
  </si>
  <si>
    <t>TPG, Jadwa Investment, SHUAA Capital, ATEL Capital Group, Waha Capital, The National Investor, Genstar Capital, TA Associates Management</t>
  </si>
  <si>
    <t>SEDCO Capital is a Shariah-compliant, ESG-led asset management and investment advisory firm. It provides clients with investment solutions through a dynamic asset allocation process across diversified asset classes that deliver strong risk-adjusted returns. Its investment philosophy is built on three pillars: Principles, Partnership, and Performance. The company's strategies are designed to deliver robust performance to its clients who comprise institutions, family offices, endowments, sovereign wealth funds, pension funds, ultra-high net worth individuals, and other sophisticated investors.</t>
  </si>
  <si>
    <t>Asset Management*</t>
  </si>
  <si>
    <t>asset management, asset management api, asset management firm, asset management fund, asset management group, asset management team, asset management unit</t>
  </si>
  <si>
    <t>2025: 134</t>
  </si>
  <si>
    <t>4703</t>
  </si>
  <si>
    <t>453670-84P</t>
  </si>
  <si>
    <t>Rasheed Yarkhan</t>
  </si>
  <si>
    <t>Head of Private Equity</t>
  </si>
  <si>
    <t>rasheedy@sedcocapital.com</t>
  </si>
  <si>
    <t>+966 (0)12 690 6555</t>
  </si>
  <si>
    <t>King Abdulaziz (Malik) Road</t>
  </si>
  <si>
    <t>South Tower, Red Sea Mall, PO Box 13396</t>
  </si>
  <si>
    <t>21491</t>
  </si>
  <si>
    <t>593998-93</t>
  </si>
  <si>
    <t>Alkhabeer Diversified Income 2030</t>
  </si>
  <si>
    <t>Alkhabeer Diversified Income Traded Fund 2030</t>
  </si>
  <si>
    <t>Operator of a closed-ended public investment traded fund based in Jeddah, Saudi Arabia. The company offers regular income and capital appreciation to its investors by investing in a diversified portfolio of underlying assets.</t>
  </si>
  <si>
    <t>close end fund, close end investment service, close end management investment, investment trust, investment trust company, investment trust operator</t>
  </si>
  <si>
    <t>City Road 128289</t>
  </si>
  <si>
    <t>21362</t>
  </si>
  <si>
    <t>+966 (0)12 658 8888</t>
  </si>
  <si>
    <t>+966 (0)12 658 3666</t>
  </si>
  <si>
    <t>163760-14</t>
  </si>
  <si>
    <t>The Saudi Investment Bank (SAU: 1030)</t>
  </si>
  <si>
    <t>SAIB</t>
  </si>
  <si>
    <t>Saudi Investment Bank provides wholesale, retail, and commercial banking products and services throughout the Kingdom of Saudi Arabia. It operates through retail banking, corporate banking, treasury and investments, asset management and brokerage and other segments. Business activity of the bank includes offering loans and other credit products for individuals, corporate and small to medium-sized businesses. The company's reportable segments are Retail banking, Corporate banking, Treasury and Investments, Asset management and brokerage and Others. In addition, it also provides a money market, investments, and other treasury services.</t>
  </si>
  <si>
    <t>cash management, commercial banking, fiduciary placement, foreign exchange, letters of guarantee, local and international shareholdings, money market, personal finance, treasury services</t>
  </si>
  <si>
    <t>2011: 1071, 2012: 1253, 2013: 1418, 2014: 1563, 2015: 1747, 2016: 1661, 2017: 1625, 2018: 1581, 2020: 1492, 2021: 1558, 2022: 1569, 2024: 1483</t>
  </si>
  <si>
    <t>1030</t>
  </si>
  <si>
    <t>188423-20P</t>
  </si>
  <si>
    <t>Salman Al-Fughom</t>
  </si>
  <si>
    <t>Deputy Chief Executive Officer</t>
  </si>
  <si>
    <t>sal-fughom@saib.com.sa</t>
  </si>
  <si>
    <t>8081 Sheikh Abdul Rahman bin Hassan, Al-Wizarat, Al Maather</t>
  </si>
  <si>
    <t>Unit Number 2</t>
  </si>
  <si>
    <t>12622</t>
  </si>
  <si>
    <t>info@saib.com.sa</t>
  </si>
  <si>
    <t>597062-71</t>
  </si>
  <si>
    <t>Leaf Global Environmental Services (SAU: 9597)</t>
  </si>
  <si>
    <t>Leaf Global Environmental Services Company</t>
  </si>
  <si>
    <t>Leaf Global Environmental Services Co is an interdisciplinary science, engineering, and technology company. It is engaged in the cleaning of oil and other contaminants in land and surface waters and in oceans and seas, including coastal areas, testing and measuring environmental indicators, and environmental consulting. The company projects include Arabian Gulf coastal remediation and Restoration, Red Sea Coastal Resources Baseline Assessment, etc.</t>
  </si>
  <si>
    <t>Environmental Services (B2B)*</t>
  </si>
  <si>
    <t>environmental company, environmental company consulting, environmental services, environmental services company, environmental services firm, environmental services software</t>
  </si>
  <si>
    <t>9597</t>
  </si>
  <si>
    <t>396174-52P</t>
  </si>
  <si>
    <t>Rizwan Nasrallah</t>
  </si>
  <si>
    <t>Chief Financial Officer &amp; Executive Director</t>
  </si>
  <si>
    <t>+966 (0)12 612 4171</t>
  </si>
  <si>
    <t>As Salamah District</t>
  </si>
  <si>
    <t>info@lges.com.sa</t>
  </si>
  <si>
    <t>64023-49</t>
  </si>
  <si>
    <t>Yaqeen Capital (SAU: 9602)</t>
  </si>
  <si>
    <t>Yaqeen</t>
  </si>
  <si>
    <t>Yaqeen Capital Co</t>
  </si>
  <si>
    <t>Yaqeen Capital Co is a company that provides financial, investment, and advisory services, including asset management, brokerage, and investment banking, The group has four reportable segments: Investment Banking Group (IBG), Asset Management, Brokerage Services, and Investments. It generates the majority of its revenue from the Investments segment.</t>
  </si>
  <si>
    <t>Investment Banks</t>
  </si>
  <si>
    <t>Investment Banks*</t>
  </si>
  <si>
    <t>asset management agency, asset management co, asset management group, investment bank, investment banking, investment banking firm, investment banking market</t>
  </si>
  <si>
    <t>2023: 91, 2025: 162</t>
  </si>
  <si>
    <t>9602</t>
  </si>
  <si>
    <t>422620-12P</t>
  </si>
  <si>
    <t>Jamal Alkholani</t>
  </si>
  <si>
    <t>jamal.alkholani@yaqeen.sa</t>
  </si>
  <si>
    <t>Al Worood, Al Olaya Main Street</t>
  </si>
  <si>
    <t>Intersection with King Abdullah Road</t>
  </si>
  <si>
    <t>11461</t>
  </si>
  <si>
    <t>+966 (0)11 205 4819</t>
  </si>
  <si>
    <t>599975-65</t>
  </si>
  <si>
    <t>Neft Alsharq (SAU: 9605)</t>
  </si>
  <si>
    <t>Neft Alsharq co</t>
  </si>
  <si>
    <t>Neft Alsharq Co For Chemical Industries is engaged in the wholesale of liquid fuels, crude petroleum, and petroleum refinery products, as well as the production and wholesale of lubricating oils for equipment and engines.</t>
  </si>
  <si>
    <t>Industrial Chemicals*, Other Materials</t>
  </si>
  <si>
    <t>Industrials, Manufacturing, Oil &amp; Gas</t>
  </si>
  <si>
    <t>engine fluid, engine oil, grease, grease oil, industrial oil cleaning, industrial oils, oils, petroleum</t>
  </si>
  <si>
    <t>9605</t>
  </si>
  <si>
    <t>398287-36P</t>
  </si>
  <si>
    <t>Mustafa Hussein Abdel Majeed Abu Qarwa</t>
  </si>
  <si>
    <t>m.majeedabuqarwa@neftalsharq.com</t>
  </si>
  <si>
    <t>+966 (0)11 403 0304</t>
  </si>
  <si>
    <t>Kingdom of Saudi Arabia - Riyadh - Northern Ring Road - Intersection of Abu Bakr Al Siddiq</t>
  </si>
  <si>
    <t>Exit 6 - Square 6 Building</t>
  </si>
  <si>
    <t>info@neftalsharq.com</t>
  </si>
  <si>
    <t>597801-52</t>
  </si>
  <si>
    <t>Al Taiseer Group Talco Industrial (SAU: 4143)</t>
  </si>
  <si>
    <t>Al Taiseer Group Talco Industrial Co</t>
  </si>
  <si>
    <t>Al Taiseer Group Talco Industrial Co is engaged in the production and coverage of various aluminum profiles, the manufacturing of doors, windows, glass building facades, aluminum, and wooden kitchen units, and the production of marble kitchen surfaces. Its segment includes the Aluminum forming and selling sector that generates maximum revenue, the Metal coating powder sector, and others.</t>
  </si>
  <si>
    <t>Industrial Supplies and Parts*</t>
  </si>
  <si>
    <t>aluminum company, aluminum product, aluminum product company, aluminum product provider, aluminum production, aluminum products supplier, aluminum stamping</t>
  </si>
  <si>
    <t>2020: 462, 2021: 645, 2023: 694</t>
  </si>
  <si>
    <t>4143</t>
  </si>
  <si>
    <t>397860-67P</t>
  </si>
  <si>
    <t>Assem Al-Abdulsalam</t>
  </si>
  <si>
    <t>Chief Financial Officer &amp; Director of Finance</t>
  </si>
  <si>
    <t>+966 (0)11 265 5550</t>
  </si>
  <si>
    <t>245 Al-Kharj Road, New Industrial Area</t>
  </si>
  <si>
    <t>Riyadh Second Industrial Area</t>
  </si>
  <si>
    <t>11442</t>
  </si>
  <si>
    <t>+966 (0)11 265 1648</t>
  </si>
  <si>
    <t>info@altaiseer.com</t>
  </si>
  <si>
    <t>106751-98</t>
  </si>
  <si>
    <t>Saudi Arabian Oil (SAU: 2222)</t>
  </si>
  <si>
    <t>Saudi Aramco, Aramco</t>
  </si>
  <si>
    <t>Saudi Arabian Oil Company</t>
  </si>
  <si>
    <t>NOVATEK (Russia), Indian Oil Corporation, Imperial Oil, Exxon Mobil, Husky Energy, Rosneft, BP, Shell, TotalEnergies, Gazprom (Saint Petersburg), Eni, Cenovus Energy, Moeve, Tatneft, Surgutneftegas, QatarEnergy, ConocoPhillips, Gazprom neftekhim Salavat, Occidental Petroleum, Citgo Petroleum, PetroChina Company, Gazprom Neft, Chord Energy</t>
  </si>
  <si>
    <t>Saudi Aramco is the national oil company of Saudi Arabia and holds the exclusive right to explore for, produce, and refine the country's hydrocarbons. It is the largest oil and gas producer in the world with a production volume of 12.4 mmboe/d in 2024, including 10.8 mmboe/d of liquids. Its 4.1 mmb/d in net refining capacity makes it the world's fourth-largest refiner. It also owns 57.6 million metric tons of chemical manufacturing capacity, placing it among the top five global chemical companies.</t>
  </si>
  <si>
    <t>Energy Production</t>
  </si>
  <si>
    <t>Energy Production*, Energy Transportation, Industrial Chemicals</t>
  </si>
  <si>
    <t>Oil &amp; Gas</t>
  </si>
  <si>
    <t>natural gas, natural gas distribution, oil and gas, oil distribution, oil exploration, oil production, oil refine</t>
  </si>
  <si>
    <t>Debt Financed, M&amp;A, Private Equity, Publicly Listed</t>
  </si>
  <si>
    <t>2016: 67718, 2017: 65000, 2018: 76418, 2021: 68493, 2022: 70496, 2024: 75118</t>
  </si>
  <si>
    <t>2222</t>
  </si>
  <si>
    <t>166516-66P</t>
  </si>
  <si>
    <t>Ziad Al-Murshed</t>
  </si>
  <si>
    <t>Executive Vice President and Chief Financial Officer</t>
  </si>
  <si>
    <t>ziad.al-murshed@aramco.com</t>
  </si>
  <si>
    <t>+966 (0)13 877 2828</t>
  </si>
  <si>
    <t>Dhahran, Saudi Arabia</t>
  </si>
  <si>
    <t>PO Box 5000</t>
  </si>
  <si>
    <t>Dhahran</t>
  </si>
  <si>
    <t>31311</t>
  </si>
  <si>
    <t>info@aramco.com</t>
  </si>
  <si>
    <t>510648-31</t>
  </si>
  <si>
    <t>Saudi Manpower Solutions (SAU: 1834)</t>
  </si>
  <si>
    <t>Saudi Manpower Solutions Co.</t>
  </si>
  <si>
    <t>Saudi Manpower Solutions Co (SMASCO) is a Company whose main activities is temporary employment agency services for home services and temporary employment agency services for foreign labour. It has distinguished itself in the manpower industry by offering a comprehensive suite of services tailored to corporate clients. These services are designed to address the demands of various sectors, encompass everything from basic manpower provision to total manpower solutions.</t>
  </si>
  <si>
    <t>human resources process, human resources supply, labour market, labour supply, manpower service, manpower supply, workers comp</t>
  </si>
  <si>
    <t>2023: 36593</t>
  </si>
  <si>
    <t>1834</t>
  </si>
  <si>
    <t>325235-71P</t>
  </si>
  <si>
    <t>Islam Fouad</t>
  </si>
  <si>
    <t>Group Financial Planning &amp; Analysis Manager</t>
  </si>
  <si>
    <t>ifouad@smasco.com</t>
  </si>
  <si>
    <t>+966 (0)55 494 8283</t>
  </si>
  <si>
    <t>6527 Olaya Street, Al Ghadeer District</t>
  </si>
  <si>
    <t>PO Box 91279</t>
  </si>
  <si>
    <t>13311</t>
  </si>
  <si>
    <t>+966 (0)11 224 7001</t>
  </si>
  <si>
    <t>+966 (0)11 453 2025</t>
  </si>
  <si>
    <t>info@smasco.com</t>
  </si>
  <si>
    <t>501957-82</t>
  </si>
  <si>
    <t>Fakeeh Care (SAU: 4017)</t>
  </si>
  <si>
    <t>Fakeeh Care Group</t>
  </si>
  <si>
    <t>Dr Soliman Abdul Kader Fakeeh Hospital Co is a company whose principal activities include managing, establishing, and operating hospitals, clinics, medical, educational, and training centers. In addition to the above, the company is also managing and operating medical services, analysis and radiology laboratory, and managing and establishing pharmacies, wholesale and retail of medical equipment, maintenance of IT equipment, and software-related services. The group has three reportable segments, including medical services, which generates maximum revenue, education, trading, retail, and others. Geographically, it principally operates in the Kingdom of Saudi Arabia.</t>
  </si>
  <si>
    <t>Clinics/Outpatient Services, Hospitals/Inpatient Services*</t>
  </si>
  <si>
    <t>health education, healthcare and wellness, hospital, hospital services, nursing services, surgical hospital services</t>
  </si>
  <si>
    <t>2022: 844, 2024: 900</t>
  </si>
  <si>
    <t>4017</t>
  </si>
  <si>
    <t>309941-47P</t>
  </si>
  <si>
    <t>Mazen Fakeeh</t>
  </si>
  <si>
    <t>Board Member &amp; President</t>
  </si>
  <si>
    <t>mfakeeh@fakeeh.care</t>
  </si>
  <si>
    <t>+966 (0)92 001 2777</t>
  </si>
  <si>
    <t>Post Office Box:2537</t>
  </si>
  <si>
    <t>21461</t>
  </si>
  <si>
    <t>info@fakeeh.care</t>
  </si>
  <si>
    <t>595904-05</t>
  </si>
  <si>
    <t>Horizon Educational ( Educational and Training Services) (SAU: 9603)</t>
  </si>
  <si>
    <t>Horizon Educational LLC</t>
  </si>
  <si>
    <t>Horizon Educational Co.</t>
  </si>
  <si>
    <t>Horizon Educational co is an education-providing company. The company's activities are represented in pre-school education, kindergartens, Primary education for students using an international curriculum, Intermediate education for students with an international curriculum, and Secondary education for students using an international curriculum.</t>
  </si>
  <si>
    <t>education cloud, education college, education firm, educational and training center, educational and training service provider, educational and training services provider, kindergarten school</t>
  </si>
  <si>
    <t>9603</t>
  </si>
  <si>
    <t>394326-37P</t>
  </si>
  <si>
    <t>Jawaher Hurgan</t>
  </si>
  <si>
    <t>jhurgan@horizon.sch.sa</t>
  </si>
  <si>
    <t>+966 (0)11 460 4646</t>
  </si>
  <si>
    <t>Abdullah Alanqari Street</t>
  </si>
  <si>
    <t>Al Wurud</t>
  </si>
  <si>
    <t>info@horizon.sch.sa</t>
  </si>
  <si>
    <t>600286-96</t>
  </si>
  <si>
    <t>Miral Dental Clinics (SAU: 9604)</t>
  </si>
  <si>
    <t>Miral Dental Clinics Co</t>
  </si>
  <si>
    <t>Miral Dental Clinics Co is a company whose main activities include dental centers, dental clinics, specialized medical complexes, and medical clinics.</t>
  </si>
  <si>
    <t>clinic construction, clinic firm, clinics and hospitals development, cosmetic dental clinic, dental hospitals, medical clinic chain, medical complex</t>
  </si>
  <si>
    <t>9604</t>
  </si>
  <si>
    <t>398789-29P</t>
  </si>
  <si>
    <t>Bassem Hanna</t>
  </si>
  <si>
    <t>bhanna@miraldental.com</t>
  </si>
  <si>
    <t>Prince Muhammad bin Abdulaziz Road</t>
  </si>
  <si>
    <t>11527</t>
  </si>
  <si>
    <t>+966 (0)11 466 1078</t>
  </si>
  <si>
    <t>592869-79</t>
  </si>
  <si>
    <t>Mohammad Hadi Al Rasheed (SAU: 9601)</t>
  </si>
  <si>
    <t>Mohammed Hadi Al-Rasheed Co.</t>
  </si>
  <si>
    <t>Mohammed Hadi AL Rasheed &amp; Partners Co is a company whose main activities are operating quarries, rewinding the magnetic core of generators, motors, and electrical transformers, general construction for residential buildings, general construction for non-residential buildings such as schools, hospitals, hotels, etc, also includes the construction of roads, streets, sidewalks, and road supplies, extending pipes of various types for electricity, communications, and others.</t>
  </si>
  <si>
    <t>Building Products, Raw Materials (Non-Wood)*</t>
  </si>
  <si>
    <t>asphalt products, gravel production, industrial silicate, marble and granite, marble product manufacturing, marble stone, sand production</t>
  </si>
  <si>
    <t>9601</t>
  </si>
  <si>
    <t>Building No. 2865 - Dammam Road - Granada District</t>
  </si>
  <si>
    <t>13242-8137</t>
  </si>
  <si>
    <t>+966 (0)11 499 8879</t>
  </si>
  <si>
    <t>+966 (0)11 231 2347</t>
  </si>
  <si>
    <t>info@alrasheedco.com.sa</t>
  </si>
  <si>
    <t>592310-62</t>
  </si>
  <si>
    <t>Qomel (SAU: 9600)</t>
  </si>
  <si>
    <t>Qomel Company</t>
  </si>
  <si>
    <t>Qomel Co is a Saudi Arabian-based healthcare company that provides high-quality medicines and innovative medical services whose core business focuses on institutional and government supply through a professional field force and an in-depth knowledge of the local business environment They offer services such as pharmaceutical and medical supplies.</t>
  </si>
  <si>
    <t>Pharmaceuticals and Biotechnology</t>
  </si>
  <si>
    <t>Pharmaceuticals</t>
  </si>
  <si>
    <t>Pharmaceuticals*</t>
  </si>
  <si>
    <t>pharmaceutical, pharmaceutical chain, pharmaceutical company, pharmaceutical data, pharmaceutical medical care, pharmaceutical preparation</t>
  </si>
  <si>
    <t>9600</t>
  </si>
  <si>
    <t>390769-30P</t>
  </si>
  <si>
    <t>Mohamed Abouelsaad</t>
  </si>
  <si>
    <t>General Manager</t>
  </si>
  <si>
    <t>+966 (0)11 288 6660</t>
  </si>
  <si>
    <t>1st, Floor, Office Number 4107 AL Safwah Commercial Center</t>
  </si>
  <si>
    <t>Suleymaniah P.O.Box: 19811</t>
  </si>
  <si>
    <t>11445</t>
  </si>
  <si>
    <t>info@qomel.com</t>
  </si>
  <si>
    <t>496425-61</t>
  </si>
  <si>
    <t>Obeikan Glass (SAU: 4145)</t>
  </si>
  <si>
    <t>Obeikan Glass Co</t>
  </si>
  <si>
    <t>Obeikan Glass Co is a floating glass manufacturing company. The Company is engaged in the wholesale of chemicals and the wholesale and retail sale of glass panels. It generates the majority of the revenue from the Kingdom of Saudi Arabia.</t>
  </si>
  <si>
    <t>Other Commercial Products</t>
  </si>
  <si>
    <t>Other Commercial Products*</t>
  </si>
  <si>
    <t>glass, glass eye, glass production, glass products, glass products company, glass products trading, glassworks</t>
  </si>
  <si>
    <t>4145</t>
  </si>
  <si>
    <t>350081-47P</t>
  </si>
  <si>
    <t>Ibrahim Al-Hammad</t>
  </si>
  <si>
    <t>+966 (0)58 359 3576</t>
  </si>
  <si>
    <t>Yanbu, Saudi Arabia</t>
  </si>
  <si>
    <t>Al-Olaya District, King Fahd Road</t>
  </si>
  <si>
    <t>PO Box 75767</t>
  </si>
  <si>
    <t>Yanbu</t>
  </si>
  <si>
    <t>572434-48</t>
  </si>
  <si>
    <t>TAQAT Mineral Trading (SAU: 9599)</t>
  </si>
  <si>
    <t>TAQAT Mineral Trading Co</t>
  </si>
  <si>
    <t>Taqat Mineral Trading Co is a company whose business activities are represented in its record. commercial in construction, manufacturing, transportation, storage, water supply, sanitation activities, waste management and treatment. It works in the field of metal and scrap iron recycling.</t>
  </si>
  <si>
    <t>iron board, mineral, mineral belts, mineral company, mineral explorer, mineral miner, miniral exploration</t>
  </si>
  <si>
    <t>Generating Revenue/Not Profitable</t>
  </si>
  <si>
    <t>9599</t>
  </si>
  <si>
    <t>386089-66P</t>
  </si>
  <si>
    <t>Ali Al-hudayf</t>
  </si>
  <si>
    <t>ali@taqatco.sa</t>
  </si>
  <si>
    <t>+966 (0)11 497 6622</t>
  </si>
  <si>
    <t>Abu Al-Nasr Debbas, 7900</t>
  </si>
  <si>
    <t>Al-Musfat District</t>
  </si>
  <si>
    <t>14545</t>
  </si>
  <si>
    <t>info@taqatco.sa</t>
  </si>
  <si>
    <t>458563-24</t>
  </si>
  <si>
    <t>Milling Company 3 (SAU: 2284)</t>
  </si>
  <si>
    <t>Modern Mills Co is a company whose licensed activities include flour production in Saudi Arabia and all activities related to the provision of wheat products, animal feed, and related products, including making any contracts or any related arrangements. The company operates in three regions in the Kingdom of Saudi Arabia which are also their reportable segments that include Khamis Mushait, Al Jumum, and Al Jowf. The majority of its revenue is generated from the Khamis Mushait.</t>
  </si>
  <si>
    <t>animal feed, food produce, food product, food security, livestock food, milling company</t>
  </si>
  <si>
    <t>2284</t>
  </si>
  <si>
    <t>Al Ghurair Investment</t>
  </si>
  <si>
    <t>350139-97P</t>
  </si>
  <si>
    <t>Mana Mehthel</t>
  </si>
  <si>
    <t>+966 (0)17 250 1539</t>
  </si>
  <si>
    <t>Al-Anad Road</t>
  </si>
  <si>
    <t>PO Box 15027</t>
  </si>
  <si>
    <t>61961</t>
  </si>
  <si>
    <t>572305-78</t>
  </si>
  <si>
    <t>Al Mohafaza Company (SAU: 9598)</t>
  </si>
  <si>
    <t>Al Mohafaza for Education Co.</t>
  </si>
  <si>
    <t>Al Mohafaza Co for Education is a company whose business activities include pre-kindergarten education with a national curriculum, primary education for male students with a national curriculum, primary education for female students with a national curriculum, intermediate education for male students with a national curriculum.</t>
  </si>
  <si>
    <t>educational company, educational company operator, educational institute, educational institutes, school, schools and colleges</t>
  </si>
  <si>
    <t>9598</t>
  </si>
  <si>
    <t>385112-80P</t>
  </si>
  <si>
    <t>Ibrahim Shammari</t>
  </si>
  <si>
    <t>ishammari@al-mohafaza.com.sa</t>
  </si>
  <si>
    <t>+966 (0)55 227 7629</t>
  </si>
  <si>
    <t>Hafar Al Batin, Saudi Arabia</t>
  </si>
  <si>
    <t>8721 Ibn Taymiyah Street</t>
  </si>
  <si>
    <t>3295</t>
  </si>
  <si>
    <t>Hafar Al Batin</t>
  </si>
  <si>
    <t>39921</t>
  </si>
  <si>
    <t>info@al-mohafaza.com.sa</t>
  </si>
  <si>
    <t>58900-78</t>
  </si>
  <si>
    <t>ACWA Power (SAU: 2082)</t>
  </si>
  <si>
    <t>ACWA</t>
  </si>
  <si>
    <t>ACWA Power Co.</t>
  </si>
  <si>
    <t>GE Power India, Voltalia</t>
  </si>
  <si>
    <t>ACWA Power Co is engaged in developing, investing, operating, and maintaining power generation, water desalination, and green hydrogen production plants, and bulk sale of electricity. The company's segments include Thermal and Water Desalination, Renewables, and Others. It generates maximum revenue from the Thermal and Water Desalination segment. Geographically, the company generates maximum revenue from Saudi Arabia, followed by other markets in the Middle East and Africa.</t>
  </si>
  <si>
    <t>Energy Services</t>
  </si>
  <si>
    <t>Energy Infrastructure</t>
  </si>
  <si>
    <t>Electric Utilities, Energy Infrastructure*, Energy Production</t>
  </si>
  <si>
    <t>CleanTech, Industrials, TMT</t>
  </si>
  <si>
    <t>desalination plant, hydroelectric plant, hydroelectric plant operator, photovoltaic technology, power generation, power generation work, production plant</t>
  </si>
  <si>
    <t>2015: 2850, 2020: 3500, 2023: 1254</t>
  </si>
  <si>
    <t>2082</t>
  </si>
  <si>
    <t>297081-64P</t>
  </si>
  <si>
    <t>Abdulhameed Al Muhaidib</t>
  </si>
  <si>
    <t>+966 (0)11 283 5555</t>
  </si>
  <si>
    <t>Building 1, Ground Floor, Business Gate Office Complex, Airport Road</t>
  </si>
  <si>
    <t>P.O. Box 22616</t>
  </si>
  <si>
    <t>Al-Murjania District</t>
  </si>
  <si>
    <t>11416</t>
  </si>
  <si>
    <t>+966 (0)11 283 5500</t>
  </si>
  <si>
    <t>info@acwapower.com</t>
  </si>
  <si>
    <t>131009-32</t>
  </si>
  <si>
    <t>Cenomi Centers (SAU: 4321)</t>
  </si>
  <si>
    <t>Arabian Centres Co.</t>
  </si>
  <si>
    <t>Arabian Centres Co is a Saudi Arabia-based company. The company owns, operates, and develops lifestyle centers. Its principal activities include the purchase of land for the construction of buildings, development, and investment by selling or renting and contracting works for residential and commercial buildings, including demolition, restoration, drilling, and maintenance work. The company also provides maintenance and operation of commercial centers, tourist resorts, hotels, and restaurants, as well as managing and operating temporary and permanent exhibitions, compounds and hospitals. It derives the vast majority of its revenue from rental income.</t>
  </si>
  <si>
    <t>Application Software, Buildings and Property*</t>
  </si>
  <si>
    <t>mall management, real estate, shopping mall</t>
  </si>
  <si>
    <t>2019: 550, 2023: 597</t>
  </si>
  <si>
    <t>4321</t>
  </si>
  <si>
    <t>437326-21P</t>
  </si>
  <si>
    <t>Jabri Maali</t>
  </si>
  <si>
    <t>maalij@centers.cenomi.com</t>
  </si>
  <si>
    <t>+966 (0)92 000 0262</t>
  </si>
  <si>
    <t>Prince Turki Ibn Abdulaziz Al Awwal Road</t>
  </si>
  <si>
    <t>11564</t>
  </si>
  <si>
    <t>info@cenomicenters.com</t>
  </si>
  <si>
    <t>542568-43</t>
  </si>
  <si>
    <t>Quara Finance (SAU: 9596)</t>
  </si>
  <si>
    <t>Quara Finance Co.</t>
  </si>
  <si>
    <t>Quara Finance Co is a company engaged in providing finance lease, consumer finance, and small and medium enterprise finance in the Kingdom of Saudi Arabia. The company's operations are in the Kingdom of Saudi Arabia and it provides financing to Saudi and resident individuals from government and private sectors and to SMEs. Its reportable segments are; Retail (Personal financing) segment which includes personal financing provided to retail clients; and SME financing segment includes financing provided to small and medium enterprises. It generates a majority of its income from the Retail segment.</t>
  </si>
  <si>
    <t>Specialized Finance</t>
  </si>
  <si>
    <t>Other Financial Services, Specialized Finance*</t>
  </si>
  <si>
    <t>business credit, financing service provider, financing services, financing services company, personal credit, personal credit service</t>
  </si>
  <si>
    <t>9596</t>
  </si>
  <si>
    <t>380793-43P</t>
  </si>
  <si>
    <t>Faisal Alshaikh</t>
  </si>
  <si>
    <t>falshaikh@quarafinance.com</t>
  </si>
  <si>
    <t>King Abdul Aziz Rd, Al Wizarat</t>
  </si>
  <si>
    <t>11565</t>
  </si>
  <si>
    <t>info@quarafinance.com</t>
  </si>
  <si>
    <t>551295-55</t>
  </si>
  <si>
    <t>Avalon Pharma (SAU: 4016)</t>
  </si>
  <si>
    <t>Middle East Chemical Products Factory Company</t>
  </si>
  <si>
    <t>Middle East Pharmaceutical Industries Company (Avalon Pharma) JSC</t>
  </si>
  <si>
    <t>Gulf Pharmaceutical Industries, Sun Pharmaceutical Industries</t>
  </si>
  <si>
    <t>Middle East Pharmaceutical Industries Co is a holding company is engaged in manufacturing medicines, medicated and non-medicated creams and gels. The company operates in Private, Public, and Export segments.</t>
  </si>
  <si>
    <t>beauty center, cosmetics, health, medication, pharmaceutical company, pharmaceutical industry, prescription</t>
  </si>
  <si>
    <t>2023: 541</t>
  </si>
  <si>
    <t>4016</t>
  </si>
  <si>
    <t>454621-96P</t>
  </si>
  <si>
    <t>Moazam Shah</t>
  </si>
  <si>
    <t>mshah@avalonpharmaceutical.com</t>
  </si>
  <si>
    <t>+966 (0)92 001 0564</t>
  </si>
  <si>
    <t>8146 King Muhammad V</t>
  </si>
  <si>
    <t>Sulimaniyah</t>
  </si>
  <si>
    <t>12223</t>
  </si>
  <si>
    <t>info@avalonpharmacutical.com</t>
  </si>
  <si>
    <t>547541-83</t>
  </si>
  <si>
    <t>Almodawat (SAU: 9594)</t>
  </si>
  <si>
    <t>Mahayil National Hospital</t>
  </si>
  <si>
    <t>Almodawat Specialized Medical Hospital Co</t>
  </si>
  <si>
    <t>Al-Modawat Specialized Medical Co is a company engaged in Pharmacy activities, drug warehouse activities, other activities for selling pharmaceutical, medical and cosmetic products and retail toiletries in specialized stores, public hospitals.</t>
  </si>
  <si>
    <t>healthcare services, hospital, hospital and health care, hospital chain, inpatient services, outpatient</t>
  </si>
  <si>
    <t>9594</t>
  </si>
  <si>
    <t>378691-84P</t>
  </si>
  <si>
    <t>Abdullah Ibrahim Mohammed Al-Yahia</t>
  </si>
  <si>
    <t>+966 (0)17 285 6666</t>
  </si>
  <si>
    <t>Mahayil Asir, Saudi Arabia</t>
  </si>
  <si>
    <t>P.O. Box 176</t>
  </si>
  <si>
    <t>Mahayil Asir</t>
  </si>
  <si>
    <t>info@almodawat.sa</t>
  </si>
  <si>
    <t>548356-06</t>
  </si>
  <si>
    <t>WSM for Information Technology (SAU: 9595)</t>
  </si>
  <si>
    <t>WSM Digitalization</t>
  </si>
  <si>
    <t>WSM for Information Technology Company</t>
  </si>
  <si>
    <t>WSM for Information Technology Co is a company that operates in the field of technical consulting and digital solutions in the Kingdom of Saudi Arabia. Wsm service delivery relies on experiences utilizing the latest technologies and world-wide practices and aligns with the aspirations of its clients. It also benefits from numerous International and local alliances and partnerships that enhance its service package and enable its clients from organizations, entities, and sectors to develop their businesses and increase their productivity.</t>
  </si>
  <si>
    <t>IT Consulting and Outsourcing*</t>
  </si>
  <si>
    <t>digital solutions, information technology, information technology firm, information technology service, it service, it services</t>
  </si>
  <si>
    <t>9595</t>
  </si>
  <si>
    <t>378783-19P</t>
  </si>
  <si>
    <t>Al-Anoud Al-Qahtani</t>
  </si>
  <si>
    <t>+966 (0)11 454 4338</t>
  </si>
  <si>
    <t>Al-Malqa District, Imam Saud bin Faisal Road, P.O. Box: 3558</t>
  </si>
  <si>
    <t>info@wsmco.sa</t>
  </si>
  <si>
    <t>541467-19</t>
  </si>
  <si>
    <t>Pan Gulf Marketing (SAU: 9593)</t>
  </si>
  <si>
    <t>Pan Gulf Marketing Co.</t>
  </si>
  <si>
    <t>Pan Gulf Marketing Co is a company whose main activities are to import, manufacture, and wholesale and retail trade of office and school equipment, materials, supplies, and equipment. The company carries products from the world's top brands ranging from Writing Instruments, School Products, Office Tools, Arts &amp; Craft, and DIY &amp; Hydration products. It has four geographical segments: Saudi Arabia, the United Arab Emirates, Kuwait, and Others.</t>
  </si>
  <si>
    <t>Business Equipment and Supplies, Other Commercial Products*, Other Consumer Durables</t>
  </si>
  <si>
    <t>distributor, packaging equipment, power hand tools, repair, stationery, stationery products</t>
  </si>
  <si>
    <t>9593</t>
  </si>
  <si>
    <t>377464-42P</t>
  </si>
  <si>
    <t>Nawaf Mishari Fahd Al-Walan</t>
  </si>
  <si>
    <t>Chief Financial Officer &amp; Manager of Shared Services</t>
  </si>
  <si>
    <t>+966 (0)11 473 2595</t>
  </si>
  <si>
    <t>PO Box 5490</t>
  </si>
  <si>
    <t>+966 (0)11 291 7510</t>
  </si>
  <si>
    <t>127906-66</t>
  </si>
  <si>
    <t>Arabian Shield Cooperative Insurance (SAU: 8070)</t>
  </si>
  <si>
    <t>Arabian Shield Cooperative Insurance Co.</t>
  </si>
  <si>
    <t>Arabian Shield Cooperative Insurance Co is engaged in the general and medical insurance business in Saudi Arabia. The company has insurance operation segments which include Motor, Medical, Property, Protection &amp; Saving (P&amp;S).Linked and non-linked, Engineering and Others The majority of revenue is generated from the Protection &amp; Saving Linked.</t>
  </si>
  <si>
    <t>Multi-line Insurance</t>
  </si>
  <si>
    <t>Multi-line Insurance*</t>
  </si>
  <si>
    <t>business insurance, general insurance, health insurance, insurance, insurance service provider, insurance services</t>
  </si>
  <si>
    <t>2011: 29, 2012: 29</t>
  </si>
  <si>
    <t>8070</t>
  </si>
  <si>
    <t>287876-62P</t>
  </si>
  <si>
    <t>Nayef bin Sultan bin Saud Al Kabir</t>
  </si>
  <si>
    <t>+966 (0)1 250 5400</t>
  </si>
  <si>
    <t>P.O. Box 61352</t>
  </si>
  <si>
    <t>Number 15 Cercon Building, 3rd Floor, Olaya Main Road</t>
  </si>
  <si>
    <t>+966 (0)1 463 1294</t>
  </si>
  <si>
    <t>info@der3.com</t>
  </si>
  <si>
    <t>163029-07</t>
  </si>
  <si>
    <t>Middle East Paper (SAU: 1202)</t>
  </si>
  <si>
    <t>MEPCO</t>
  </si>
  <si>
    <t>Middle East Paper Co.</t>
  </si>
  <si>
    <t>Middle East Paper Co is engaged in the production and sale of container board, industrial paper, and tissue paper. Along with its subsidiaries, the company has two operating and reportable segments, that is, Manufacturing and Trading. The Manufacturing segment represents the manufacturing of container board and industrial paper, as well as tissue paper, and the Trading segment represents wholesale and retail sales of paper, carton, and plastic waste. A majority of its revenue is generated from the Manufacturing segment. Geographically, the group generates maximum revenue from Saudi Arabia, followed by Asia, Other GCC countries, Africa, Europe, and the Americas.</t>
  </si>
  <si>
    <t>Paper Containers and Packaging*, Paper/Soft Products</t>
  </si>
  <si>
    <t>fluting paper, manufacturing, packaging paper, paper mill, paperboard, paperboard product, semi chemicals fluting, testliner corrugated carton</t>
  </si>
  <si>
    <t>2014: 497, 2023: 1295</t>
  </si>
  <si>
    <t>1202</t>
  </si>
  <si>
    <t>380855-35P</t>
  </si>
  <si>
    <t>Amr Masry</t>
  </si>
  <si>
    <t>Chief Financial Officer &amp; Executive Vice President, Finance</t>
  </si>
  <si>
    <t>+966 (0)12 638 0111</t>
  </si>
  <si>
    <t>P.O Box 9249, Prince Mohammed Bin Abdulaziz Street, Al Andalus</t>
  </si>
  <si>
    <t>Nojoud Center, 1st Floor, entrance (A) Unit Number (45)</t>
  </si>
  <si>
    <t>23326</t>
  </si>
  <si>
    <t>info@mepco.biz</t>
  </si>
  <si>
    <t>164668-33</t>
  </si>
  <si>
    <t>Amana Cooperative Insurance (SAU: 8310)</t>
  </si>
  <si>
    <t>Amana</t>
  </si>
  <si>
    <t>Amana Cooperative Insurance Company</t>
  </si>
  <si>
    <t>Amana Cooperative Insurance Co provides insurance products and services in Saudi Arabia. The company's portfolio includes products covering health, motor, property, fire, marine, engineering, and other specialized insurance. The company's segment includes Medical insurance, Motor insurance, and Property &amp; Casualty insurance. The company generates the majority of its revenue from Medical insurance, which provides coverage for health insurance.</t>
  </si>
  <si>
    <t>Multi-line Insurance*, Property and Casualty Insurance</t>
  </si>
  <si>
    <t>engineering insurance, fire insurance, health insurance, insurance, insurance provider, motor insurance</t>
  </si>
  <si>
    <t>2011: 100, 2012: 100</t>
  </si>
  <si>
    <t>8310</t>
  </si>
  <si>
    <t>461936-26P</t>
  </si>
  <si>
    <t>Hazem Aoudi</t>
  </si>
  <si>
    <t>haoudi@amana.sa</t>
  </si>
  <si>
    <t>+966 (0)11 475 7700</t>
  </si>
  <si>
    <t>PO Box 27986</t>
  </si>
  <si>
    <t>11427</t>
  </si>
  <si>
    <t>+966 (0)11 475 7722</t>
  </si>
  <si>
    <t>537460-84</t>
  </si>
  <si>
    <t>Lana Medical (SAU: 9587)</t>
  </si>
  <si>
    <t>Lana Medical Co.</t>
  </si>
  <si>
    <t>Lana Medical Co is a company whose business activity consists of trading in medical and cosmetic devices medical supplies and treating medical waste. Their Medical Devices are customized for the GCC Region, Licensed, and approved as per the High standards set by the various Government Entities. Lana Medical Company serves all cities in the Kingdom of Saudi Arabia with Medical Devices, Medical Consumables &amp; Supplies, Medical Waste Management Services.</t>
  </si>
  <si>
    <t>Medical Supplies*</t>
  </si>
  <si>
    <t>disinfectants, disinfectants device, fracture treatment, medical equipment, medical equipment maker, sterilizers manufacturing</t>
  </si>
  <si>
    <t>9587</t>
  </si>
  <si>
    <t>368581-15P</t>
  </si>
  <si>
    <t>Ahmed Abdullah</t>
  </si>
  <si>
    <t>abdullah@lanamedical.com</t>
  </si>
  <si>
    <t>+966 (0)92 001 2696</t>
  </si>
  <si>
    <t>2588 Salah Ad Din Al Ayyubi Road 7473</t>
  </si>
  <si>
    <t>12851</t>
  </si>
  <si>
    <t>info@lanamedical.com</t>
  </si>
  <si>
    <t>537716-26</t>
  </si>
  <si>
    <t>Riyadh Steel Company (SAU: 9588)</t>
  </si>
  <si>
    <t>Riyadh Steel Co.</t>
  </si>
  <si>
    <t>Riyadh Steel Co is a steel manufacturing company working in all stages of production of scrap, flat bars, and angle bars. It provides products such as Steel Scrap, Billets, and ASTM A36 standard Flat and Angle bars. The Group's revenue is generated from sale of ferrous products in Saudi Arabia.</t>
  </si>
  <si>
    <t>alloy metal, iron alloy product, iron products, iron products seller, metal product mining, spatulas, steel bars product, steel manufacturer, supplier of steel product</t>
  </si>
  <si>
    <t>9588</t>
  </si>
  <si>
    <t>369257-59P</t>
  </si>
  <si>
    <t>Ahmed Alnafie</t>
  </si>
  <si>
    <t>a.alnafie@riyadhsteel.com.sa</t>
  </si>
  <si>
    <t>+966 (0)80 012 4325</t>
  </si>
  <si>
    <t>Imam Abdullah bin Saud bin Abdulaziz Road, Al-Shuhada District</t>
  </si>
  <si>
    <t>Office No. 35, Building No. 4578</t>
  </si>
  <si>
    <t>13241</t>
  </si>
  <si>
    <t>info@riyadhsteel.com.sa</t>
  </si>
  <si>
    <t>538932-61</t>
  </si>
  <si>
    <t>Armah Sports (SAU: 9590)</t>
  </si>
  <si>
    <t>Armah Sports Co.</t>
  </si>
  <si>
    <t>Armah Sports Co is a company whose primary activities include operating facilities, sport centers, retail sales of sports apparel, and providing food services in sports facilities, salons, and other sports activities. The company operates into two geographical segments: Central region and Western region. It derives maximum revenue from the Central Region.</t>
  </si>
  <si>
    <t>Other Restaurants, Hotels and Leisure</t>
  </si>
  <si>
    <t>Other Restaurants, Hotels and Leisure*</t>
  </si>
  <si>
    <t>club network, constructing company, fitness brand, sports center, sports club, sports club operator, sports facilities, sports facilities service</t>
  </si>
  <si>
    <t>2022: 95</t>
  </si>
  <si>
    <t>9590</t>
  </si>
  <si>
    <t>371499-49P</t>
  </si>
  <si>
    <t>Ibrahim Gharbieh</t>
  </si>
  <si>
    <t>Chief Financial Officer, Finance Manager &amp; Secretary</t>
  </si>
  <si>
    <t>igharbieh@armahsports.com</t>
  </si>
  <si>
    <t>+966 (0)1 183 8600 x101</t>
  </si>
  <si>
    <t>P.O. Box 3894</t>
  </si>
  <si>
    <t>Takhassusi Street Al-Nakheel District</t>
  </si>
  <si>
    <t>12382</t>
  </si>
  <si>
    <t>+966 (0)11 838 6000</t>
  </si>
  <si>
    <t>info@armahsports.com</t>
  </si>
  <si>
    <t>538071-76</t>
  </si>
  <si>
    <t>Fad International (SAU: 9589)</t>
  </si>
  <si>
    <t>Fad International Ltd. Co.</t>
  </si>
  <si>
    <t>Fad International Co is engaged in retail and wholesale trading of clothes, fabrics, bags, suitcases, shoes and accessories, leather products, artificial and natural perfumes, cosmetics, makeup and lotions, and sunglasses for men, women, and children. The group trades women's dresses and related accessories under the brand names Vivid Flair London and Femi9.</t>
  </si>
  <si>
    <t>Specialty Retail</t>
  </si>
  <si>
    <t>Accessories, Clothing, Footwear, Specialty Retail*</t>
  </si>
  <si>
    <t>leather products, women clothing, women clothing brand, women clothing line, women clothing retail, women clothing store</t>
  </si>
  <si>
    <t>2022: 45</t>
  </si>
  <si>
    <t>9589</t>
  </si>
  <si>
    <t>376519-69P</t>
  </si>
  <si>
    <t>Mohamed Butt</t>
  </si>
  <si>
    <t>mohamed@fadint.com</t>
  </si>
  <si>
    <t>+966 (0)12 261 6111</t>
  </si>
  <si>
    <t>P.O.Box 3247</t>
  </si>
  <si>
    <t>Fad Int. Building 6622 Mohammad Albakri Alandalus District Unit 1</t>
  </si>
  <si>
    <t>23322-3955</t>
  </si>
  <si>
    <t>+966 (0)12 261 1641</t>
  </si>
  <si>
    <t>info@fadint.com</t>
  </si>
  <si>
    <t>541442-26</t>
  </si>
  <si>
    <t>Almujtama Alraida Medical (SAU: 9592)</t>
  </si>
  <si>
    <t>Almujtama Alraida Medical Co</t>
  </si>
  <si>
    <t>Almujtama Alraida Medical Co is a company having its core operations include operating pharmacies and retailing pharmaceutical products such as medicines and cosmetic products and medical equipment and medical supplies. It also provides pharmaceutical services in the Kingdom of Saudi Arabia.</t>
  </si>
  <si>
    <t>pharmaceutical service, pharmaceutical service provider, pharmaceuticals, pharmaceuticals firm, pharmaceuticals sector, pharmaceuticals supplier</t>
  </si>
  <si>
    <t>9592</t>
  </si>
  <si>
    <t>376419-16P</t>
  </si>
  <si>
    <t>Rami Mamdouh Mohammad</t>
  </si>
  <si>
    <t>rmohammad@almujtama.com.sa</t>
  </si>
  <si>
    <t>+966 (0)59 913 2523</t>
  </si>
  <si>
    <t>Main Street, Al-Hamdaniya District</t>
  </si>
  <si>
    <t>PO Box 109474</t>
  </si>
  <si>
    <t>21351</t>
  </si>
  <si>
    <t>info@almujtama.com.sa</t>
  </si>
  <si>
    <t>539915-05</t>
  </si>
  <si>
    <t>Mulkia Investment (SAU: 9585)</t>
  </si>
  <si>
    <t>Mulkia Investment Co is engaged in securities business including: Dealing, Custody Securities, Managing investments and operating funds Managing investments, Arranging Financial advisor or corporate finance advisor and Advising Investment Advisor. It provides diversified and integrated financial and investment services tailored to suit the goals of individuals and institutions of different types and sizes. It operates in the field of asset management, arranging corporate finance, financial advice and research.</t>
  </si>
  <si>
    <t>Other Financial Services*</t>
  </si>
  <si>
    <t>investment service, investment service firm, investment service provider, investment services, investment services company, investment services firm</t>
  </si>
  <si>
    <t>9585</t>
  </si>
  <si>
    <t>374030-65P</t>
  </si>
  <si>
    <t>Amr Elkholy</t>
  </si>
  <si>
    <t>+966 (0)92 000 3028</t>
  </si>
  <si>
    <t>8565 Prince Abdul Aziz Bin Musaid Bin Jalawi Street</t>
  </si>
  <si>
    <t>1st floor, The Elite Mall, Al Sulaimaniayah District</t>
  </si>
  <si>
    <t>12234</t>
  </si>
  <si>
    <t>+966 (0)11 293 2799</t>
  </si>
  <si>
    <t>info@mulkia.com.sa</t>
  </si>
  <si>
    <t>608504-68</t>
  </si>
  <si>
    <t>Osool &amp; Bakheet Investment (SAU: 9586)</t>
  </si>
  <si>
    <t>Osool Capital</t>
  </si>
  <si>
    <t>Osool &amp; Bakheet Investment Co</t>
  </si>
  <si>
    <t>Osool &amp; Bakheet Investment Co is engaged in dealing in securities, custody of securities, arranging in securities, management of investments, operation of funds, and management of investments.</t>
  </si>
  <si>
    <t>Asset Management, Holding Companies*</t>
  </si>
  <si>
    <t>asset management, client portfolio, client portfolio analysis, client portfolio management, holding company, holding company firm, investment fund unit, investment fund vehicle, investment holding firm, managing investment fund</t>
  </si>
  <si>
    <t>9586</t>
  </si>
  <si>
    <t>404602-03P</t>
  </si>
  <si>
    <t>Moutaz Hamudeh</t>
  </si>
  <si>
    <t>Finance Manager</t>
  </si>
  <si>
    <t>+966 (0)11 419 1797</t>
  </si>
  <si>
    <t>Mezzanine Floor, Post Office Box 63762</t>
  </si>
  <si>
    <t>Bahrain Tower, King Fahad Road</t>
  </si>
  <si>
    <t>11526</t>
  </si>
  <si>
    <t>+966 (0)11 460 4116</t>
  </si>
  <si>
    <t>all@obic.com.sa</t>
  </si>
  <si>
    <t>535384-36</t>
  </si>
  <si>
    <t>SAL Saudi Logistics Services (SAU: 4263)</t>
  </si>
  <si>
    <t>SAL Cargo Company</t>
  </si>
  <si>
    <t>SAL Saudi Logistics Service Company</t>
  </si>
  <si>
    <t>SAL Saudi Logistics Services Co is a company engaged in providing supply chain solutions in the Kingdom of Saudi Arabia. It provides cargo ground handling services at airport terminals, freight brokerage services, warehouse management services, administrative services, and storage services. The company's reportable segments are Logistics and Handling. Maximum revenue is generated from the Handling segment, which provides cargo handling services to air cargo carriers operating at the Kingdom's airports and consignees for warehouse handling and storage thereof. The Logistics segment provides end-to-end logistic solutions services, customs clearance, inventory management, and warehouse management solutions.</t>
  </si>
  <si>
    <t>air cargo, cargo handling, cargo handling service, logistics, logistics firm, logistics services</t>
  </si>
  <si>
    <t>2023: 930</t>
  </si>
  <si>
    <t>4263</t>
  </si>
  <si>
    <t>364793-77P</t>
  </si>
  <si>
    <t>Gary Hoyle</t>
  </si>
  <si>
    <t>ghoyle@sal.sa</t>
  </si>
  <si>
    <t>+966 (0)92 001 1725</t>
  </si>
  <si>
    <t>Prince Sultan Road</t>
  </si>
  <si>
    <t>Zahran Building</t>
  </si>
  <si>
    <t>customercare@sal.sa</t>
  </si>
  <si>
    <t>539081-56</t>
  </si>
  <si>
    <t>View Real Estate (SAU: 9591)</t>
  </si>
  <si>
    <t>View United Real Estate Development Co</t>
  </si>
  <si>
    <t>View United Real Estate Development Co is a real estate development company relying on high expertise and modern technology in all stages of development and implementation to reach the architectural and construction design. The company's business activities consists of construction of residential buildings, general construction of non-residential buildings such as schools, hospitals, and hotels, purchasing and selling land and properties, off-plan sales, and management and leasing of owned or leased residential and non-residential properties.</t>
  </si>
  <si>
    <t>architectural, construction, construction design, real estate development, real estate development projects, residential products</t>
  </si>
  <si>
    <t>2023: 49</t>
  </si>
  <si>
    <t>9591</t>
  </si>
  <si>
    <t>371835-37P</t>
  </si>
  <si>
    <t>Awad Mahmoud</t>
  </si>
  <si>
    <t>+966 (0)92 003 3504</t>
  </si>
  <si>
    <t>3898 Anas Bin Malik Road</t>
  </si>
  <si>
    <t>Al Yasmeen District</t>
  </si>
  <si>
    <t>65771-3325</t>
  </si>
  <si>
    <t>info@view.sa</t>
  </si>
  <si>
    <t>535242-61</t>
  </si>
  <si>
    <t>Riyal Motors (SAU: 9584)</t>
  </si>
  <si>
    <t>Riyal Investment And Development Co is engaged in leasing vehicles and buses, trading activities (export, import, brokerage, and marketing for others) in the non-money exchange business, establishing and operating workshops for vehicles, equipment, wholesale and retail sales and export and import in vehicles spare parts and wheels. It has two segments; Lease of Vehicles and Sale of Vehicles. The company derives maximum revenue from the lease of vehicles segment.</t>
  </si>
  <si>
    <t>Automotive*, Other Commercial Services, Other Services (B2C Non-Financial), Road</t>
  </si>
  <si>
    <t>car rental, car repairs, transportation and storage, vehicle rental, vehicle rental company, vehicle rental service</t>
  </si>
  <si>
    <t>2022: 122, 2023: 130</t>
  </si>
  <si>
    <t>9584</t>
  </si>
  <si>
    <t>364283-83P</t>
  </si>
  <si>
    <t>Tariq Al-Qahtani</t>
  </si>
  <si>
    <t>Chairman of the Board of Director</t>
  </si>
  <si>
    <t>+966 (0)13 837 0581</t>
  </si>
  <si>
    <t>Dammam Jubail Highway</t>
  </si>
  <si>
    <t>PO Box 9494</t>
  </si>
  <si>
    <t>info@riyalinvestment.com</t>
  </si>
  <si>
    <t>534545-47</t>
  </si>
  <si>
    <t>Clean Life (SAU: 9581)</t>
  </si>
  <si>
    <t>Hyatt Hygiene Company, Clean Carpet Contracting Est.</t>
  </si>
  <si>
    <t>Clean Life Co</t>
  </si>
  <si>
    <t>Clean Life Co is a company specialized in providing general building cleaning activities, specialized building cleaning including chimneys, windows, etc., swimming pool cleaning and maintenance, and disinfection and fumigation activities to exterminate insects and rodents. The group's operations consist of one operational sector, which is general cleaning activities for buildings of all types.</t>
  </si>
  <si>
    <t>cleaning services, home furniture, housecleaner, household help, italian high quality chemicals, professional philippine cleaners, sweeping</t>
  </si>
  <si>
    <t>2023: 160, 2024: 398</t>
  </si>
  <si>
    <t>9581</t>
  </si>
  <si>
    <t>361613-17P</t>
  </si>
  <si>
    <t>Abdulaziz Ali Al Nasser</t>
  </si>
  <si>
    <t>Board Member</t>
  </si>
  <si>
    <t>+966 (0)92 000 4107</t>
  </si>
  <si>
    <t>Khurais road, Almanar district</t>
  </si>
  <si>
    <t>62489-80</t>
  </si>
  <si>
    <t>Almarai (SAU: 2280)</t>
  </si>
  <si>
    <t>Almarai Co.</t>
  </si>
  <si>
    <t>Saudia Dairy &amp; Foodstuff, National Agriculture Development, Baladna, Agthia Group, Synlait Milk, Osam, Parmalat, Al-Rawabi Dairy Company, Saputo Dairy UK, Lakeland Dairies Co-operative Society, Ornua, Prabhat Dairy, Tillamook, Masafi, Arla Foods, IFFCO, Al Ain Farms, Kent Gida Maddeleri Sanayii Ve Ticaret, Al Islami, AlSafi Danone, Lipari Foods, Mondelez International, Saputo</t>
  </si>
  <si>
    <t>Almarai Co is a manufacturer and distributor of quality food and beverages. Its product portfolio includes dairy products, juices, bakery items, poultry, and infant formula under the brands Almarai, Joosy Life, Beyti, Teeba, L'usine, 7days, Alyoum, and AlBashayer. Its segments include Dairy and Juice, covering milk, dairy, fruit juice, ice cream processing, and distribution; Bakery, covering the manufacturing and distribution of bakery products; Poultry, covering poultry products; and Other Activities, including arable farming, horticulture, infant nutrition, seafood, value-added meat products, and water. The majority of the revenue is derived from the Dairy and Juice segment, with the maximum revenue generated from Saudi Arabia.</t>
  </si>
  <si>
    <t>Beverages, Food Products*</t>
  </si>
  <si>
    <t>beverages, beverages production, burgers, cakes, chicken, cold beverages, consumer food, consumer food product, consumer food products, consumer food supply, frozen food, juice</t>
  </si>
  <si>
    <t>2004: 4370, 2011: 4000, 2012: 22000, 2017: 37967, 2018: 38035, 2019: 37447, 2020: 36869, 2021: 34670, 2022: 38370, 2023: 41044, 2024: 43918, 2025: 46997</t>
  </si>
  <si>
    <t>2280</t>
  </si>
  <si>
    <t>256364-56P</t>
  </si>
  <si>
    <t>Abdullah Al-Bader</t>
  </si>
  <si>
    <t>abdullah.albader@almarai.com</t>
  </si>
  <si>
    <t>+966 (0)11 528 7171</t>
  </si>
  <si>
    <t>P. O. Box 8524</t>
  </si>
  <si>
    <t>11492</t>
  </si>
  <si>
    <t>+966 (0)11 470 0005</t>
  </si>
  <si>
    <t>180875-53</t>
  </si>
  <si>
    <t>ADES International Holding (SAU: 2382)</t>
  </si>
  <si>
    <t>ADES, ADES International</t>
  </si>
  <si>
    <t>ADES International Holding Plc</t>
  </si>
  <si>
    <t>Savanna Energy Services, China Oilfield Services, Matador Resources, Arabian Drilling, Patterson Uti Energy, Precision Drilling, Noble Corporation, Atwood Oceanics, Pioneer Energy Services, Parker Wellbore, Weatherford International, Gulf Drilling International, Quintana Energy Services, Valaris, KLX Energy Services Holdings, Diamond Offshore Drilling, Forbes Energy Services, Transocean, C&amp;J Energy Services, Shelf Drilling Holdings, Pacific Drilling, Rowan Companies</t>
  </si>
  <si>
    <t>Ades Holding Co is a company whose main purpose is oil and gas drilling and production services in the MENA region. The Company's main activities are as follows which is Contracting services for excavation and maintenance of onshore and offshore wells, Services related to oil extraction, Excavation and onshore and offshore maintenance services. Provision of contracted offshore and onshore excavation services Provision of maintenance and production services.</t>
  </si>
  <si>
    <t>Energy Exploration</t>
  </si>
  <si>
    <t>Energy Exploration*, Energy Production, Other Energy Services</t>
  </si>
  <si>
    <t>drilling service provider, drilling services, energy exploration service, gas drilling, gas drilling service, oil and gas drilling, oil drilling, oil drilling service, onshore drilling</t>
  </si>
  <si>
    <t>2016: 1285, 2017: 1200, 2019: 4000, 2021: 3500, 2022: 5000</t>
  </si>
  <si>
    <t>2382</t>
  </si>
  <si>
    <t>ADES Investments Holding Ltd</t>
  </si>
  <si>
    <t>163048-87P</t>
  </si>
  <si>
    <t>Mohamed Farouk Abdelkhalek</t>
  </si>
  <si>
    <t>Chief Executive Officer and Executive Director</t>
  </si>
  <si>
    <t>+971 (0)2 527 7111</t>
  </si>
  <si>
    <t>Al Zamil House, Prince Turki Road</t>
  </si>
  <si>
    <t>Al Corniche</t>
  </si>
  <si>
    <t>info@adesgroup.com</t>
  </si>
  <si>
    <t>533027-53</t>
  </si>
  <si>
    <t>Intelligent Oud (SAU: 9579)</t>
  </si>
  <si>
    <t>Intelligent Oud Co.</t>
  </si>
  <si>
    <t>Intelligent Oud Co is a company engaged in manufacturing of oud and incense, room fresheners and deodorants, production of related oils and reproduction of them in the form of sticks or basic raw form (IOUD), also Marketing and selling cosmetics and sterilizers. The products of the company include: Whisper of Oud bouquet, Kalimantan Oud Gift, Moroccan oud, and others.</t>
  </si>
  <si>
    <t>Personal Products*</t>
  </si>
  <si>
    <t>agarwood, aromas, cosmetics, cosmetics products, incense, manufacturing, perfumes</t>
  </si>
  <si>
    <t>9579</t>
  </si>
  <si>
    <t>358619-23P</t>
  </si>
  <si>
    <t>Badr Aldulaimi</t>
  </si>
  <si>
    <t>bdulaimi@ioudstore.com</t>
  </si>
  <si>
    <t>+966 (0)11 411 1670</t>
  </si>
  <si>
    <t>Olaya Branch Road</t>
  </si>
  <si>
    <t>P.O. Box 230959, Al-Marw district</t>
  </si>
  <si>
    <t>12283</t>
  </si>
  <si>
    <t>522780-49</t>
  </si>
  <si>
    <t>Lumi Rental (SAU: 4262)</t>
  </si>
  <si>
    <t>Al Tayyar Rent a car</t>
  </si>
  <si>
    <t>Lumi Rental Co</t>
  </si>
  <si>
    <t>Lumi Rental Co is a Car rental company that offers lease services to corporate and Government sector clients, provides rentals through a network of Thirty airport and city branches across the Kingdom and via digital channels, and sells used vehicles reaching the end of their useful life. The company has three reportable segments which are Leasing segment includes Providing vehicles on long-term leases to corporate and government customers. Rental segment includes Providing vehicles on daily, weekly, and monthly rentals to walking and corporate customers, and Used car sale segment provides the sale of vehicles that have completed their economical life as per management policy. Key revenue is generated from leasing.</t>
  </si>
  <si>
    <t>Automotive*</t>
  </si>
  <si>
    <t>car, leasing, rent, services, transportation, transportation services</t>
  </si>
  <si>
    <t>2022: 771</t>
  </si>
  <si>
    <t>4262</t>
  </si>
  <si>
    <t>Seera</t>
  </si>
  <si>
    <t>342460-72P</t>
  </si>
  <si>
    <t>Azfar Shakeel Syed Muhammad</t>
  </si>
  <si>
    <t>azfar.shakeel@lumirental.com</t>
  </si>
  <si>
    <t>AlTaawun District</t>
  </si>
  <si>
    <t>P.O. Box 6477</t>
  </si>
  <si>
    <t>12476</t>
  </si>
  <si>
    <t>info@lumirental.com</t>
  </si>
  <si>
    <t>535635-82</t>
  </si>
  <si>
    <t>Al Rashid Industrial (SAU: 9580)</t>
  </si>
  <si>
    <t>Al Rashid Industrial Co.</t>
  </si>
  <si>
    <t>Al Rashid Industrial Co is a company engaged in the production of many plastic products through drawing, injection, thermoforming, and blowing techniques. All of these lines serve multiple commercial sectors, including food packaging and household appliances, date packaging, sweets and pastries, as well as single-use food containers.</t>
  </si>
  <si>
    <t>Paper Containers and Packaging*, Plastic Containers and Packaging</t>
  </si>
  <si>
    <t>disposable packaging, disposable packaging product, disposable packaging products, plastic packaging, plastic packaging firm, plastic packaging product</t>
  </si>
  <si>
    <t>2023: 570</t>
  </si>
  <si>
    <t>9580</t>
  </si>
  <si>
    <t>365693-23P</t>
  </si>
  <si>
    <t>Amen Golfy</t>
  </si>
  <si>
    <t>+966 (0)59 654 6062</t>
  </si>
  <si>
    <t>2977, 7960 New Industrial City</t>
  </si>
  <si>
    <t>14332</t>
  </si>
  <si>
    <t>info@lastmade.com</t>
  </si>
  <si>
    <t>532923-58</t>
  </si>
  <si>
    <t>Munawla Cargo (SAU: 9571)</t>
  </si>
  <si>
    <t>Munawla Cargo Co.</t>
  </si>
  <si>
    <t>Munawla Cargo Co is a company that provides professional and dedicated service to meet the increasing demand of Saudi Exporters and Importers at competitive rates. It is a logistics provider for companies requiring transport of heavy lift, project, and oversized cargo with a hands-on approach. It provides a range of services such as Project Logistics, Freight Forwarding, Terminal handling, Transportation, and Air Freight.</t>
  </si>
  <si>
    <t>cargo, cargo ship, exporter, freight services, land transport, logistics, logistics firm, logistics service, logistics supply, shipping services, warehousing</t>
  </si>
  <si>
    <t>2023: 218</t>
  </si>
  <si>
    <t>9571</t>
  </si>
  <si>
    <t>358264-90P</t>
  </si>
  <si>
    <t>Khaled Sugair</t>
  </si>
  <si>
    <t>President</t>
  </si>
  <si>
    <t>+966 (0)13 834 1655</t>
  </si>
  <si>
    <t>King Khalid Street</t>
  </si>
  <si>
    <t>Near Passport office, PO Box 4180</t>
  </si>
  <si>
    <t>31491</t>
  </si>
  <si>
    <t>+966 (0)13 832 0366</t>
  </si>
  <si>
    <t>164375-47</t>
  </si>
  <si>
    <t>National Gas &amp; Industrialization (SAU: 2080)</t>
  </si>
  <si>
    <t>GASCO</t>
  </si>
  <si>
    <t>National Gas &amp; Industrialization Co.</t>
  </si>
  <si>
    <t>National Gas &amp; Industrialization Co is engaged in carrying out all work related to the exploitation, manufacturing, and marketing of all kinds of gas and its derivatives and industrial gases inside and outside the Kingdom of Saudi Arabia. Along with its subsidiaries, it is also involved in other business activities such as; selling, manufacturing, and maintaining cages, cylinders, tanks, and accessories; maintenance of gas networks and accessories; providing water treatment and environmental services; participating in energy production; and acquiring real estate and purchasing land for the construction of buildings, etc. The company's business segments are; Central region SR, which derives maximum revenue, Western region SR, Eastern region SR, and Southern region SR.</t>
  </si>
  <si>
    <t>Energy Transportation</t>
  </si>
  <si>
    <t>Energy Marketing, Energy Transportation*</t>
  </si>
  <si>
    <t>Infrastructure, Manufacturing, Oil &amp; Gas</t>
  </si>
  <si>
    <t>energy marketing, energy transportation, liquefied petroleum gas, lpg, manufacturing, petroleum gas</t>
  </si>
  <si>
    <t>2011: 2044, 2012: 1984</t>
  </si>
  <si>
    <t>2080</t>
  </si>
  <si>
    <t>363420-46P</t>
  </si>
  <si>
    <t>M. Abdul Rahman Bin Suleiman</t>
  </si>
  <si>
    <t>Chief Executive Officer &amp; Member of the Board of Directors</t>
  </si>
  <si>
    <t>binsuleimanmabdulrahman@gasco.com.sa</t>
  </si>
  <si>
    <t>+966 (0)11 466 4999</t>
  </si>
  <si>
    <t>Building 331, North of King Fahad Med city</t>
  </si>
  <si>
    <t>Post Office Box 564</t>
  </si>
  <si>
    <t>11421</t>
  </si>
  <si>
    <t>+966 (0)11 250 8397</t>
  </si>
  <si>
    <t>info@gasco.com.sa</t>
  </si>
  <si>
    <t>535049-92</t>
  </si>
  <si>
    <t>Paper Home (SAU: 9576)</t>
  </si>
  <si>
    <t>Paper Home Co</t>
  </si>
  <si>
    <t>Paper Home Co is a Saudi based corrugated cardboard company. It is in the paper industry whose activities are to manufacture of cardboard boxes, boxes, and folded and single bags from paper or cardboard.</t>
  </si>
  <si>
    <t>packaging solutions, paper, paper board, paper company, paper good, paper packaging, paper processing</t>
  </si>
  <si>
    <t>9576</t>
  </si>
  <si>
    <t>363601-18P</t>
  </si>
  <si>
    <t>Faisal Almaghrabi</t>
  </si>
  <si>
    <t>falmaghrabi@paperhome.com.sa</t>
  </si>
  <si>
    <t>+966 (0)11 545 9348</t>
  </si>
  <si>
    <t>Al-Kharj, Al-Rifaya District</t>
  </si>
  <si>
    <t>Unit No. 10, Building No. 8404</t>
  </si>
  <si>
    <t>info@paperhome.com.sa</t>
  </si>
  <si>
    <t>532471-15</t>
  </si>
  <si>
    <t>Dar Almarkabah for Renting Cars Co (SAU: 9577)</t>
  </si>
  <si>
    <t>Dar Almarkabah for Renting Cars Co.</t>
  </si>
  <si>
    <t>Dar Almarkabah For Renting Cars Co is a rental car service company. The activities of the company are a car rental service without a driver. car rental service with a driver. long-term leasing service. rental vehicles for companies and government sectors, and transfer service to and from airports. valet parking.</t>
  </si>
  <si>
    <t>Other Services (B2C Non-Financial)</t>
  </si>
  <si>
    <t>Other Services (B2C Non-Financial)*</t>
  </si>
  <si>
    <t>car rent, car rental, car rental app, car renting platform, car renting service, car services product</t>
  </si>
  <si>
    <t>9577</t>
  </si>
  <si>
    <t>357024-79P</t>
  </si>
  <si>
    <t>Mustafa Al-Assal</t>
  </si>
  <si>
    <t>Director of the Financial Department &amp; Secretary</t>
  </si>
  <si>
    <t>mustafa@dsrent.com.sa</t>
  </si>
  <si>
    <t>+966 (0)59 643 0986</t>
  </si>
  <si>
    <t>Makkah Al Mukarramah Road</t>
  </si>
  <si>
    <t>Al Rabwah District</t>
  </si>
  <si>
    <t>12813</t>
  </si>
  <si>
    <t>reservations@dsrent.com.sa</t>
  </si>
  <si>
    <t>529765-84</t>
  </si>
  <si>
    <t>Marble Design (Saudi) (SAU: 9575)</t>
  </si>
  <si>
    <t>Marble Design Co is a Saudi based company engaged in executing natural marble projects. The company's principal activities are cutting and sawing marble and installing marble. It owns one of the factories in the region in terms of production capacity and modern technologies.</t>
  </si>
  <si>
    <t>marble, marble cutting service, marble installation services, marble slabs, natural marble, raw materials</t>
  </si>
  <si>
    <t>9575</t>
  </si>
  <si>
    <t>352855-63P</t>
  </si>
  <si>
    <t>Ahmad AlKharashi</t>
  </si>
  <si>
    <t>Founder &amp; Chairman</t>
  </si>
  <si>
    <t>aalkharashi@marbledesign.sa.com</t>
  </si>
  <si>
    <t>+966 (0)92 000 0988</t>
  </si>
  <si>
    <t>8416 Sudus Industrial Area</t>
  </si>
  <si>
    <t>13986</t>
  </si>
  <si>
    <t>info@md.sa</t>
  </si>
  <si>
    <t>528669-73</t>
  </si>
  <si>
    <t>Al-Razi Medical (SAU: 9572)</t>
  </si>
  <si>
    <t>Al-Razi Medical Co</t>
  </si>
  <si>
    <t>Al Razi Medical Co operates in the medical field in the Kingdom of Saudi Arabia. The company provides all pharmaceutical and cosmetic products. It engages in buying and selling pharmaceuticals, medical supplies, herbal and cosmetic products, and all related products on a wholesale and retail basis.</t>
  </si>
  <si>
    <t>Internet Retail*, Personal Products, Pharmaceuticals</t>
  </si>
  <si>
    <t>care product selling platform, care products, cosmetics, internet retailer, medical preparation, pharmaceuticals, pharmacy</t>
  </si>
  <si>
    <t>2023: 123</t>
  </si>
  <si>
    <t>9572</t>
  </si>
  <si>
    <t>384490-36P</t>
  </si>
  <si>
    <t>Mohamed Hassan Dawoud</t>
  </si>
  <si>
    <t>mdawoud@razi.sa</t>
  </si>
  <si>
    <t>+966 (0)16 332 9999</t>
  </si>
  <si>
    <t>Qassim - Al Bada'i, King Abdul Aziz</t>
  </si>
  <si>
    <t>+966 (0)16 321 7777</t>
  </si>
  <si>
    <t>info@alraziksa.com</t>
  </si>
  <si>
    <t>438445-18</t>
  </si>
  <si>
    <t>First Milling (SAU: 2283)</t>
  </si>
  <si>
    <t>First Milling Co.</t>
  </si>
  <si>
    <t>First Milling Co operates as a producer of flour-based products and byproducts. It is mainly engaged in producing flour, bran, wheat derivatives, and animal feed. The Company operates in four regions in the Kingdom of Saudi Arabia, which are its reportable segments.</t>
  </si>
  <si>
    <t>Other Agriculture</t>
  </si>
  <si>
    <t>Other Agriculture*</t>
  </si>
  <si>
    <t>bran product, flour manufacturer, flour manufacturing, flour producer, flour product, fodder producer, fodder production, wheat producer, wheat production</t>
  </si>
  <si>
    <t>2024: 601</t>
  </si>
  <si>
    <t>2283</t>
  </si>
  <si>
    <t>AlRaha AlSafi Food</t>
  </si>
  <si>
    <t>239078-80P</t>
  </si>
  <si>
    <t>Abdulla Babtain</t>
  </si>
  <si>
    <t>+966 (0)92 001 0375</t>
  </si>
  <si>
    <t>Al Madinah Al Munawarah Road</t>
  </si>
  <si>
    <t>Saudi Business Center, 8th Floor, Office 809-814</t>
  </si>
  <si>
    <t>22312</t>
  </si>
  <si>
    <t>+966 (0)12 648 3433</t>
  </si>
  <si>
    <t>info@firstmills.com</t>
  </si>
  <si>
    <t>501061-15</t>
  </si>
  <si>
    <t>Morabaha Marina Financing (SAU: 4082)</t>
  </si>
  <si>
    <t>Morabaha Marina Financing Co.</t>
  </si>
  <si>
    <t>Morabaha Marina Financing Co operates in the field of non-bank financing. It is engaged in leasing and providing financing facilities to medium and small enterprises and consumers in addition to financing production assets and offering consumer finance in accordance with the Saudi Central Bank. The company offers financing solutions through tawarruq, leasing, and murabaha products.</t>
  </si>
  <si>
    <t>Consumer Finance, Financial Software, Other Financial Services, Specialized Finance*</t>
  </si>
  <si>
    <t>consumer finance, corporate finance, finance company, financial services, individual finance, leasing service, personal finance, sme financing</t>
  </si>
  <si>
    <t>2022: 121</t>
  </si>
  <si>
    <t>4082</t>
  </si>
  <si>
    <t>345749-14P</t>
  </si>
  <si>
    <t>Ahmed Al-Mutawa</t>
  </si>
  <si>
    <t>Chief Operating Officer &amp; General Manager of Business</t>
  </si>
  <si>
    <t>aal-mutawa@mrna.sa</t>
  </si>
  <si>
    <t>Al-Thumama Road, P.O. Box 7071</t>
  </si>
  <si>
    <t>Second Floor</t>
  </si>
  <si>
    <t>Al-Rabee</t>
  </si>
  <si>
    <t>13315</t>
  </si>
  <si>
    <t>info@morabaha.com</t>
  </si>
  <si>
    <t>142843-69</t>
  </si>
  <si>
    <t>Jamjoompharma (SAU: 4015)</t>
  </si>
  <si>
    <t>Jamjoom Pharma</t>
  </si>
  <si>
    <t>Jamjoom Pharmaceuticals Factory Company</t>
  </si>
  <si>
    <t>Jamjoom Pharmaceuticals Factory Co is engaged in the development, manufacture, and marketing of a wide range of high-quality branded generic pharmaceuticals, including pharmaceuticals and consumer health products, with the majority of revenue coming from pharmaceutical sales. Geographically the company has a presence in the Kingdom of Saudi Arabia, the Gulf, Iraq, Egypt, North Africa, and other export markets.</t>
  </si>
  <si>
    <t>clinical research, consumer health product, generic drug, medical product, medicine supply, pharmaceuticals factory</t>
  </si>
  <si>
    <t>2022: 1255, 2023: 1027, 2024: 1079</t>
  </si>
  <si>
    <t>4015</t>
  </si>
  <si>
    <t>346080-52P</t>
  </si>
  <si>
    <t>Anwer Muhiddein</t>
  </si>
  <si>
    <t>+966 (0)12 614 0099</t>
  </si>
  <si>
    <t>Al-Hamra District</t>
  </si>
  <si>
    <t>Corniche Road</t>
  </si>
  <si>
    <t>21442</t>
  </si>
  <si>
    <t>+966 (0)12 614 0088</t>
  </si>
  <si>
    <t>info@jamjoompharma.com</t>
  </si>
  <si>
    <t>523086-13</t>
  </si>
  <si>
    <t>Almawarid Manpower (SAU: 1833)</t>
  </si>
  <si>
    <t>Al Mawarid Manpower Co.</t>
  </si>
  <si>
    <t>Al Mawarid Manpower Co is a Saudi closed joint stock company. The company is engaged in labor recruitment activities and the provision of manpower services in the Kingdom to corporate clients (in the public and private sectors) and individuals. The company operates in three reportable segments: Corporate Segment, Individual Segment, and Hourly Segment out of which Corporate Segment represents the majority revenue generated from corporate clients, mainly in connection with the following client industries: maintenance companies, restaurants, construction and contracting, transportation and hospitals.</t>
  </si>
  <si>
    <t>human capital, human resources, staff, staff services, staffing services, support services</t>
  </si>
  <si>
    <t>2022: 188</t>
  </si>
  <si>
    <t>1833</t>
  </si>
  <si>
    <t>343438-03P</t>
  </si>
  <si>
    <t>Ahmad Alrakban</t>
  </si>
  <si>
    <t>+966 (0)92 002 7202</t>
  </si>
  <si>
    <t>Rawda neihbourhood exit 12 eastern ring road</t>
  </si>
  <si>
    <t>info@mawarid.com.sa</t>
  </si>
  <si>
    <t>528114-88</t>
  </si>
  <si>
    <t>Tam Development (SAU: 9570)</t>
  </si>
  <si>
    <t>Tam Development Company</t>
  </si>
  <si>
    <t>Tam Development Co is engaged in the activities of advertising, public relations, communications, activities of business incubators and accelerators, marketing services for third parties, market research, opinion polls, and management consulting services. It generates the majority of its revenue from consulting services.</t>
  </si>
  <si>
    <t>advisory services, consultancy, consultancy agency, consultancy services, consultancy services firm, digital business, digital business solutions</t>
  </si>
  <si>
    <t>9570</t>
  </si>
  <si>
    <t>348373-54P</t>
  </si>
  <si>
    <t>Abdullah Yousef</t>
  </si>
  <si>
    <t>Founder, Chief Executive Officer &amp; Managing Director</t>
  </si>
  <si>
    <t>abdullahyousef@tam.sa</t>
  </si>
  <si>
    <t>Prince Mohammed bin Saad bin Abdulaziz Road</t>
  </si>
  <si>
    <t>Al-Lisn Street - Hittin Distrct</t>
  </si>
  <si>
    <t>info@tam.sa</t>
  </si>
  <si>
    <t>523114-30</t>
  </si>
  <si>
    <t>Al Munif Trading (SAU: 9569)</t>
  </si>
  <si>
    <t>AlMuneef Co. For Trade, Industry, Agriculture and Contracting</t>
  </si>
  <si>
    <t>AlMuneef Co For Trade Industry Agriculture And Contracting is engaged in the business which includes operating quarries, cutting and sawing marble, renovation of residential and non-residential buildings, wholesale of chemical fertilizers and soil conditioners, and pesticides, as listed in the commercial register. wholesale of pesticides, wholesale of health pesticides, and retail of pesticides. Fuel for automobiles and motorcycles (gas stations), retail of seedlings and saplings of agricultural products, retail of plant seeds, fertilizers, and soil conditioners, retail of agricultural pesticides, land transportation of goods, silo storage of grains, flour, and agricultural products.</t>
  </si>
  <si>
    <t>Agricultural Chemicals</t>
  </si>
  <si>
    <t>Agricultural Chemicals*, Automotive</t>
  </si>
  <si>
    <t>food company, food security, logistics, logistics company, logistics firm, logistics service</t>
  </si>
  <si>
    <t>2023: 226</t>
  </si>
  <si>
    <t>9569</t>
  </si>
  <si>
    <t>343469-62P</t>
  </si>
  <si>
    <t>Mohammed Al Jaris</t>
  </si>
  <si>
    <t>+966 (0)11 222 7262</t>
  </si>
  <si>
    <t>+966 (0)11 222 7242</t>
  </si>
  <si>
    <t>522207-46</t>
  </si>
  <si>
    <t>Saudi Lime (SAU: 9566)</t>
  </si>
  <si>
    <t>Saudi Lime Industries Co.</t>
  </si>
  <si>
    <t>Saudi Lime Industries Co is engaged in the manufacturing of quick and hydrated lime, quicklime powder, the manufacturing of lime sand bricks of various sizes, and the manufacturing of calcium carbonate. The company's operating segments are; Limestone, Carbonate, Bricks, and Support services sector. The majority of the company's revenue is generated from the Limestone sector segment which includes the manufacturing of quicklime in various sizes, hydrated lime in all kinds of packing, and dololime of all sizes.</t>
  </si>
  <si>
    <t>Building Products*, Construction and Engineering</t>
  </si>
  <si>
    <t>blocks &amp; bricks, building &amp; construction industry, building products, dolomite, hydrated lime, limestone, quicklime</t>
  </si>
  <si>
    <t>9566</t>
  </si>
  <si>
    <t>361359-28P</t>
  </si>
  <si>
    <t>Ehab Mufti</t>
  </si>
  <si>
    <t>Vice President of Compliance &amp; Shared Services</t>
  </si>
  <si>
    <t>ehab.mufti@saudilime.com</t>
  </si>
  <si>
    <t>+966 (0)11 265 2929</t>
  </si>
  <si>
    <t>New Industrial Area</t>
  </si>
  <si>
    <t>14337</t>
  </si>
  <si>
    <t>+966 (0)11 265 1175</t>
  </si>
  <si>
    <t>522207-19</t>
  </si>
  <si>
    <t>Ghida Al-Sultan (SAU: 9567)</t>
  </si>
  <si>
    <t>Ghida Al-Sultan Co.</t>
  </si>
  <si>
    <t>Ghida Alsultan for Fast Food Co is engaged in the food and beverage sector. The company is engaged in one operating segment, engaged is selling fast food restaurants that operate completely within the Kingdom of Saudi Arabia.</t>
  </si>
  <si>
    <t>food, restaurant, restaurant chain, restaurant holding, restaurant owner, restaurant space</t>
  </si>
  <si>
    <t>2020: 177, 2021: 256, 2022: 357</t>
  </si>
  <si>
    <t>9567</t>
  </si>
  <si>
    <t>341005-69P</t>
  </si>
  <si>
    <t>Majed AlMusbahi</t>
  </si>
  <si>
    <t>majed@ghidas.com</t>
  </si>
  <si>
    <t>+966 (0)12 622 6158</t>
  </si>
  <si>
    <t>Prince Sultan Street</t>
  </si>
  <si>
    <t>Al Basateen District</t>
  </si>
  <si>
    <t>11860-3312</t>
  </si>
  <si>
    <t>info@ghidas.com</t>
  </si>
  <si>
    <t>532728-82</t>
  </si>
  <si>
    <t>Mayar Holding (SAU: 9568)</t>
  </si>
  <si>
    <t>Mayar Holding Co</t>
  </si>
  <si>
    <t>Mayar Holding Co is a Saudi Arabia-based company. It engaged in managing subsidiaries of holding companies owning real estate and movables necessary for holding companies, providing loans, guarantees, and financing for subsidiaries of holding companies, and owning and leasing industrial property rights to subsidiaries of holding companies. It has three reportable segments Elevators and escalators segment, Feed and agriculture, and Plastic segment. The majority of its revenue comes from Feed and agriculture segment which produces compound feed for Poultry, Cattle, Poultry distribution, and sale.</t>
  </si>
  <si>
    <t>Electrical Equipment</t>
  </si>
  <si>
    <t>Electrical Equipment*</t>
  </si>
  <si>
    <t>holding, holding companies, holding company, holding firm, real estate, real estate industry</t>
  </si>
  <si>
    <t>2023: 18</t>
  </si>
  <si>
    <t>9568</t>
  </si>
  <si>
    <t>357791-32P</t>
  </si>
  <si>
    <t>Ahmed Mahmoud</t>
  </si>
  <si>
    <t>+966 (0)11 416 0566</t>
  </si>
  <si>
    <t>KSA Riyadh Olaya Street</t>
  </si>
  <si>
    <t>PO Box 55024, Taya Commercial Center</t>
  </si>
  <si>
    <t>11534</t>
  </si>
  <si>
    <t>+966 (0)11 229 9756</t>
  </si>
  <si>
    <t>info@mayar.com.sa</t>
  </si>
  <si>
    <t>522207-01</t>
  </si>
  <si>
    <t>Food Gate (SAU: 9562)</t>
  </si>
  <si>
    <t>Foods Gate Trading Co.</t>
  </si>
  <si>
    <t>Food Gate Trading Co is a Saudi owned Food and beverage company.</t>
  </si>
  <si>
    <t>Cruise Lines</t>
  </si>
  <si>
    <t>Cruise Lines*</t>
  </si>
  <si>
    <t>cruise line, cruise line company, cruise line services, dining outlets, food restaurant, food restaurant chain</t>
  </si>
  <si>
    <t>9562</t>
  </si>
  <si>
    <t>341003-80P</t>
  </si>
  <si>
    <t>Saad Aldrees</t>
  </si>
  <si>
    <t>Co-Founder &amp; Chief Executive Officer</t>
  </si>
  <si>
    <t>+966 (0)11 263 3331</t>
  </si>
  <si>
    <t>PO Box 12018</t>
  </si>
  <si>
    <t>Al-Ghadeer District, Wadi Al-Shati Street</t>
  </si>
  <si>
    <t>+966 (0)11 419 2965</t>
  </si>
  <si>
    <t>info@foodgate.com.sa</t>
  </si>
  <si>
    <t>522206-83</t>
  </si>
  <si>
    <t>Horizon Food (SAU: 9564)</t>
  </si>
  <si>
    <t>Horizon Food Co.</t>
  </si>
  <si>
    <t>Horizon Foods Co engages in the production, manufacturing, processing, cutting, packaging, and shaping of meat and poultry, and its main activity is in the manufacture of shawarma molds. Its product offerings comprise meat shawarma, Doner Kabab, and Chicken Shawarma.</t>
  </si>
  <si>
    <t>chicken, food products, food safety, frozen meat, high-quality poultry, meat industry, poultry, shawarma molds</t>
  </si>
  <si>
    <t>2023: 131</t>
  </si>
  <si>
    <t>9564</t>
  </si>
  <si>
    <t>341001-37P</t>
  </si>
  <si>
    <t>Ahmed Al Atawneh</t>
  </si>
  <si>
    <t>aatawneh@horizonfood.sa</t>
  </si>
  <si>
    <t>+966 (0)13 856 1000</t>
  </si>
  <si>
    <t>Al-Ahsa 3rd Industrial City</t>
  </si>
  <si>
    <t>34857</t>
  </si>
  <si>
    <t>+966 (0)1 385 0037</t>
  </si>
  <si>
    <t>info@horizonfood.sa</t>
  </si>
  <si>
    <t>520539-04</t>
  </si>
  <si>
    <t>Knowledge Net (SAU: 9561)</t>
  </si>
  <si>
    <t>KnowledgeNet (Middle East)</t>
  </si>
  <si>
    <t>Knowledge Net Co</t>
  </si>
  <si>
    <t>Knowledge Net Co is engaged in wholesale of computers and their accessories, including the sale of printers and toners, wholesale of software, and includes importing, system analysis, designing and programming specific software, maintenance of software and designing websites. It generates revenue from the Sale of program licenses and Maintenance and technical support Services. It offers software solutions to both incumbent financial services companies and emerging, disruptive Fintech companies. Its software solutions encompass three categories: digitalization, data, and core systems.</t>
  </si>
  <si>
    <t>Financial Software*</t>
  </si>
  <si>
    <t>FinTech</t>
  </si>
  <si>
    <t>enterprise architecture, financial services infrastructure, kyc platform, migration system, software, software maker, software project, software tech</t>
  </si>
  <si>
    <t>9561</t>
  </si>
  <si>
    <t>340896-79P</t>
  </si>
  <si>
    <t>Mohammad Attiya</t>
  </si>
  <si>
    <t>Managing Director, Chief Executive Officer &amp; Board Member</t>
  </si>
  <si>
    <t>mattiya@kn-it.com</t>
  </si>
  <si>
    <t>2277 Makkah Al Mukarramah</t>
  </si>
  <si>
    <t>Al Olaya District</t>
  </si>
  <si>
    <t>12611</t>
  </si>
  <si>
    <t>info@kn-it.com</t>
  </si>
  <si>
    <t>522205-93</t>
  </si>
  <si>
    <t>Waja Company (SAU: 9560)</t>
  </si>
  <si>
    <t>Waja Limited Liability Company</t>
  </si>
  <si>
    <t>Waja Co.</t>
  </si>
  <si>
    <t>Waja Co activities include furniture and wood-based furnishings manufacturing, general construction for residential and non-residential buildings including hotels, schools, hospitals and others. It also involves the construction and repair of water distribution stations and main pipelines, system analysis, design and programming of proprietary software, artificial intelligence technologies, advertising agencies, and interior decoration design.</t>
  </si>
  <si>
    <t>Construction and Engineering, Holding Companies*, Media and Information Services (B2B)</t>
  </si>
  <si>
    <t>construction, furniture, holding company, information technology, interior design, interior designing, media</t>
  </si>
  <si>
    <t>2020: 56, 2021: 71, 2022: 106</t>
  </si>
  <si>
    <t>9560</t>
  </si>
  <si>
    <t>340990-21P</t>
  </si>
  <si>
    <t>Mohamed AlHindawi</t>
  </si>
  <si>
    <t>+966 (0)55 221 7777</t>
  </si>
  <si>
    <t>King Fahad Street, Al Anood Tower</t>
  </si>
  <si>
    <t>17th Floor, PO Box 12214</t>
  </si>
  <si>
    <t>Olayya</t>
  </si>
  <si>
    <t>12214</t>
  </si>
  <si>
    <t>+966 (0)11 221 8888</t>
  </si>
  <si>
    <t>info@waja.com.sa</t>
  </si>
  <si>
    <t>522206-29</t>
  </si>
  <si>
    <t>Bena Steel Industries (SAU: 9563)</t>
  </si>
  <si>
    <t>Bena Steel Industries Co</t>
  </si>
  <si>
    <t>Bena Steel Industries Co is engaged in the production of galvanized metal sheets, ribbed and non-ribbed metal structures and metal sheets, ribbed and non-ribbed aluminum sheets and chromed metal sheets, electro plated steel silicon steel, as well as aluminum, Pre-painted Corrugated Stel Sheets, Manufacture of ERW pipes &amp; tubes and producing Wheelbarrow.</t>
  </si>
  <si>
    <t>Metals, Minerals and Mining</t>
  </si>
  <si>
    <t>Other Metals, Minerals and Mining</t>
  </si>
  <si>
    <t>Industrial Supplies and Parts, Other Metals, Minerals and Mining*</t>
  </si>
  <si>
    <t>coil, coil product, steel mining, steel mining company operator, steel product, steel products</t>
  </si>
  <si>
    <t>9563</t>
  </si>
  <si>
    <t>340991-47P</t>
  </si>
  <si>
    <t>Fawaz Al Bawardi</t>
  </si>
  <si>
    <t>falbawardi@benasteel.com</t>
  </si>
  <si>
    <t>+966 (0)13 847 2685</t>
  </si>
  <si>
    <t>PO Box 112</t>
  </si>
  <si>
    <t>First Industrial Area, behind SABIC warehouse</t>
  </si>
  <si>
    <t>31411</t>
  </si>
  <si>
    <t>+966 (0)13 847 2312</t>
  </si>
  <si>
    <t>info@benasteel.com</t>
  </si>
  <si>
    <t>519415-12</t>
  </si>
  <si>
    <t>Alinma Hospitality REIT (SAU: 4349)</t>
  </si>
  <si>
    <t>Alinma Hospitality REIT Fund</t>
  </si>
  <si>
    <t>Alinma Hospitality REIT Fund is a closed-ended real estate investment Fund. The fund aims to invest in real estate assets. It mainly focuses on the hotel sector within the Kingdom of Saudi Arabia. The fund currently invests in three hotels in the city of Riyadh (three hotels), and Jeddah City (two hotels). Its revenue from investment properties is concentrated within one operating segment and geographical region of the Kingdom of Saudi Arabia, comprised of operating lease rental income generated from five investment properties.</t>
  </si>
  <si>
    <t>Real Estate Investment Trusts (REITs)</t>
  </si>
  <si>
    <t>Real Estate Investment Trusts (REITs)*</t>
  </si>
  <si>
    <t>investment fund, real estate, real estate investment trust, real estate services, reit, reit fund</t>
  </si>
  <si>
    <t>4349</t>
  </si>
  <si>
    <t>334136-89P</t>
  </si>
  <si>
    <t>Mazin Baghdadi</t>
  </si>
  <si>
    <t>Post Box 55560</t>
  </si>
  <si>
    <t>Al Anoud Tower 2 King Fahad Road</t>
  </si>
  <si>
    <t>11544</t>
  </si>
  <si>
    <t>info@alinmainvest.com</t>
  </si>
  <si>
    <t>65024-56</t>
  </si>
  <si>
    <t>Etihad Etisalat (Mobily) (SAU: 7020)</t>
  </si>
  <si>
    <t>Mobily</t>
  </si>
  <si>
    <t>Etihad Etisalat Co JSC</t>
  </si>
  <si>
    <t>Saudi Telecom Company, Emirates Telecommunications Group, Oman Telecommunications Company, Emirates Integrated Telecommunications Company, Orange Belgium, Ooredoo Oman, Orange Egypt for Telecommunications, Wataniya Palestine Mobile Telecommunications, Kazakhtelecom, Orange RDC, Ooredoo Kuwait, Orange Austria Telecommunication, MTN Group, Tunisie Telecom, Zain Group, Telkom, Telefónica, Orange Moldova, Orange Uganda, Kalaam Telecom Bahrain, Ooredoo Tunisia, Zamani Telecom, Telecom Liechtenstein, Orange Cote D'Ivoire, Telecom Argentina, Salt Mobile, Orange Tunisie, Cell C, Viva Dominicana, Orange Madagascar, Atos Convergence Creators, SK Telecom, Lyca Mobile, Thuraya Telecommunications, Orange (Telecommunications Service Providers), Ooredoo Myanmar, Etisalat Nigeria, E&amp; Egypt</t>
  </si>
  <si>
    <t>Etihad Etisalat Co JSC operates in the telecom sector. The company also manages, installs, and operates telephone networks, terminals, and telecommunication unit systems, as well as to sell and maintains mobile phones and telecommunication units in the Kingdom of Saudi Arabia. The company's segment includes Consumer, Business, Wholesale and Outsourcing. It derives maximum revenue from Consumer segment, which includes products and services such as voice calls, mobile Internet, and fixed Internet. The company has provides integrated services for three main sectors; individuals, businesses, and carriers. All of the company's operations are principally conducted in the Kingdom of Saudi Arabia.</t>
  </si>
  <si>
    <t>Communications and Networking</t>
  </si>
  <si>
    <t>Telecommunications Service Providers</t>
  </si>
  <si>
    <t>Telecommunications Service Providers*, Wireless Communications Equipment</t>
  </si>
  <si>
    <t>mobile telecommunication, mobile telecommunication business, mobile telecommunication network, mobile telecommunication service, mobile telecommunication services, wireless telecommunication network</t>
  </si>
  <si>
    <t>2011: 418, 2012: 418, 2022: 6727</t>
  </si>
  <si>
    <t>7020</t>
  </si>
  <si>
    <t>297465-40P</t>
  </si>
  <si>
    <t>Khaled Abanami</t>
  </si>
  <si>
    <t>k.abanami@mobily.com.sa</t>
  </si>
  <si>
    <t>2332 Olaya Road</t>
  </si>
  <si>
    <t>PO Box 9979</t>
  </si>
  <si>
    <t>11423</t>
  </si>
  <si>
    <t>info@mobily.com.sa</t>
  </si>
  <si>
    <t>518268-79</t>
  </si>
  <si>
    <t>Nofoth Food Products (SAU: 2288)</t>
  </si>
  <si>
    <t>Nofoth Food Products Co</t>
  </si>
  <si>
    <t>Nofoth Food Products Co is engaged in retail sales of bakery products and sugary sweets, retail sales of nuts, coffee, spices, and perfumes, operating service restaurants, providing food service contracting, managing main offices, manufacturing sugary sweets such as confectionery, caramel, toffee, and nougat, operating dry food stores, offering light transportation services, wholesale of used oils and export, automated bread production, pie manufacturing, biscuit production, and the production of various types of popular and oriental sweets. The company also handles the road transport of goods, including refrigerated, frozen goods and main offices activities.</t>
  </si>
  <si>
    <t>bakery products, bakery products producer, beverages, beverages firm, food, food product, packaged food</t>
  </si>
  <si>
    <t>2288</t>
  </si>
  <si>
    <t>331861-24P</t>
  </si>
  <si>
    <t>Ibrahim bin Al-Amqian</t>
  </si>
  <si>
    <t>+966 (0)92 000 0973</t>
  </si>
  <si>
    <t>Post Box 30</t>
  </si>
  <si>
    <t>Abu Bakr Al-Siddiq Road, Al-Nuzha</t>
  </si>
  <si>
    <t>12471</t>
  </si>
  <si>
    <t>info@nofoth.com</t>
  </si>
  <si>
    <t>518516-83</t>
  </si>
  <si>
    <t>Leen Alkhair (SAU: 9555)</t>
  </si>
  <si>
    <t>Leen AlKhair Trading Company</t>
  </si>
  <si>
    <t>Leen Alkhair Trading Co engages in growing, importing, and distributing fresh vegetables and fruits. Its activities comprise wholesale of fruits, vegetables, dates, dairy products, eggs, and egg products. In addition. it also wholesale meat, meat products, frozen meat and poultry, sugar, and its products among others.</t>
  </si>
  <si>
    <t>Distributors/Wholesale, Food Products*</t>
  </si>
  <si>
    <t>food products, fruits, vegetables</t>
  </si>
  <si>
    <t>2022: 282</t>
  </si>
  <si>
    <t>9555</t>
  </si>
  <si>
    <t>332546-23P</t>
  </si>
  <si>
    <t>Abdullah Al-Shuraim</t>
  </si>
  <si>
    <t>abdullah@leenalkhair.com</t>
  </si>
  <si>
    <t>+966 (0)53 333 1300</t>
  </si>
  <si>
    <t>King Fahd Road</t>
  </si>
  <si>
    <t>info@leenalkhair.com</t>
  </si>
  <si>
    <t>519500-44</t>
  </si>
  <si>
    <t>Alqemam for Computer (SAU: 9558)</t>
  </si>
  <si>
    <t>Alqemam for Computer Systems Co</t>
  </si>
  <si>
    <t>Alqemam for Computer Systems Co manages and develops applications, software and provides technical infrastructure services in the Kingdom of Saudi Arabia. Its service offerings comprise Technical Support Services, Customer Support Services, Mobile application and solutions development services, Digital archiving services, Network operation and maintenance services, and Infrastructure Supply Services among others.</t>
  </si>
  <si>
    <t>Application Software*, Software Development Applications</t>
  </si>
  <si>
    <t>installing central computer, mobile &amp; smart device application, operating system, publishing ready-made program, research and development, web application</t>
  </si>
  <si>
    <t>2023: 71</t>
  </si>
  <si>
    <t>9558</t>
  </si>
  <si>
    <t>334341-64P</t>
  </si>
  <si>
    <t>Waleed Elsayed Mohamed Zaki</t>
  </si>
  <si>
    <t>wmohamedzaki@alqemam.com</t>
  </si>
  <si>
    <t>+966 (0)16 361 1157</t>
  </si>
  <si>
    <t>Onaizah, Saudi Arabia</t>
  </si>
  <si>
    <t>2788 Omer bin AL Khattab Street Alfakhriyah District</t>
  </si>
  <si>
    <t>Onaizah</t>
  </si>
  <si>
    <t>info@alqemam.com.sa</t>
  </si>
  <si>
    <t>164704-87</t>
  </si>
  <si>
    <t>Dar Alarkan Real Estate Development (SAU: 4300)</t>
  </si>
  <si>
    <t>Dar Al Arkan</t>
  </si>
  <si>
    <t>Dar Alarkan Real Estate Development Co</t>
  </si>
  <si>
    <t>Aldar Properties, Deyaar Development, Althuriah Group, DAMAC Properties Dubai, Emaar Properties, The National Housing Company</t>
  </si>
  <si>
    <t>Dar Alarkan Real Estate Development Company along with its subsidiaries is engaged in the business of development, sale and leasing of real estate projects and associated activities. The company operates in reportable segments namely, Development properties, Leasing of properties and others. The majority of the revenue is generated from the development properties segment.</t>
  </si>
  <si>
    <t>general construction, property development, property development company, real estate, real estate projects, real estate property development</t>
  </si>
  <si>
    <t>2011: 500, 2012: 500</t>
  </si>
  <si>
    <t>4300</t>
  </si>
  <si>
    <t>353128-06P</t>
  </si>
  <si>
    <t>Philip Antony</t>
  </si>
  <si>
    <t>philip.antony@alarkan.com</t>
  </si>
  <si>
    <t>12622 Makkah Road</t>
  </si>
  <si>
    <t>Al Wizarat, Beside Riyadh Marriott Hotel</t>
  </si>
  <si>
    <t>info@alarkan.com</t>
  </si>
  <si>
    <t>164651-32</t>
  </si>
  <si>
    <t>Knowledge Economic City (SAU: 4310)</t>
  </si>
  <si>
    <t>KEC</t>
  </si>
  <si>
    <t>Knowledge Economic City Co.</t>
  </si>
  <si>
    <t>Knowledge Economic City is engaged in developing real estate, economic cities, and other development projects including infrastructure, telecommunication networks, electricity plants, water treatment plants, and other works related to developing economic cities in the Kingdom of Saudi Arabia. The Company owns land parcels in Madinah Al-Munawarah and is the developer for transforming such land parcels into an economic city. The segments of the company are Real estate development and Investment, out of which Real estate development derives the maximum revenue for the company.</t>
  </si>
  <si>
    <t>Infrastructure</t>
  </si>
  <si>
    <t>property developer, property developer firm, property development unit, real estate development, real estate development firm, real estate development group</t>
  </si>
  <si>
    <t>2012: 43</t>
  </si>
  <si>
    <t>4310</t>
  </si>
  <si>
    <t>286703-29P</t>
  </si>
  <si>
    <t>Mohammad Almubarak</t>
  </si>
  <si>
    <t>malmubarak@madinahkec.com</t>
  </si>
  <si>
    <t>+966 (0)14 865 1010</t>
  </si>
  <si>
    <t>Building Number 5257</t>
  </si>
  <si>
    <t>42362</t>
  </si>
  <si>
    <t>+966 (0)14 865 4040</t>
  </si>
  <si>
    <t>info@madinahkec.com</t>
  </si>
  <si>
    <t>512592-76</t>
  </si>
  <si>
    <t>AlSaif Stores for Dev (SAU: 4192)</t>
  </si>
  <si>
    <t>AlSaif Stores for Development and Investment Co</t>
  </si>
  <si>
    <t>AlSaif Stores for Development and Investment Co operates in the home utensils and appliances retail sector in Saudi Arabia. The company fulfills customer needs such as by providing small home appliances, kitchenware, serveware, and other home accessories.</t>
  </si>
  <si>
    <t>Department Stores</t>
  </si>
  <si>
    <t>Department Stores*, Internet Retail</t>
  </si>
  <si>
    <t>retail chain, retail chain company, retail chain firm, retail chain platform, retail chain store, retail stores, retail stores firm</t>
  </si>
  <si>
    <t>2022: 989, 2023: 1084, 2024: 1222</t>
  </si>
  <si>
    <t>4192</t>
  </si>
  <si>
    <t>322842-88P</t>
  </si>
  <si>
    <t>Mohammad Alsaif</t>
  </si>
  <si>
    <t>malsaif@alsaifgallery.com</t>
  </si>
  <si>
    <t>+966 (0)92 000 9017</t>
  </si>
  <si>
    <t>Uthman Ibn Affan Road</t>
  </si>
  <si>
    <t>Al Imam Saud Ibn Abdul Aziz Branch Road</t>
  </si>
  <si>
    <t>46421</t>
  </si>
  <si>
    <t>+966 (0)11 219 8866</t>
  </si>
  <si>
    <t>legal.affairs@alsaifgallery.com</t>
  </si>
  <si>
    <t>10943-92</t>
  </si>
  <si>
    <t>Saudi Aramco Base Oil Company (SAU: 2223)</t>
  </si>
  <si>
    <t>Luberef</t>
  </si>
  <si>
    <t>Saudi Aramco Base Oil Company Joint Stock Company</t>
  </si>
  <si>
    <t>Saudi Aramco Base Oil Co - Luberef is engaged in constructing, owning, and operating refineries of lubricating oils and in purchasing, selling, transporting, marketing, importing and exporting lubricating oils, additives, lubricating oil blending stocks, byproducts, and other related petroleum products. Geographically, the company operates in the Kingdom of Saudi Arabia, the United Arab Emirates, India, Egypt, Singapore, and Others. The company derives the majority of its revenue from sales of Base oils.</t>
  </si>
  <si>
    <t>Specialty Chemicals</t>
  </si>
  <si>
    <t>Specialty Chemicals*</t>
  </si>
  <si>
    <t>base oils, oil producers, oil production, oil refinery, oils sector, virgin base oil</t>
  </si>
  <si>
    <t>2016: 200, 2022: 729</t>
  </si>
  <si>
    <t>2223</t>
  </si>
  <si>
    <t>325119-34P</t>
  </si>
  <si>
    <t>Mohammed AlAhmari</t>
  </si>
  <si>
    <t>+966 (0)92 000 3550</t>
  </si>
  <si>
    <t>7168 Al Minaa, 3072 Petromin District</t>
  </si>
  <si>
    <t>PO Box 5518</t>
  </si>
  <si>
    <t>22411</t>
  </si>
  <si>
    <t>+966 (0)12 268 5250</t>
  </si>
  <si>
    <t>Saudi Arabian Oil</t>
  </si>
  <si>
    <t>517376-53</t>
  </si>
  <si>
    <t>Edarat Comms &amp; Info Tech (SAU: 9557)</t>
  </si>
  <si>
    <t>Edarat Communication And Information Technology Co.</t>
  </si>
  <si>
    <t>Edarat Communication And Information Technology Co is engaged in the implementation of service contracts including provision of virtual network operator services, colocation services, system analysis, design and programming of software, providing management and monitoring of communications and information networks, establishing web hosting infrastructure and related services, data center services and related activities and subscriptions to provide cloud computing service Its services include advisory, data center engineering, smart cities &amp; smart building technology (IoT), workload migration, and cloud services. The company has two operating segments; Data Center Engineering Services and Cloud Service. It derives maximum revenue from Data Center Engineering Services segment.</t>
  </si>
  <si>
    <t>Systems and Information Management</t>
  </si>
  <si>
    <t>IT Consulting and Outsourcing, Systems and Information Management*</t>
  </si>
  <si>
    <t>Internet of Things</t>
  </si>
  <si>
    <t>cloud services, data center engineering, internet of things, iot, leasing telecommunication infrastructure, smart building technology</t>
  </si>
  <si>
    <t>9557</t>
  </si>
  <si>
    <t>329122-90P</t>
  </si>
  <si>
    <t>Erick Baduy</t>
  </si>
  <si>
    <t>Founding Partner, Chief Executive Officer &amp; Board Member</t>
  </si>
  <si>
    <t>erick.baduy@edaratgroup.com</t>
  </si>
  <si>
    <t>+966 (0)11 205 7838</t>
  </si>
  <si>
    <t>Prince Nasir Bin Saud Bin Farhan Al Saud Street</t>
  </si>
  <si>
    <t>+966 (0)11 450 4297</t>
  </si>
  <si>
    <t>517377-79</t>
  </si>
  <si>
    <t>Saudi Top for Trading (SAU: 9552)</t>
  </si>
  <si>
    <t>Saudi Top for Trading Co.</t>
  </si>
  <si>
    <t>Saudi Top for Trading Co is engaged in the plastic raw materials business as a trading company or manufacturer and also an authorized distributor for petrochemical-producing companies. The company's product portfolio includes Polyethylene WAX, Polyethylene, Polyethylene Terephthalate, Thermoplastic Elastomers, Styrenics, Polypropylene Rubber, and Engineering Polymers. It has two segments: Trading and Industrial.</t>
  </si>
  <si>
    <t>Other Materials</t>
  </si>
  <si>
    <t>Other Commercial Products, Other Materials*</t>
  </si>
  <si>
    <t>petroleum wax, plastic, plastic raw materials, plastic trading, road marking paint</t>
  </si>
  <si>
    <t>2022: 47</t>
  </si>
  <si>
    <t>9552</t>
  </si>
  <si>
    <t>329132-26P</t>
  </si>
  <si>
    <t>Wail Aljaaidi</t>
  </si>
  <si>
    <t>waljaaidi@stp.com.sa</t>
  </si>
  <si>
    <t>+966 (0)11 242 0001</t>
  </si>
  <si>
    <t>New Al kharj road 3776 Eastern Ring Road Alnoor District</t>
  </si>
  <si>
    <t>14321</t>
  </si>
  <si>
    <t>+966 (0)11 270 6661</t>
  </si>
  <si>
    <t>info@stp.com.sa</t>
  </si>
  <si>
    <t>517370-59</t>
  </si>
  <si>
    <t>Molan Steel (SAU: 9553)</t>
  </si>
  <si>
    <t>Molan Steel Co.</t>
  </si>
  <si>
    <t>Molan Steel Co is engaged in the supply and sale of iron products, represented in iron tins of all kinds, iron bridges of all kinds, and iron angles.</t>
  </si>
  <si>
    <t>Distributors/Wholesale*, Other Commercial Products</t>
  </si>
  <si>
    <t>iron, iron distributor, steel, steel distribution center, steel product, steel trade</t>
  </si>
  <si>
    <t>9553</t>
  </si>
  <si>
    <t>329116-78P</t>
  </si>
  <si>
    <t>Mohammed Al-Sayed</t>
  </si>
  <si>
    <t>+966 (0)11 225 5601</t>
  </si>
  <si>
    <t>Post Box 7090</t>
  </si>
  <si>
    <t>Riyadh AlFarouq District Eastern Ring Road Exit No 16 Palladium Center Complex</t>
  </si>
  <si>
    <t>14323</t>
  </si>
  <si>
    <t>+966 (0)11 225 5602</t>
  </si>
  <si>
    <t>contact@molansteel.com</t>
  </si>
  <si>
    <t>516996-19</t>
  </si>
  <si>
    <t>Riyadh Cables Group (SAU: 4142)</t>
  </si>
  <si>
    <t>Riyadh Cables Group Co</t>
  </si>
  <si>
    <t>Riyadh Cables Group Co manufactures and supplies all types of wire and cables at its state-of-art facilities. The company's products include Wires, Low Voltage Cables (LV), Medium Voltage Cables (MV), High &amp; Extra High Voltage Cables (HV/EHV), Overhead Lines Conductors Cables (OHL), Instrumentation &amp; Control Cables, Renewable Energy Cables, and Fiber Optic &amp; Telephone Cables. The company operates in three segments: Cable &amp; Wires segment includes Electrical cables, the High voltage cables segment includes Turnkey projects, and the Other segments include Telephone cables &amp; services. The majority of revenue is generated from Cable &amp; Wires segment.</t>
  </si>
  <si>
    <t>Utilities</t>
  </si>
  <si>
    <t>Electric Utilities</t>
  </si>
  <si>
    <t>Electric Utilities*</t>
  </si>
  <si>
    <t>CleanTech, Manufacturing</t>
  </si>
  <si>
    <t>cable, conductors cable, instrumentation &amp; control cable, manufacturer, renewable energy cable, voltage cable, wire</t>
  </si>
  <si>
    <t>2022: 427</t>
  </si>
  <si>
    <t>4142</t>
  </si>
  <si>
    <t>328615-93P</t>
  </si>
  <si>
    <t>Bahaa Eissa</t>
  </si>
  <si>
    <t>Chief Financial Officer &amp; Chief Information Officer</t>
  </si>
  <si>
    <t>bahaa.eissa@riyadh-cables.com</t>
  </si>
  <si>
    <t>+966 (0)11 265 0850</t>
  </si>
  <si>
    <t>D, 2nd industrial City, Al Kharj Road Street</t>
  </si>
  <si>
    <t>Number 175, 3rd Lane Zone, P.O. Box 26862</t>
  </si>
  <si>
    <t>11496</t>
  </si>
  <si>
    <t>info@riyadh-cables.com</t>
  </si>
  <si>
    <t>515806-12</t>
  </si>
  <si>
    <t>Alwaha REIT (SAU: 9300)</t>
  </si>
  <si>
    <t>Alwaha REIT Fund</t>
  </si>
  <si>
    <t>Alwaha REIT Fund is a closed-ended sharia-compliant real estate investment traded fund. The investment objective of the Fund is to invest in structurally developed real estate properties, capable of achieving periodic and rental income, and to distribute a percentage not less than 90% of the annual net profits of the Fund as cash dividends to the unitholders during the period of the Fund.</t>
  </si>
  <si>
    <t>real estate investment, real estate investment trust, reit</t>
  </si>
  <si>
    <t>9300</t>
  </si>
  <si>
    <t>326911-33P</t>
  </si>
  <si>
    <t>Saud Alrashudi</t>
  </si>
  <si>
    <t>+966 (0)11 494 4067</t>
  </si>
  <si>
    <t>Building No. 7459, Secondary No. 2207, Al Muruj District</t>
  </si>
  <si>
    <t>+966 (0)11 494 4205</t>
  </si>
  <si>
    <t>alwahareit@wasatah.com.sa</t>
  </si>
  <si>
    <t>501074-11</t>
  </si>
  <si>
    <t>Marafiq (SAU: 2083)</t>
  </si>
  <si>
    <t>Marafiq KSA</t>
  </si>
  <si>
    <t>Kinetico Quality Water of Polk County, Altaaqa Global Energy Services, Altaaqa, American Water Works Company</t>
  </si>
  <si>
    <t>Power and Water Utility Company for Jubail and Yanbu engages in providing integrated utility services to all sectors in the Industrial Cities of the Kingdom of Saudi Arabia. The company's principal activities are water supply, sewage activities, waste management and treatment, electricity, gas, steam and air conditioning supply, process industry, and construction. The company's operating segment includes Power, Water, Gas, and Independent Water and Power. The majority of revenue is generated from the Water segment which includes desalinated and treated water systems, potable, process, and industrial water production, distribution, seawater cooling systems for heavy industries, and industrial and sanitary wastewater treatment and disposal.</t>
  </si>
  <si>
    <t>Multi-Utilities</t>
  </si>
  <si>
    <t>Multi-Utilities*</t>
  </si>
  <si>
    <t>electric utilities sector, electricity, energy infrastructure, seawater cooling system, water supply, water supply plant, water supply system, water supply tank</t>
  </si>
  <si>
    <t>2083</t>
  </si>
  <si>
    <t>307619-11P</t>
  </si>
  <si>
    <t>Mohammed Al-Zuabi</t>
  </si>
  <si>
    <t>President &amp; Chief Executive Officer</t>
  </si>
  <si>
    <t>+966 (0)92 002 0084</t>
  </si>
  <si>
    <t>Jubail, Saudi Arabia</t>
  </si>
  <si>
    <t>P.O. Box 11133</t>
  </si>
  <si>
    <t>Jubail Industrial City</t>
  </si>
  <si>
    <t>Jubail</t>
  </si>
  <si>
    <t>31961</t>
  </si>
  <si>
    <t>+966 (0)13 340 1168</t>
  </si>
  <si>
    <t>515289-25</t>
  </si>
  <si>
    <t>Knowledge Tower Trading (SAU: 9551)</t>
  </si>
  <si>
    <t>Knowledge Tower Trading Co.</t>
  </si>
  <si>
    <t>Knowledge Tower Trading Co is engaged in marketing and selling educational books for schools, universities, training institutes and government educational institutions. It develops educational programs for schools and provides electronic educational platforms, modern educational resources for training and designing their educational models.</t>
  </si>
  <si>
    <t>Publishing*</t>
  </si>
  <si>
    <t>book distribution, educational books, educational books dealer, office supplies, stationery goods</t>
  </si>
  <si>
    <t>2022: 12</t>
  </si>
  <si>
    <t>9551</t>
  </si>
  <si>
    <t>TTM 2Q2026</t>
  </si>
  <si>
    <t>370877-59P</t>
  </si>
  <si>
    <t>Majed Ammar</t>
  </si>
  <si>
    <t>+966 (0)13 844 5400</t>
  </si>
  <si>
    <t>Ibn Yaqout Al-Hamawi Road</t>
  </si>
  <si>
    <t>Al-Muraikbat District</t>
  </si>
  <si>
    <t>72223-2253</t>
  </si>
  <si>
    <t>+966 (0)13 844 5300</t>
  </si>
  <si>
    <t>info@kntbook.com</t>
  </si>
  <si>
    <t>493180-21</t>
  </si>
  <si>
    <t>2P Perfect Presentation (SAU: 7204)</t>
  </si>
  <si>
    <t>Perfect Presentation Co.</t>
  </si>
  <si>
    <t>Perfect Presentation for Commercial Services Co is a software development company that provides Custom Application Development (CAD), which develops websites, applications, and portals based on the client's preference. Its services include UI and UX design, robot technologies, VR and AR technologies, application development, artificial intelligence technologies, FinTech solutions, provision of management and control of communication and information networks, design and programming of custom software, systems analysis, provision of SMS services, provision of call center services; registration for cloud computing services, data technologies, data science and analysis, repair and maintenance of PCs and laptops, among others.</t>
  </si>
  <si>
    <t>BPO/Outsource Services, IT Consulting and Outsourcing*</t>
  </si>
  <si>
    <t>Augmented Reality</t>
  </si>
  <si>
    <t>call center service, it consulting, it services, it solutions, outsourcing center, software development, software development firm</t>
  </si>
  <si>
    <t>2022: 779</t>
  </si>
  <si>
    <t>7204</t>
  </si>
  <si>
    <t>293608-90P</t>
  </si>
  <si>
    <t>Ehssan Doughman</t>
  </si>
  <si>
    <t>edoughman@2p.com.sa</t>
  </si>
  <si>
    <t>+966 (0)11 510 9988</t>
  </si>
  <si>
    <t>4077 Alsheikg Abdullah Bin Gabreen Street</t>
  </si>
  <si>
    <t>7537 Al Qairawan District</t>
  </si>
  <si>
    <t>13531</t>
  </si>
  <si>
    <t>+966 (0)11 215 0222</t>
  </si>
  <si>
    <t>info@2p.com.sa</t>
  </si>
  <si>
    <t>224170-12</t>
  </si>
  <si>
    <t>Saudi Tadawul Group (SAU: 1111)</t>
  </si>
  <si>
    <t>Saudi Tadawul Group Holding Co</t>
  </si>
  <si>
    <t>Saudi Tadawul Group Holding Co provides trading, clearing, and settlement services in securities in the Kingdom of Saudi Arabia. It also provides services related to innovation in technology. The company's segment includes Capital Markets; Post Trade; Data and Technology Services and Corporate. It generates maximum revenue from the Post Trade segment.</t>
  </si>
  <si>
    <t>Other Capital Markets/Institutions</t>
  </si>
  <si>
    <t>Other Capital Markets/Institutions*</t>
  </si>
  <si>
    <t>capital market, online stock exchange, online trading portal, stock exchange, stock trading portal, trading portal</t>
  </si>
  <si>
    <t>2021: 365, 2023: 264</t>
  </si>
  <si>
    <t>1111</t>
  </si>
  <si>
    <t>178108-21P</t>
  </si>
  <si>
    <t>Khalid Al Hussan</t>
  </si>
  <si>
    <t>khalid.alhussan@tadawulgroup.sa</t>
  </si>
  <si>
    <t>6897 King Fahd Road - Al Ulaya</t>
  </si>
  <si>
    <t>Unit Number: 15</t>
  </si>
  <si>
    <t>info@tadawulgroup.sa</t>
  </si>
  <si>
    <t>63584-74</t>
  </si>
  <si>
    <t>Arabian Drilling (SAU: 2381)</t>
  </si>
  <si>
    <t>Arabian Drilling Co.</t>
  </si>
  <si>
    <t>Pioneer Energy Services, Precision Drilling, Basic Energy Services, ProPetro Holding, Valaris, Quintana Energy Services, Weatherford International, RPC, Transocean, U.S. Well Services, Parker Wellbore, Forbes Energy Services, Noble Corporation, Petroleum Geo-Services, Calfrac Well Services, Esso Schweiz, Nabors Industries, USA Compression Partners, NOV, Subsea 7, Southern Gas Trading, C&amp;J Energy Services, Savanna Energy Services, Pioneer Natural Resources, Nine Energy Service, Blue Roads Solutions</t>
  </si>
  <si>
    <t>Arabian Drilling Co is an onshore and offshore gas and oil rig drilling company in Saudi Arabia. It is principally engaged in the drilling of oil and natural gas wells, operations, maintenance and hauling of rigs, and related activities. The operating segment of the company Provision of drilling and related services through land rigs and the Provision of drilling and related services through off-shore rigs.</t>
  </si>
  <si>
    <t>Other Energy Services</t>
  </si>
  <si>
    <t>Other Energy Services*</t>
  </si>
  <si>
    <t>fuel extraction, offshore gas, offshore gas service, oil and gas plant, oil drilling</t>
  </si>
  <si>
    <t>2021: 3913, 2022: 4419</t>
  </si>
  <si>
    <t>2381</t>
  </si>
  <si>
    <t>323529-67P</t>
  </si>
  <si>
    <t>Hubert Lafeuille</t>
  </si>
  <si>
    <t>hlafeuille@arabdrill.com</t>
  </si>
  <si>
    <t>+966 (0)13 829 7000</t>
  </si>
  <si>
    <t>Al-Khobar, Saudi Arabia</t>
  </si>
  <si>
    <t>P.O.Box 4110</t>
  </si>
  <si>
    <t>Al-Khobar</t>
  </si>
  <si>
    <t>+966 (0)13 882 6588</t>
  </si>
  <si>
    <t>info@arabdrill.com</t>
  </si>
  <si>
    <t>314608-78</t>
  </si>
  <si>
    <t>Sure Payments Technology Company (SAU: 9550)</t>
  </si>
  <si>
    <t>Sure Global Tech</t>
  </si>
  <si>
    <t>Sure Global Tech Co.</t>
  </si>
  <si>
    <t>Elm (IT Services and IT Consulting), THIQAH, Digital Space Group</t>
  </si>
  <si>
    <t>Sure Global Tech Co provides technological and consultative solutions for public and private organizations. It provides services of software development, infrastructure, support, and operation, along with digital transformation consultations and other SME-oriented products. The group's operational segments include Infrastructure, Managed Services, Professional Services, and products. The majority of its revenue is derived from infrastructure services, which include the sale of licenses and devices.</t>
  </si>
  <si>
    <t>Consulting Services (B2B), IT Consulting and Outsourcing*</t>
  </si>
  <si>
    <t>CloudTech &amp; DevOps, Industrials, SaaS</t>
  </si>
  <si>
    <t>digital transformation consulting, infrastructure solution, learning management system, managed information technology, saas, software solutions, software solutions provider</t>
  </si>
  <si>
    <t>2021: 275, 2022: 282</t>
  </si>
  <si>
    <t>9550</t>
  </si>
  <si>
    <t>218236-24P</t>
  </si>
  <si>
    <t>Basem Al-Sallom</t>
  </si>
  <si>
    <t>balsallom@sure.com.sa</t>
  </si>
  <si>
    <t>+966 (0)11 205 0043</t>
  </si>
  <si>
    <t>Imam Saud Bin Abdulaziz Bin Muhammad Road 12281</t>
  </si>
  <si>
    <t>Hayat Center Building B, First Floor, P.O Box 301334</t>
  </si>
  <si>
    <t>Al Muruj</t>
  </si>
  <si>
    <t>11372</t>
  </si>
  <si>
    <t>info@sure.com.sa</t>
  </si>
  <si>
    <t>509510-62</t>
  </si>
  <si>
    <t>Abdulaziz and Mansour (SAU: 9549)</t>
  </si>
  <si>
    <t>Abdulaziz and Mansour Ibrahim Albabtin Co</t>
  </si>
  <si>
    <t>Abdulaziz and Mansour Ibrahim Albabtin Co focuses on importing everything that is exclusive in the field of bakers, sweets and ice cream materials by working closely with multiple partners around the world to serve its customers in the restaurant and retail sectors in the Kingdom and provide them with everything new and exclusive in the field of food. It offers products in pastry, bakery and ice.</t>
  </si>
  <si>
    <t>bread, food products, food services</t>
  </si>
  <si>
    <t>9549</t>
  </si>
  <si>
    <t>PO Box 27901</t>
  </si>
  <si>
    <t>+966 (0)11 244 0849</t>
  </si>
  <si>
    <t>510303-61</t>
  </si>
  <si>
    <t>Arabian Plastic (SAU: 9548)</t>
  </si>
  <si>
    <t>Arabian Plastic Industrial Co</t>
  </si>
  <si>
    <t>Al Sharq Flexible Packaging</t>
  </si>
  <si>
    <t>Arabian Plastic Industrial Co is a plastic packaging and thermoplastic injection company. The company provides superior injection molding production services, as well as high-quality extrusion of films, blow molding and thermoforming disposable products.</t>
  </si>
  <si>
    <t>Plastic Containers and Packaging</t>
  </si>
  <si>
    <t>Plastic Containers and Packaging*</t>
  </si>
  <si>
    <t>blow molding, plastic packaging, thermoplastic injection molding</t>
  </si>
  <si>
    <t>2022: 251</t>
  </si>
  <si>
    <t>9548</t>
  </si>
  <si>
    <t>319185-10P</t>
  </si>
  <si>
    <t>Venugopal T. K.</t>
  </si>
  <si>
    <t>+966 (0)12 638 0101</t>
  </si>
  <si>
    <t>Street 45, Phase 3</t>
  </si>
  <si>
    <t>Industrial City 1</t>
  </si>
  <si>
    <t>info@apico.com.sa</t>
  </si>
  <si>
    <t>164708-56</t>
  </si>
  <si>
    <t>Al Sagr Cooperative Insurance (SAU: 8180)</t>
  </si>
  <si>
    <t>Al Sagr Insurance</t>
  </si>
  <si>
    <t>Al Sagr Cooperative Insurance Co.</t>
  </si>
  <si>
    <t>Al Sagr Co-operative Insurance Co is a Saudi Arabia-based company involved in the insurance sector. The company provides insurance in various areas, including motor, medical, marine, property, engineering, liability, miscellaneous, travel, energy, and medical malpractice.</t>
  </si>
  <si>
    <t>cargo insurance, cooperative insurance, insurance business, insurance services, marine hull insurance, public cooperative insurance</t>
  </si>
  <si>
    <t>2011: 70, 2012: 70, 2020: 265, 2022: 217</t>
  </si>
  <si>
    <t>8180</t>
  </si>
  <si>
    <t>316711-90P</t>
  </si>
  <si>
    <t>Shafiq Alrumaih</t>
  </si>
  <si>
    <t>6565 King Fahd Road</t>
  </si>
  <si>
    <t>Al-Khalidiyah Al-Shamaliyah District</t>
  </si>
  <si>
    <t>Eastern Province</t>
  </si>
  <si>
    <t>32232-3823</t>
  </si>
  <si>
    <t>info@alsagr.com</t>
  </si>
  <si>
    <t>507361-69</t>
  </si>
  <si>
    <t>Naba Alsaha Medical Services (SAU: 9546)</t>
  </si>
  <si>
    <t>Mohammedhassan Al-Jishi &amp; Partners Company</t>
  </si>
  <si>
    <t>Naba Alsaha Medical Services Co</t>
  </si>
  <si>
    <t>Naba Alsaha Medical Services Co engages in the operation and management of AlZahra Hospital, Manarat Al-Haramain Pharmacy, and the Company's branch for medical services in Al-Khobar. The hospital provides medical services in outpatient and inpatient facilities, surgery, emergency, and intensive care. The pharmacy provides services to AlZahra General Hospital OPD patients and to patients who have medical prescriptions from other hospitals. The branch was established to provide maintenance and housekeeping services to AlZahra General Hospital as well as maintenance services to the hospital housing.</t>
  </si>
  <si>
    <t>health facility, healthcare, hospital, medical care</t>
  </si>
  <si>
    <t>2021: 501</t>
  </si>
  <si>
    <t>9546</t>
  </si>
  <si>
    <t>316147-33P</t>
  </si>
  <si>
    <t>Abdulwahab Mohammed Saad Al-Ajroush</t>
  </si>
  <si>
    <t>+966 (0)13 855 5000</t>
  </si>
  <si>
    <t>Post Office Box 887</t>
  </si>
  <si>
    <t>Abdullah Bin Hathlan Street, Al-Khuzama District</t>
  </si>
  <si>
    <t>31911</t>
  </si>
  <si>
    <t>info@nams.sa</t>
  </si>
  <si>
    <t>503918-65</t>
  </si>
  <si>
    <t>International Human Resources (SAU: 9545)</t>
  </si>
  <si>
    <t>International Human Resources Co</t>
  </si>
  <si>
    <t>International Human Resources Co provides external human resources operational services, executive recruitment services, human resources management consulting, recruitment services and technical human resources products. Its services include Executive Talent Acquisition, Strategic Recruitment, Managed Outsourcing, Specialized HR Consulting, Unified Recruitment Center, HR Management Systems, Employee Development, Performance Evaluation, Executive Talent Provision, Leadership Training Programs, Managed Outsourcing, and Integrated Recruitment.</t>
  </si>
  <si>
    <t>BPO/Outsource Services, Human Capital Services*</t>
  </si>
  <si>
    <t>hr agency, human capital, human resource, human resource service, human resource service provider, staff evaluation</t>
  </si>
  <si>
    <t>9545</t>
  </si>
  <si>
    <t>313411-24P</t>
  </si>
  <si>
    <t>Ali Ammar Al-Harbi</t>
  </si>
  <si>
    <t>Managing Director</t>
  </si>
  <si>
    <t>+966 (0)12 482 7021</t>
  </si>
  <si>
    <t>King Abdullah Road / Ring Road, Exit 10</t>
  </si>
  <si>
    <t>Post Office Box 4528</t>
  </si>
  <si>
    <t>info@ihr.sa</t>
  </si>
  <si>
    <t>503924-41</t>
  </si>
  <si>
    <t>Rawasi Albina Investment (SAU: 9547)</t>
  </si>
  <si>
    <t>Rawasi Albina Investment Co</t>
  </si>
  <si>
    <t>Rawasi Albina Investment Co is focused on infrastructure projects in the electricity, telecommunications and water sectors. The company is engaged in the construction and repair of roads, streets, pests and roads, construction and erection of electrical power stations and transformers, construction and erection of communication and radar stations and towers, extension of electrical wires, extension of electrical wires of communications, network extensions, and installation of lighting systems.</t>
  </si>
  <si>
    <t>Telecommunications Service Providers*</t>
  </si>
  <si>
    <t>electricity company, technology service, telecommunication management, telecommunication management consulting</t>
  </si>
  <si>
    <t>2022: 360</t>
  </si>
  <si>
    <t>9547</t>
  </si>
  <si>
    <t>474444-91P</t>
  </si>
  <si>
    <t>Faisal Saad Mohammed Al-Buqami</t>
  </si>
  <si>
    <t>fal-buqami@rawasi-albina.com</t>
  </si>
  <si>
    <t>+966 (0)11 465 5519</t>
  </si>
  <si>
    <t>Olaya Avenue Building 2nd Floor</t>
  </si>
  <si>
    <t>King Fahad Road</t>
  </si>
  <si>
    <t>+966 (0)11 463 0223</t>
  </si>
  <si>
    <t>info@rawasialbina.com</t>
  </si>
  <si>
    <t>502844-41</t>
  </si>
  <si>
    <t>Saudi NetWorks Services (SAU: 9543)</t>
  </si>
  <si>
    <t>Saudi Networkers Services Co</t>
  </si>
  <si>
    <t>Saudi Networkers Services Co provides implementing, establishing, maintaining, operating, installing, and managing telecommunication networks. The Company is also involved in providing consulting, technical, administrative, marketing, customer care services, and technical support for sales centers. Its geographic segments are the Kingdom of Saudi Arabia and Algeria.</t>
  </si>
  <si>
    <t>it consulting, it consulting service, network services</t>
  </si>
  <si>
    <t>9543</t>
  </si>
  <si>
    <t>313543-81P</t>
  </si>
  <si>
    <t>Osama Alsabeg</t>
  </si>
  <si>
    <t>+966 (0)11 293 9595</t>
  </si>
  <si>
    <t>Al Oruba Street, Al Sulimaniyah</t>
  </si>
  <si>
    <t>P.O.Box 25141</t>
  </si>
  <si>
    <t>11466</t>
  </si>
  <si>
    <t>+966 (0)11 293 7273</t>
  </si>
  <si>
    <t>info@saudinetworkers.com</t>
  </si>
  <si>
    <t>503632-45</t>
  </si>
  <si>
    <t>Naqi Water (SAU: 2282)</t>
  </si>
  <si>
    <t>Naqi Water Company Limited Liability Company</t>
  </si>
  <si>
    <t>Naqi Water Co is engaged in the production and bottling of filtered pure water; wholesaling of bottled water, soft drinks, and juices; retailing of beverages in specialized stores; land transportation of goods; and rearing and producing broiler breeder hens, operating their hatcheries, and producing eggs. The company's segments are Local Sales Water, Export Sales Water, Logistics Sales, and Egg Sales.</t>
  </si>
  <si>
    <t>water bottle, water bottle company, water production</t>
  </si>
  <si>
    <t>2282</t>
  </si>
  <si>
    <t>313480-18P</t>
  </si>
  <si>
    <t>Abdulaziz Alsayegh</t>
  </si>
  <si>
    <t>a.alsayegh@naqiwater.com</t>
  </si>
  <si>
    <t>+966 (0)92 002 4484</t>
  </si>
  <si>
    <t>Unaizah, Saudi Arabia</t>
  </si>
  <si>
    <t>Al-Obaisah District</t>
  </si>
  <si>
    <t>PO Box 5228 Qassim</t>
  </si>
  <si>
    <t>Unaizah</t>
  </si>
  <si>
    <t>51911</t>
  </si>
  <si>
    <t>53486-20</t>
  </si>
  <si>
    <t>Alamar Foods (SAU: 6014)</t>
  </si>
  <si>
    <t>Alamar</t>
  </si>
  <si>
    <t>Alamar Foods Co.</t>
  </si>
  <si>
    <t>Alamar Foods Co is a Quick Service Restaurant (QSR) operator in the Middle East, North Africa, and Pakistan (MENAP Region). The company is into Establishing, operating, and managing fast-food restaurants. It has three reportable segments; Kingdom of Saudi Arabia; Other GCC and Levant; and North Africa. These divisions offer products and services in different geographical regions.</t>
  </si>
  <si>
    <t>Food Products, Restaurants and Bars*</t>
  </si>
  <si>
    <t>dining industry, pizza chain, restaurant franchise</t>
  </si>
  <si>
    <t>2015: 1001, 2022: 1909</t>
  </si>
  <si>
    <t>6014</t>
  </si>
  <si>
    <t>411356-44P</t>
  </si>
  <si>
    <t>Mario Jimenez</t>
  </si>
  <si>
    <t>mario.jimenez@alamar.com</t>
  </si>
  <si>
    <t>+966 (0)11 250 4747</t>
  </si>
  <si>
    <t>3507 Prince Sultan Bin Abdulaziz Road</t>
  </si>
  <si>
    <t>Al Olaya</t>
  </si>
  <si>
    <t>11412</t>
  </si>
  <si>
    <t>+966 (0)11 250 4748</t>
  </si>
  <si>
    <t>info@alamar.com</t>
  </si>
  <si>
    <t>503202-52</t>
  </si>
  <si>
    <t>Future Care Trading (SAU: 9544)</t>
  </si>
  <si>
    <t>Future Care Trading Co.</t>
  </si>
  <si>
    <t>Future Care Trading Co offers home healthcare facilities in the Kingdom of Saudi Arabia, which includes a distinguished group of Healthcare Personnel. Its services comprise Doctor Visits, Nursing Services, Nursing Aid, Physiotherapy, Laboratory Services, Nutrition Services, and Social Services.</t>
  </si>
  <si>
    <t>healthcare, healthcare products, healthcare products supplier</t>
  </si>
  <si>
    <t>2022: 288</t>
  </si>
  <si>
    <t>9544</t>
  </si>
  <si>
    <t>426622-06P</t>
  </si>
  <si>
    <t>Mansour Hashr</t>
  </si>
  <si>
    <t>Chairman &amp; Board Member</t>
  </si>
  <si>
    <t>+966 (0)92 000 2821</t>
  </si>
  <si>
    <t>Ahmed Aqilan Street</t>
  </si>
  <si>
    <t>P.O 6454, Al-Khalidiya District</t>
  </si>
  <si>
    <t>23421</t>
  </si>
  <si>
    <t>info@fc.med.sa</t>
  </si>
  <si>
    <t>501926-32</t>
  </si>
  <si>
    <t>Academy of Learning (Saudi) (SAU: 9541)</t>
  </si>
  <si>
    <t>Academy of Learning Co</t>
  </si>
  <si>
    <t>Academy of Learning Co operates in the education and training sector in the Kingdom of Saudi Arabia. It has education and training institutes in various regions, preparing students to enter the job market with practical experience through accredited diploma programs. The main activities are represented in the wholesale of computers and its accessories, including (the selling of printers and its inks), integrated administrative services activities for offices and higher institutes for electronic training. It provides educational services and operates solely within the Kingdom of Saudi Arabia, with no geographical sector.</t>
  </si>
  <si>
    <t>EdTech</t>
  </si>
  <si>
    <t>education, education and training, learning academy, online education</t>
  </si>
  <si>
    <t>2021: 181, 2023: 207</t>
  </si>
  <si>
    <t>9541</t>
  </si>
  <si>
    <t>Al Khaleej Street, Al Shati District</t>
  </si>
  <si>
    <t>Post Office Box 330, Dammam</t>
  </si>
  <si>
    <t>31471</t>
  </si>
  <si>
    <t>+966 (0)13 835 0522</t>
  </si>
  <si>
    <t>+966 (0)13 844 1119</t>
  </si>
  <si>
    <t>info@aol.edu.sa</t>
  </si>
  <si>
    <t>502662-34</t>
  </si>
  <si>
    <t>Keir International (SAU: 9542)</t>
  </si>
  <si>
    <t>Keir International Co.</t>
  </si>
  <si>
    <t>Keir International Co is engaged in laying pipes for electricity and communication, installing and maintaining security devices, repairing telecommunications and radar stations, real estate development, and network and electrical extensions. Its services include supply and installation of telecom and electrical equipment, implementation and maintenance of wired and wireless networks, civil work, and software development, including designing portals and e-services. The company has three segments: Telecom, covering network installation and maintenance; Power, covering electrical infrastructure and extensions; and Software Operations, focused on software and digital services. The majority of its revenue comes from the Telecom segment, and the company operates in the Kingdom of Saudi Arabia.</t>
  </si>
  <si>
    <t>Other Communications and Networking, Telecommunications Service Providers*, Wireless Communications Equipment</t>
  </si>
  <si>
    <t>electrical products, fiber optic cable, fiber optics, telecommunication tower, telecommunications-service, wireless communications company, wireless network</t>
  </si>
  <si>
    <t>2023: 358</t>
  </si>
  <si>
    <t>9542</t>
  </si>
  <si>
    <t>327145-87P</t>
  </si>
  <si>
    <t>Waseem Marzoki</t>
  </si>
  <si>
    <t>+966 (0)11 494 0999</t>
  </si>
  <si>
    <t>Building 67, Area 632</t>
  </si>
  <si>
    <t>6678 Wag Valley, Al Malga District</t>
  </si>
  <si>
    <t>13524-3744</t>
  </si>
  <si>
    <t>commercial@keir.com.sa</t>
  </si>
  <si>
    <t>501151-06</t>
  </si>
  <si>
    <t>Retal Urban Dev (SAU: 4322)</t>
  </si>
  <si>
    <t>Retal Urban Development Co</t>
  </si>
  <si>
    <t>Retal Urban Development Co is principally engaged in the purchase and sale of lands, investment in real estate, its division, and the off-plan sales, and general construction of buildings, and non-residential public building constructions, including schools, hospitals, and hotels. It operates in the Real estate development segment, Investment segment, and other segments. The company derives maximum segment from Real Estate Development Segment.</t>
  </si>
  <si>
    <t>construction, construction mapping, construction work, real estate development</t>
  </si>
  <si>
    <t>2021: 1073</t>
  </si>
  <si>
    <t>4322</t>
  </si>
  <si>
    <t>307859-50P</t>
  </si>
  <si>
    <t>Abdullah Al-Braikan</t>
  </si>
  <si>
    <t>abdullah@retal.com.sa</t>
  </si>
  <si>
    <t>8800 King Faisal Street</t>
  </si>
  <si>
    <t>P.O. Box 3200, Retal Tower, Prince Faisal Bin Fahad Bin Abdulazizi Avenue</t>
  </si>
  <si>
    <t>502838-11</t>
  </si>
  <si>
    <t>Amwaj International (SAU: 9537)</t>
  </si>
  <si>
    <t>Amwaj International Co</t>
  </si>
  <si>
    <t>Amwaj International Co is engaged in the field of selling and distributing the electronic and home appliances. It sells products under the brands UGINE, Algor, and AUX. The company wholesales household electronic and electrical appliances, wholesale of sanitary ware, extensions and supplies, wholesale of sanitary ware, extension and maintenance, water, home repair projects of home and garden equipment.</t>
  </si>
  <si>
    <t>Consumer Durables</t>
  </si>
  <si>
    <t>Electronics (B2C)</t>
  </si>
  <si>
    <t>Electronics (B2C)*, Home Furnishings, Household Appliances</t>
  </si>
  <si>
    <t>appliance, fixtures, furniture, home appliances, home appliances retail, home appliances seller</t>
  </si>
  <si>
    <t>2022: 149, 2023: 175, 2024: 187</t>
  </si>
  <si>
    <t>9537</t>
  </si>
  <si>
    <t>443456-20P</t>
  </si>
  <si>
    <t>Namir Akabi</t>
  </si>
  <si>
    <t>Founder, Chairman &amp; Owner</t>
  </si>
  <si>
    <t>aakabi@amwaj-trd.com</t>
  </si>
  <si>
    <t>+966 (0)11 215 3405</t>
  </si>
  <si>
    <t>Al-Orubah Road</t>
  </si>
  <si>
    <t>Building Number 467, Olaya</t>
  </si>
  <si>
    <t>11351</t>
  </si>
  <si>
    <t>+966 (0)11 215 3410</t>
  </si>
  <si>
    <t>498539-80</t>
  </si>
  <si>
    <t>Ladun Investment (SAU: 9535)</t>
  </si>
  <si>
    <t>Ladun Investment Co.</t>
  </si>
  <si>
    <t>Ladun Investment Co engages in managing real estate and development activities and public investments. The company engages in the development of commercial, residential, and multi-use projects.</t>
  </si>
  <si>
    <t>Buildings and Property, Holding Companies*, Other Financial Services</t>
  </si>
  <si>
    <t>real estate asset management, real estate management, residential real estate</t>
  </si>
  <si>
    <t>2022: 1896</t>
  </si>
  <si>
    <t>9535</t>
  </si>
  <si>
    <t>315787-06P</t>
  </si>
  <si>
    <t>Hassan Al-Hazmi</t>
  </si>
  <si>
    <t>hassanb@ladun.sa</t>
  </si>
  <si>
    <t>+966 (0)92 001 1560</t>
  </si>
  <si>
    <t>Sultan business center, Riyadh Region</t>
  </si>
  <si>
    <t>+966 (0)11 488 8657</t>
  </si>
  <si>
    <t>info@ladun.sa</t>
  </si>
  <si>
    <t>499940-02</t>
  </si>
  <si>
    <t>Arabian Food and Dairy Factories (SAU: 9536)</t>
  </si>
  <si>
    <t>Arabian Food and Dairy Factories Co</t>
  </si>
  <si>
    <t>Arabian Food and Dairy Factories Co is engaged in the production and sale of ice cream within the Kingdom of Saudi Arabia, and the company operates in a single geographical segment which is the Kingdom of Saudi Arabia.</t>
  </si>
  <si>
    <t>desserts food, food and dairy product, ice cream bar</t>
  </si>
  <si>
    <t>2021: 212</t>
  </si>
  <si>
    <t>9536</t>
  </si>
  <si>
    <t>482570-83P</t>
  </si>
  <si>
    <t>fadel fawaz</t>
  </si>
  <si>
    <t>ffawaz@fadeco.com</t>
  </si>
  <si>
    <t>+966 (0)13 847 1767</t>
  </si>
  <si>
    <t>1st Industrial Area Dammam 32234 Kingdom of Saudi Arabia</t>
  </si>
  <si>
    <t>32234</t>
  </si>
  <si>
    <t>+966 (0)13 847 1330</t>
  </si>
  <si>
    <t>497742-49</t>
  </si>
  <si>
    <t>National Environmental Recycling (SAU: 9540)</t>
  </si>
  <si>
    <t>National Environmental Recycling Co</t>
  </si>
  <si>
    <t>National Environmental Recycling Co specializes in producing metals from the recycling of electronic and electrical devices, vehicles, and cables in the Middle East and North Africa region. The company is involved in the import, export, wholesale, and retail trade of scrap, aluminum, copper, plastic, electrical and electronic appliances, spare parts, tires, glass, and all types of iron, as well as the sorting, storage, and distribution of these materials.</t>
  </si>
  <si>
    <t>recycling operations, recycling services, recycling solutions</t>
  </si>
  <si>
    <t>2022: 91</t>
  </si>
  <si>
    <t>9540</t>
  </si>
  <si>
    <t>316676-62P</t>
  </si>
  <si>
    <t>Mazen Salam</t>
  </si>
  <si>
    <t>+966 (0)11 485 6186</t>
  </si>
  <si>
    <t>Wadi Waj Road</t>
  </si>
  <si>
    <t>Al Malqa District</t>
  </si>
  <si>
    <t>+966 (0)11 485 6179</t>
  </si>
  <si>
    <t>497742-13</t>
  </si>
  <si>
    <t>Aqaseem Factory for Chemicals &amp; Plastics (SAU: 9539)</t>
  </si>
  <si>
    <t>Aqaseem Factory for Chemicals and Plastics Co.</t>
  </si>
  <si>
    <t>Aqaseem Factory for Chemicals &amp; Plastics Co is engaged in the production of automotive engine oils brake oils and industrial greases.</t>
  </si>
  <si>
    <t>automotive engine oils, chemical products, industrial grease, lubricating oils</t>
  </si>
  <si>
    <t>2022: 162</t>
  </si>
  <si>
    <t>9539</t>
  </si>
  <si>
    <t>316672-21P</t>
  </si>
  <si>
    <t>Alaa Mahyoub Ahmed Saeed</t>
  </si>
  <si>
    <t>+966 (0)92 000 9075</t>
  </si>
  <si>
    <t>East Ring Road - between exit 17 and 18</t>
  </si>
  <si>
    <t>+966 (0)1 126 5870</t>
  </si>
  <si>
    <t>support@agaseem.sa</t>
  </si>
  <si>
    <t>497741-77</t>
  </si>
  <si>
    <t>Naseej for Technology (SAU: 9538)</t>
  </si>
  <si>
    <t>Naseej for Communication &amp; Information Technology</t>
  </si>
  <si>
    <t>Naseej for Technology Co</t>
  </si>
  <si>
    <t>Naseej for Technology Co offers comprehensive digital transformation solutions for academic and educational institutions, knowledge and cultural centers, government organizations and large corporations. The company's activities according to its commercial registration include computer programing, consultations in computing, management of computing facilities, artificial intelligence technologies, virtual and augmented reality technologies, big data technologies, information technology services, sales of computing equipment hardware and terminals, and book sales.</t>
  </si>
  <si>
    <t>Business/Productivity Software</t>
  </si>
  <si>
    <t>Business/Productivity Software*, Educational Software</t>
  </si>
  <si>
    <t>campus management solutions, digital transformation, knowledge management, library management</t>
  </si>
  <si>
    <t>9538</t>
  </si>
  <si>
    <t>316674-91P</t>
  </si>
  <si>
    <t>Abdulrahman Abduljabbar</t>
  </si>
  <si>
    <t>Chief Executive Officer &amp; Chairman of Board</t>
  </si>
  <si>
    <t>abdulrahman@naseej.com</t>
  </si>
  <si>
    <t>+966 (0)11 477 0477</t>
  </si>
  <si>
    <t>Al-Ahsa Road, Post Office Box 20129</t>
  </si>
  <si>
    <t>Building Number 7593, Ground floor</t>
  </si>
  <si>
    <t>11455</t>
  </si>
  <si>
    <t>+966 (0)11 478 3512</t>
  </si>
  <si>
    <t>13458-34</t>
  </si>
  <si>
    <t>Kingdom Holding Company (SAU: 4280)</t>
  </si>
  <si>
    <t>Kingdom Establishment for Commerce and Trade</t>
  </si>
  <si>
    <t>KHC, Kingdom</t>
  </si>
  <si>
    <t>Earlybird Venture Capital, Index Ventures, Bessemer Venture Partners, Zamil Group, Greylock, Accel, Y Combinator, HSG (Hong Kong), Benchmark Capital Holdings, Lazard, OB Financial Holding</t>
  </si>
  <si>
    <t>Kingdom Holding Co is an investment holding company with its operations based in the Kingdom of Saudi Arabia. The principal activities are hotel management and operations, commercial services, education, and investments. The company derives maximum revenue from equity investment.</t>
  </si>
  <si>
    <t>Holding Companies*, Private Equity</t>
  </si>
  <si>
    <t>financial holding, fund manager, investment, investment company, investment holding, investment model, investment trust</t>
  </si>
  <si>
    <t>2011: 46, 2012: 42</t>
  </si>
  <si>
    <t>4280</t>
  </si>
  <si>
    <t>80417-62P</t>
  </si>
  <si>
    <t>Talal Al Maiman</t>
  </si>
  <si>
    <t>+966 (0)11 211 1111</t>
  </si>
  <si>
    <t>11321</t>
  </si>
  <si>
    <t>+966 (0)11 211 1112</t>
  </si>
  <si>
    <t>investor.relations@kingdom.com</t>
  </si>
  <si>
    <t>495845-02</t>
  </si>
  <si>
    <t>SHL Finance (SAU: 1183)</t>
  </si>
  <si>
    <t>SHL Finance Company</t>
  </si>
  <si>
    <t>SHL Finance Co</t>
  </si>
  <si>
    <t>SHL Finance Co is engaged in real estate financing activities for individuals. The principal activities of the Company are to finance the purchase of houses and residential land and apartments, financing of real estate properties and financing the establishment of commercial and industrial projects.</t>
  </si>
  <si>
    <t>Consumer Finance</t>
  </si>
  <si>
    <t>Consumer Finance*</t>
  </si>
  <si>
    <t>personal loan service, personal loans, trade loans</t>
  </si>
  <si>
    <t>1183</t>
  </si>
  <si>
    <t>299557-27P</t>
  </si>
  <si>
    <t>Bandar Saeed Abdullah Al-Ghamdi</t>
  </si>
  <si>
    <t>babdullahal-ghamdi@shlfinance.com</t>
  </si>
  <si>
    <t>+966 (0)1 122 1228</t>
  </si>
  <si>
    <t>AlMuraba - King Abdulaziz Road</t>
  </si>
  <si>
    <t>P.O. Box 27072</t>
  </si>
  <si>
    <t>11417</t>
  </si>
  <si>
    <t>+966 (0)11 206 4730</t>
  </si>
  <si>
    <t>164702-08</t>
  </si>
  <si>
    <t>National Agriculture Development (SAU: 6010)</t>
  </si>
  <si>
    <t>NADEC</t>
  </si>
  <si>
    <t>National Agricultural Development Company</t>
  </si>
  <si>
    <t>Almarai, Saudia Dairy &amp; Foodstuff, Agthia Group, Adecoagro, Fonterra Co-operative Group, Arla Foods</t>
  </si>
  <si>
    <t>National Agriculture Development Co is engaged in agricultural and livestock production, reclamation of agricultural land, food processing, marketing, and distribution of its products. The company operates in two main sectors, namely Manufacturing of Dairy and Foods and the Production of Agricultural Products. It generates maximum revenue from the Dairy and Food segment. Its products include dairy, milk, cheese, juices, desserts and other related food. Geographically, it derives the vast majority of its revenue from Saudi Arabia.</t>
  </si>
  <si>
    <t>Cultivation</t>
  </si>
  <si>
    <t>Cultivation*, Food Products</t>
  </si>
  <si>
    <t>agriculture company, cheese product, food products, food products company, food security, milk farming, milk product</t>
  </si>
  <si>
    <t>2010: 4600, 2012: 4600</t>
  </si>
  <si>
    <t>6010</t>
  </si>
  <si>
    <t>366064-39P</t>
  </si>
  <si>
    <t>Hassan Aqrouq</t>
  </si>
  <si>
    <t>Chief Financial Officer &amp; Vice President, Finance</t>
  </si>
  <si>
    <t>+966 (0)11 202 7777</t>
  </si>
  <si>
    <t>Building No. 7049, Sub No. 2467 Prince Abdulrahman Bin Abdulaziz Road</t>
  </si>
  <si>
    <t>Al Murabba District PO Box 2557</t>
  </si>
  <si>
    <t>info@nadec.com</t>
  </si>
  <si>
    <t>97864-75</t>
  </si>
  <si>
    <t>Al Masane Al Kobra Mining (SAU: 1322)</t>
  </si>
  <si>
    <t>AMAK</t>
  </si>
  <si>
    <t>Al Masane Al Kobra Mining Co.</t>
  </si>
  <si>
    <t>Almasane Alkobra Mining Co is engaged in mining non-ferrous metal ores (aluminium, copper, and lead), mining ores of precious metals belonging to the gold, silver, and platinum group, and wholesaling precious metals and gemstones. Its reportable operating segments are Al Masane Mine, Mount Guyan Mine, Moyeath Mine, and Corporate. A majority of its revenue is generated from the Al Masane mine segment, which represents extraction and production of the base metals, i.e., copper and zinc concentrates and byproducts like precious metals, i.e., gold and silver dores.</t>
  </si>
  <si>
    <t>Multi-line Mining</t>
  </si>
  <si>
    <t>Gold Mining, Multi-line Mining*, Precious Metals and Minerals Mining</t>
  </si>
  <si>
    <t>copper exploration, copper mine, gold mining, metal mining, mine exploration, mineral explorer</t>
  </si>
  <si>
    <t>2022: 230</t>
  </si>
  <si>
    <t>1322</t>
  </si>
  <si>
    <t>379819-99P</t>
  </si>
  <si>
    <t>Christopher Warwick</t>
  </si>
  <si>
    <t>Acting Chief Executive Officer</t>
  </si>
  <si>
    <t>c.warwick@amak.com.sa</t>
  </si>
  <si>
    <t>+966 (0)12 216 2699</t>
  </si>
  <si>
    <t>Najran, Saudi Arabia</t>
  </si>
  <si>
    <t>Building 7847</t>
  </si>
  <si>
    <t>Unit.2</t>
  </si>
  <si>
    <t>Najran</t>
  </si>
  <si>
    <t>66244</t>
  </si>
  <si>
    <t>+966 (0)17 523 8722</t>
  </si>
  <si>
    <t>info@amak.com.sa</t>
  </si>
  <si>
    <t>494719-03</t>
  </si>
  <si>
    <t>Nahdi Medical (SAU: 4164)</t>
  </si>
  <si>
    <t>Nahdi Medical Co.</t>
  </si>
  <si>
    <t>Nahdi Medical Co is engaged in the wholesale and retail trading of cosmetics, pharmaceutical products, special and healthy foods, and medical equipment. It has two operating segments Front Shop and Pharma.</t>
  </si>
  <si>
    <t>Medical Supplies*, Pharmaceuticals</t>
  </si>
  <si>
    <t>pharmacy chain, pharmacy services, retail pharmacy</t>
  </si>
  <si>
    <t>4164</t>
  </si>
  <si>
    <t>297570-52P</t>
  </si>
  <si>
    <t>Mohammed Alkhubani</t>
  </si>
  <si>
    <t>mohammed.a@nahdi.sa</t>
  </si>
  <si>
    <t>King Abdallah Rd</t>
  </si>
  <si>
    <t>Al Nakheel</t>
  </si>
  <si>
    <t>23241</t>
  </si>
  <si>
    <t>156151-00</t>
  </si>
  <si>
    <t>Al Dawaa Medical Services (SAU: 4163)</t>
  </si>
  <si>
    <t>DMSCO</t>
  </si>
  <si>
    <t>Al Dawaa Medical Services Co. Ltd</t>
  </si>
  <si>
    <t>Aldawaa Medical Services Co is engaged in online wholesale of pharmaceutical products, pharmaceutical agents, wholesale of pharmaceutical goods, related pharmacy activities, pharmaceutical warehousing activities, retail of medical equipment and other equipment, online retailing, land transport of goods, providing delivery services via electronic platforms, managing and renting self-storage stores and manufacturing of single-use medical products and disposables.</t>
  </si>
  <si>
    <t>Distributors (Healthcare)*, Personal Products, Pharmaceuticals</t>
  </si>
  <si>
    <t>consumer product, consumer product dealer, consumer product seller, food product, food production</t>
  </si>
  <si>
    <t>2018: 4883, 2019: 3894, 2020: 4222</t>
  </si>
  <si>
    <t>4163</t>
  </si>
  <si>
    <t>Kimia Farma (Persero)</t>
  </si>
  <si>
    <t>295494-40P</t>
  </si>
  <si>
    <t>Mohammed Al-Farraj</t>
  </si>
  <si>
    <t>+966 (0)13 867 7776</t>
  </si>
  <si>
    <t>4326-Al-Khobar</t>
  </si>
  <si>
    <t>+966 (0)13 867 0201</t>
  </si>
  <si>
    <t>info@al-dawaa.com</t>
  </si>
  <si>
    <t>493558-93</t>
  </si>
  <si>
    <t>Arabian International Healthcare Holding Company (SAU: 9530)</t>
  </si>
  <si>
    <t>Arabian International Healthcare Holding Commpany SJSC</t>
  </si>
  <si>
    <t>Arabian International Healthcare Holding Co provides integrated medical solutions to healthcare providers in the health sector in Saudi Arabia through its subsidiaries. The company's projects include Cardiology, Intensive care, Operating rooms, Oncology, Hospital Infrastructure, and Others.</t>
  </si>
  <si>
    <t>health care equipment, healthcare supplies, medical care</t>
  </si>
  <si>
    <t>2022: 60</t>
  </si>
  <si>
    <t>9530</t>
  </si>
  <si>
    <t>468689-77P</t>
  </si>
  <si>
    <t>Christophe Lala</t>
  </si>
  <si>
    <t>+966 (0)11 243 9494</t>
  </si>
  <si>
    <t>Qortubah, Al Marhoma Street</t>
  </si>
  <si>
    <t>Business Gate</t>
  </si>
  <si>
    <t>11595</t>
  </si>
  <si>
    <t>info@tibbiyah.com</t>
  </si>
  <si>
    <t>493557-49</t>
  </si>
  <si>
    <t>Aljouf Mineral Water Bottling (SAU: 9532)</t>
  </si>
  <si>
    <t>Aljouf Mineral Water Bottling Co</t>
  </si>
  <si>
    <t>Aljouf Mineral Water Bottling Co is involved in the production and bottling of mineral water, production and bottling of filtered pure water, and manufacturing of bottles in various forms of plastics.</t>
  </si>
  <si>
    <t>beverages, bottled beverage provider, bottled water, drinking water</t>
  </si>
  <si>
    <t>2022: 426</t>
  </si>
  <si>
    <t>9532</t>
  </si>
  <si>
    <t>316688-59P</t>
  </si>
  <si>
    <t>Hamed Mutawalli</t>
  </si>
  <si>
    <t>+966 (0)11 562 0968</t>
  </si>
  <si>
    <t>Bin Ahmed Al Sudairi Street</t>
  </si>
  <si>
    <t>Al Waha District - Turki</t>
  </si>
  <si>
    <t>info@hilwawater.com</t>
  </si>
  <si>
    <t>494528-68</t>
  </si>
  <si>
    <t>Saudi Azm for Communication and Information Technology (SAU: 7211)</t>
  </si>
  <si>
    <t>Saudi Azm for Communication and Information Technology Co</t>
  </si>
  <si>
    <t>Saudi Azm for Communication and Information Technology Co aims at providing solutions to projects with qualitative impact in the fields of information technology and executive consulting. The company is principally engaged in the designing and programming special software, application development, providing management and control services of communication sale of wire and wireless equipment and devices, design User Experience and customer journey, repair and maintenance of personal and portable computers, providing senior management consulting services and information networks and research and development on technology.</t>
  </si>
  <si>
    <t>Application Software, Consulting Services (B2B)*</t>
  </si>
  <si>
    <t>analytics platform, business intelligence platform, fintech project development, human resource service, management consulting, software development</t>
  </si>
  <si>
    <t>7211</t>
  </si>
  <si>
    <t>326039-50P</t>
  </si>
  <si>
    <t>Ali Alballaa</t>
  </si>
  <si>
    <t>Chief Executive Officer, &amp; Managing Director</t>
  </si>
  <si>
    <t>+966 (0)11 288 4141</t>
  </si>
  <si>
    <t>Al-Orouba Road</t>
  </si>
  <si>
    <t>Building Number 2163, Al-Ma'athar Al-Shamali District</t>
  </si>
  <si>
    <t>12334</t>
  </si>
  <si>
    <t>493507-63</t>
  </si>
  <si>
    <t>Scientific and Medical Equipment House (SAU: 4014)</t>
  </si>
  <si>
    <t>Scientific and Medical Equipment House Co.</t>
  </si>
  <si>
    <t>Scientific and Medical Equipment House Co is engaged in general contracting of buildings, roads, and bridges, maintaining, cleaning, managing, and operating medical centers, maintenance of scientific and medical equipment, wholesale and retail trade in medical, laboratorial, and scientific equipment and its accessories, import and export services, and catering services among others. The company's reportable segments are; Operation and maintenance, Medical equipment sales and post-sale maintenance services revenue, Construction segment, Meat and food segment, and Medicine and medical supplies. A majority of its revenue is generated from the Operation and maintenance segment which deals with the supply of medical and non-medical staff and medical equipment maintenance services.</t>
  </si>
  <si>
    <t>Other Healthcare Services</t>
  </si>
  <si>
    <t>Other Healthcare Services*, Other Services (B2C Non-Financial)</t>
  </si>
  <si>
    <t>medical equipment trader, medical supplies, professional services</t>
  </si>
  <si>
    <t>2021: 6025</t>
  </si>
  <si>
    <t>4014</t>
  </si>
  <si>
    <t>326068-03P</t>
  </si>
  <si>
    <t>Yasser EL-Safadi</t>
  </si>
  <si>
    <t>yelsafadi@smeh.com.sa</t>
  </si>
  <si>
    <t>+966 (0)11 464 6699</t>
  </si>
  <si>
    <t>King Fahad service Road, Al-Mutammarat District Post Office Box 1584</t>
  </si>
  <si>
    <t>12711</t>
  </si>
  <si>
    <t>+966 (0)11 463 1507</t>
  </si>
  <si>
    <t>smeh@smeh.com.sa</t>
  </si>
  <si>
    <t>493051-60</t>
  </si>
  <si>
    <t>Raoom Trading (SAU: 4144)</t>
  </si>
  <si>
    <t>Raoom Trading Co</t>
  </si>
  <si>
    <t>Raoom Trading Co is engaged in the manufacturing and trading of glass, mirrors, and aluminum decorations. Its products include Mirrors, Polycarbonate, Clear Flat Glass, Stained Glass, Reflective Glass, Trajectory Glass and Grained Glass. The company's main activity consists of sectors that include the sale of glass, as well as the sale of plastic, of which it derives maximum revenue from Sale of Glass.</t>
  </si>
  <si>
    <t>aluminum, building product, glass, glass manufacturer, glass manufacturing, glass production</t>
  </si>
  <si>
    <t>2023: 302</t>
  </si>
  <si>
    <t>4144</t>
  </si>
  <si>
    <t>305770-06P</t>
  </si>
  <si>
    <t>Hamid Al Hamid</t>
  </si>
  <si>
    <t>Chief Executive Officer, Board Member &amp; Managing Director</t>
  </si>
  <si>
    <t>+966 (0)16 122 2999</t>
  </si>
  <si>
    <t>Buraidah, Saudi Arabia</t>
  </si>
  <si>
    <t>The 1st Industrial City</t>
  </si>
  <si>
    <t>Al-Qussim</t>
  </si>
  <si>
    <t>Buraidah</t>
  </si>
  <si>
    <t>+966 (0)16 322 0817</t>
  </si>
  <si>
    <t>info@raoomco.com</t>
  </si>
  <si>
    <t>493051-15</t>
  </si>
  <si>
    <t>Saudi Parts Center (SAU: 9533)</t>
  </si>
  <si>
    <t>Saudi Parts Center Co.</t>
  </si>
  <si>
    <t>Saudi Parts Center Co is engaged in repair and maintenance of engines, electric generators and steam generators, wholesale and retail trading of spare parts of truck and heavy transport, agricultural equipment, industrial equipment, construction equipment and machinery.</t>
  </si>
  <si>
    <t>agriculture equipment parts, auto parts, construction equipment parts, industrial parts, wholesale parts</t>
  </si>
  <si>
    <t>9533</t>
  </si>
  <si>
    <t>323197-39P</t>
  </si>
  <si>
    <t>Fahad Khorayef</t>
  </si>
  <si>
    <t>fkhorayef@spc-parts.com</t>
  </si>
  <si>
    <t>+966 (0)92 000 9301</t>
  </si>
  <si>
    <t>8592 King Fahd Branch Road</t>
  </si>
  <si>
    <t>info@spc-parts.com</t>
  </si>
  <si>
    <t>187488-73</t>
  </si>
  <si>
    <t>Elm (IT Services and IT Consulting) (SAU: 7203)</t>
  </si>
  <si>
    <t>Al-ELM Information Security Company, Al-Elm Research and Development Company, Al-Elm Research and Development Co</t>
  </si>
  <si>
    <t>Elm Co.</t>
  </si>
  <si>
    <t>IntiGrow, Appirio, LTIMindtree, Applied Computer Technologies, Happiest Minds Technologies, Sutherland Global Services, Mphasis, Atlas Computer Technology, TietoEVRY, Deloitte Consulting, Google Domains, Agilant, NTT Data Group, HCL Technologies, Insight Latinoamerica, Tech Mahindra, Virtusa, Astadia, Cognizant Technology Solutions, Magnet 360, Trent Technical Services, Coforge, Juniper Networks, Orca IT, Splunk, Dimension Data, Singhai Uk, Wipro, AHEAD (Systems and Information Management), Advanced Crystal Technology, PCM, Intertec Systems, Capgemini, Biprogy, Tata Consultancy Services, Cap Gemini BAS, Raona, Accenture, Tecnocom Telecomunicaciones y Energia, Fluido, Hexaware Technologies</t>
  </si>
  <si>
    <t>ELM Co is engaged in providing ready-made and customized digital solutions in many areas. Its ready-made solutions serve a broad segment of customers, who can subscribe to different packages of their choosing to meet their needs and suffice business requirements. The services offered by the company include Consulting, Data Analysis and Technical solutions. The segments are Digital Business, Business Process Outsourcing and Professional Services, out of which the majority are from the Digital Business segment.</t>
  </si>
  <si>
    <t>IT Consulting and Outsourcing*, Other Commercial Services</t>
  </si>
  <si>
    <t>consultancy service, e-business services, information security, it service, it systems, technical systems</t>
  </si>
  <si>
    <t>2021: 2694</t>
  </si>
  <si>
    <t>7203</t>
  </si>
  <si>
    <t>327004-66P</t>
  </si>
  <si>
    <t>Mohammed Alomair</t>
  </si>
  <si>
    <t>malomair@elm.sa</t>
  </si>
  <si>
    <t>+966 (0)11 288 7444</t>
  </si>
  <si>
    <t>Al Thaghr, Digital City 6614</t>
  </si>
  <si>
    <t>Al Nakheel District - Unit No. 2</t>
  </si>
  <si>
    <t>12382-4182</t>
  </si>
  <si>
    <t>+966 (0)11 288 7555</t>
  </si>
  <si>
    <t>info@elm.sa</t>
  </si>
  <si>
    <t>492610-96</t>
  </si>
  <si>
    <t>East Pipes Integrated (SAU: 1321)</t>
  </si>
  <si>
    <t>East Pipes Integrated Co for Industry</t>
  </si>
  <si>
    <t>East Pipes Integrated Co for Industry is engaged in the manufacturing of pipes, tubes, and hollow shapes from iron and steel. The business activities of the Company are concentrated in the Kingdom of Saudi Arabia.</t>
  </si>
  <si>
    <t>arc pipes, pipes, spiral steel pipe, steel, transport water</t>
  </si>
  <si>
    <t>2021: 487, 2023: 480</t>
  </si>
  <si>
    <t>1321</t>
  </si>
  <si>
    <t>325987-93P</t>
  </si>
  <si>
    <t>Mohammed Ali Darweesh</t>
  </si>
  <si>
    <t>+966 (0)13 861 6801</t>
  </si>
  <si>
    <t>Street Number 89, 2nd Industrial City</t>
  </si>
  <si>
    <t>Post Office Box 12943, P. Code 31483</t>
  </si>
  <si>
    <t>31483</t>
  </si>
  <si>
    <t>+966 (0)13 812 1666</t>
  </si>
  <si>
    <t>info@eastpipes.com</t>
  </si>
  <si>
    <t>492947-29</t>
  </si>
  <si>
    <t>Gas Arabian Services (SAU: 4146)</t>
  </si>
  <si>
    <t>Gas Arabian Services Co</t>
  </si>
  <si>
    <t>Gas Arabian Services Co is in the business of wholesale of machinery and equipment, electrical, electronic, mechanical, hydromechanical, petroleum, industrial equipment, drilling equipment, technical equipment, desalination equipment, generators and spare parts, providing operational, maintenance and technical engineering services, manufacturing of piping spools, structural steel fabrication, pressure reducing stations and other industry essential products. Business is organized into three segments being Technical services, Trading and Manufacturing. Substantial revenue is generated from the Trading segment which is engaged in sales of industrial, electrical, mechanical, hydromechanical, petroleum and other technical equipment.</t>
  </si>
  <si>
    <t>Other Commercial Services</t>
  </si>
  <si>
    <t>Oil and Gas Equipment, Other Commercial Services*</t>
  </si>
  <si>
    <t>energy equipment, mechanical services, oil, oil equipment</t>
  </si>
  <si>
    <t>4146</t>
  </si>
  <si>
    <t>325986-40P</t>
  </si>
  <si>
    <t>Faisal AlDabal</t>
  </si>
  <si>
    <t>Chief Executive Officer &amp; Vice Chairman</t>
  </si>
  <si>
    <t>+966 (0)13 835 1500</t>
  </si>
  <si>
    <t>Unit number 8500</t>
  </si>
  <si>
    <t>Ad Dammam 32241-5150</t>
  </si>
  <si>
    <t>32241-5150</t>
  </si>
  <si>
    <t>+966 (0)13 831 1500</t>
  </si>
  <si>
    <t>sales@gasarabian.com</t>
  </si>
  <si>
    <t>493896-43</t>
  </si>
  <si>
    <t>Alwasail Industrial (SAU: 4148)</t>
  </si>
  <si>
    <t>Alwasail Industrial Co.</t>
  </si>
  <si>
    <t>Alwasail Industrial Co produces plastic pipes (Polyethylene) of different sizes and lengths for irrigation systems, drinking water, wastewater, sanitation, gas, electricity conduits, and telecom ducts. It also complements its pipe production with a diverse production program for pipe fittings and irrigation accessories. Its products include Irrigation Pipes, Potable Water Pipes, Telecom Pipes and Ducts, Gas Pipes, Industrial Pipes, Wastewater Drainage Pipes, Barbed Fittings, Compression Fittings, Electrofusion Fittings, and Low Cost Fittings.</t>
  </si>
  <si>
    <t>fittings, irrigation, pipes, pipes manufacturing, polyethylene pipes</t>
  </si>
  <si>
    <t>2022: 600</t>
  </si>
  <si>
    <t>4148</t>
  </si>
  <si>
    <t>326041-93P</t>
  </si>
  <si>
    <t>Abdul Almushekih</t>
  </si>
  <si>
    <t>+966 (0)92 002 7777</t>
  </si>
  <si>
    <t>3806 Ar Riyadh-Al Qassim</t>
  </si>
  <si>
    <t>Al Madinah Expressway</t>
  </si>
  <si>
    <t>81452</t>
  </si>
  <si>
    <t>494026-66</t>
  </si>
  <si>
    <t>AME Company (SAU: 9527)</t>
  </si>
  <si>
    <t>AME Company for Medical Supplies is engaged in providing medical devices and equipment. It generates maximum revenue from the medical supplies segment. The Company is engaged in wholesale and retail trade, which mainly includes perfumes, cosmetics, orthotic devices, medical supplies, decorative soap, incense, veterinary medicine, and medical equipment.</t>
  </si>
  <si>
    <t>Medical Supplies*, Surgical Devices</t>
  </si>
  <si>
    <t>medical supplies, surgical, surgical equipment, surgical equipment supply</t>
  </si>
  <si>
    <t>9527</t>
  </si>
  <si>
    <t>295876-63P</t>
  </si>
  <si>
    <t>Abdulfattah Ahmed</t>
  </si>
  <si>
    <t>aahmed@ame.med.sa</t>
  </si>
  <si>
    <t>+966 (0)12 275 0203</t>
  </si>
  <si>
    <t>King Fahad Road 8088</t>
  </si>
  <si>
    <t>PO Box: 48352, AlFaisaliyah. District</t>
  </si>
  <si>
    <t>23442</t>
  </si>
  <si>
    <t>495521-02</t>
  </si>
  <si>
    <t>Advance International (Saudi Arabia) (SAU: 9524)</t>
  </si>
  <si>
    <t>Taqaddam International Company</t>
  </si>
  <si>
    <t>Advance International Co</t>
  </si>
  <si>
    <t>Advance International Co for Communication and Information Technology is engaged in import, sale, installation, operation and maintenance of security surveillance cameras, bag and parcel inspection devices, security fences, biometric magnetic card entry and exit gates, burglar alarm devices and systems, metal and explosives detection gates, electronic works, communications technology, networks and computer software. Its products include Interactive Displays, Indoor surveillance cameras, CCTV Accessories, parking gates, Rfid card tlag, Control panels, Magnetic Locks, Accesses control device, Accessories, Parking system, Individual entry gates, Fingerprint devices, Electronic hotel locks, Security inspection system, Smart locks, NVR Recorders, Fingerprint reader, and surveillance cameras.</t>
  </si>
  <si>
    <t>Computer Hardware</t>
  </si>
  <si>
    <t>Electronic Equipment and Instruments</t>
  </si>
  <si>
    <t>Electronic Equipment and Instruments*, Other Information Technology, Systems and Information Management</t>
  </si>
  <si>
    <t>explosive detection product, metal detector, security surveillance product</t>
  </si>
  <si>
    <t>9524</t>
  </si>
  <si>
    <t>298820-89P</t>
  </si>
  <si>
    <t>Saud Mohammed Al Shuraim</t>
  </si>
  <si>
    <t>Chief Executive Officer, Managing Director, Board Member &amp; Members of the Executive Management</t>
  </si>
  <si>
    <t>saud@aictec.com</t>
  </si>
  <si>
    <t>King Fahd Road Al Olaya District 7792</t>
  </si>
  <si>
    <t>PO Box 54823</t>
  </si>
  <si>
    <t>12313</t>
  </si>
  <si>
    <t>info@aictec.com</t>
  </si>
  <si>
    <t>435754-90</t>
  </si>
  <si>
    <t>Jahez Group (SAU: 6017)</t>
  </si>
  <si>
    <t>Jahez International Co.</t>
  </si>
  <si>
    <t>10bis, EatEasy, ReserveOut, Eternal (Gurugram), RoundMenu, Rodha, Elmenus, Carriage Logistics General Trading Company, Wssel, Delivery Hero</t>
  </si>
  <si>
    <t>Jahez International Co for Information and Technology operates as an online food delivery platform, connecting users, merchants, and delivery partners across the Kingdom. It engages in providing wireless data services, systems analysis, designing and programming software and providing delivery services via e-platforms. Its operating segments are Delivery platform activity inside the Kingdom, Delivery platform activity outside the Kingdom, Logistics services activity, and Other activities.</t>
  </si>
  <si>
    <t>Application Software, Other Restaurants, Hotels and Leisure*</t>
  </si>
  <si>
    <t>FoodTech, Mobile, Supply Chain Tech</t>
  </si>
  <si>
    <t>delivery service, doorstep delivery, food delivery, food ecommerce, food ordering platform, last mile delivery, last mile delivery service, online delivery, restaurant marketplace</t>
  </si>
  <si>
    <t>2020: 180, 2021: 206</t>
  </si>
  <si>
    <t>6017</t>
  </si>
  <si>
    <t>231629-50P</t>
  </si>
  <si>
    <t>Ghassab Bin Mandeel</t>
  </si>
  <si>
    <t>Co-Founder, Chief Executive Officer &amp; Board Member</t>
  </si>
  <si>
    <t>ghassab@jahez.net</t>
  </si>
  <si>
    <t>King Abdullah Ibn Abdul Aziz Road</t>
  </si>
  <si>
    <t>King Salman District</t>
  </si>
  <si>
    <t>12444</t>
  </si>
  <si>
    <t>info@jahez.net</t>
  </si>
  <si>
    <t>164668-51</t>
  </si>
  <si>
    <t>Wataniya Insurance (SAU: 8300)</t>
  </si>
  <si>
    <t>Wataniya Insurance Co</t>
  </si>
  <si>
    <t>Wataniya Insurance Co provide general insurance and related services in accordance with its by-laws and applicable regulations in the Kingdom of Saudi Arabia. Its segments include Marine; Property; Motor Comprehensive; Motor Third Party Liability; Engineering; Accident &amp; liability; and Term life. It derives majority of the revenue from Motor Comprehensive segment that provides coverage against damages to vehicles due to storm, tempest, flood, fire, theft, and personal accident.</t>
  </si>
  <si>
    <t>Life and Health Insurance</t>
  </si>
  <si>
    <t>Automotive Insurance, Life and Health Insurance*, Re-Insurance</t>
  </si>
  <si>
    <t>general insurance, health insurance, insurance, insurance advisor, insurance management, insurance service, insurance service firm, insurance services</t>
  </si>
  <si>
    <t>2012: 81</t>
  </si>
  <si>
    <t>8300</t>
  </si>
  <si>
    <t>286493-59P</t>
  </si>
  <si>
    <t>Sohail Abbas</t>
  </si>
  <si>
    <t>s.abbas@wataniya.com.sa</t>
  </si>
  <si>
    <t>+966 (0)12 660 6200</t>
  </si>
  <si>
    <t>E.A. Juffali &amp; Brothers H.O. Building. Madina Road, before Emirate of Makkah Region</t>
  </si>
  <si>
    <t>P. O. Box 5832</t>
  </si>
  <si>
    <t>21432</t>
  </si>
  <si>
    <t>+966 (0)12 667 4530</t>
  </si>
  <si>
    <t>info@wataniya.com.sa</t>
  </si>
  <si>
    <t>489606-22</t>
  </si>
  <si>
    <t>Almunajem Foods (SAU: 4162)</t>
  </si>
  <si>
    <t>Almunajem Cold Stores Company</t>
  </si>
  <si>
    <t>Almunajem Foods Company</t>
  </si>
  <si>
    <t>Almunajem Foods is a food company engaged in the wholesale and retail trading of fruits, vegetables, cold and frozen poultry and meat, and caned, food products. Asmak, Coopoliva (Agro Sevilla), Dari, Doux, Fletcher, Lamb Weston, Marietta, Montana and others are some of the brands of the company. The Group operates in three regions in the Kingdom of Saudi Arabia, which are its reportable segments: Central region, Eastern and Northern regions, and Western and Southern regions.</t>
  </si>
  <si>
    <t>distribution firm, frozen food, frozen food chain, frozen food product, retail, supermarket</t>
  </si>
  <si>
    <t>2020: 1832</t>
  </si>
  <si>
    <t>4162</t>
  </si>
  <si>
    <t>320486-95P</t>
  </si>
  <si>
    <t>Saleh Almunajem</t>
  </si>
  <si>
    <t>+966 (0)11 475 5555</t>
  </si>
  <si>
    <t>7510 Takhassusi Street</t>
  </si>
  <si>
    <t>North Mathar District</t>
  </si>
  <si>
    <t>12334-3269</t>
  </si>
  <si>
    <t>89319-52</t>
  </si>
  <si>
    <t>Saudi Telecom Company (SAU: 7010)</t>
  </si>
  <si>
    <t>STC</t>
  </si>
  <si>
    <t>Saudi Telecom Company SJSC</t>
  </si>
  <si>
    <t>Etihad Etisalat (Mobily), Emirates Telecommunications Group, Emirates Integrated Telecommunications Company, Ooredoo Kuwait, Safaricom, Vodafone Idea, Telecom Argentina, AT&amp;T, Kyrgyztelecom, Atlant Telecom, Bharti Airtel Lanka, Companhia de Telecomunicacoes de Macau, Zain Group, Orange Moldova, Orange Communications Luxembourg, Airtel Nigeria, Kazakhtelecom, Airtel Gabon, Zamani Telecom, Frontier Communications Parent, Kalaam Telecom Bahrain, Telefónica UK, RCN Telecom Services, Telstra Group, EarthLink, Lebara, Orange România, Deutsche Telekom, Airtel Uganda, Orange Belgium, Airtel Australia, Bharti Airtel, Ooredoo Oman, Tunisie Telecom, Orange Egypt for Telecommunications, Airtel Networks Zambia, Spectrum Audio Visual, Odido, Orange RDC, Orange Tunisie, Mobitel (Telecommunications Service Providers), Verizon Communications, Telefónica El Salvador, Orange Uganda, Etisalat Nigeria, Dish Network, Telefonica Brasil, TopNet, Ooredoo Tunisia, Millicom International Cellular, Orange Austria Telecommunication, Airtel Malawi, Ooredoo Myanmar, Etisalat Lanka, Ericsson, Spectrum, KT, Ethio Telecom, Telecom Liechtenstein, Orange Madagascar, Cell C, Single Digits, Wataniya Palestine Mobile Telecommunications, Orange Slovensko, Telefónica Deutschland Holding, Brodynt, Cox Communications, Lebara Australia, Bahrain Telecommunications, Bear-Line, Seacom (Internet Service Providers), Telkom, Airtel Congo RDC, Lyca Mobile, Telefónica México, MTN Group, Telefónica, Wireless Logic, T-Mobile US, Singtel, Truphone, TIM, Oman Telecommunications Company, Telefónica del Perú, Vodacom Group, Thuraya Telecommunications, SK Telecom</t>
  </si>
  <si>
    <t>Saudi Telecom Co offers telecommunications, information and media services that establish, manage, operates and maintains fixed and mobile telecommunication networks and systems to customers. The company manufactures and markets devices, equipment, and components of different telecommunication networks including fixed, moving and special networks, and computer programs and the other intellectual properties. It is also engaged in real estate investment and the resulting activities, such as selling, buying, leasing, managing, developing and maintenance. The company principally earns its revenue from airtime usage, messaging, data services, interconnect fees, connection fees and device sales.</t>
  </si>
  <si>
    <t>Internet Service Providers, Telecommunications Service Providers*</t>
  </si>
  <si>
    <t>Manufacturing, TMT</t>
  </si>
  <si>
    <t>data services, telecommunication and internet, telecommunication management, telecommunication sector, telecommunication space, telephone services</t>
  </si>
  <si>
    <t>2011: 21190, 2012: 74</t>
  </si>
  <si>
    <t>7010</t>
  </si>
  <si>
    <t>146360-98P</t>
  </si>
  <si>
    <t>Ameen Alshiddi</t>
  </si>
  <si>
    <t>+966 (0)11 452 7000</t>
  </si>
  <si>
    <t>King Abdulaziz Complex</t>
  </si>
  <si>
    <t>Imam Mohammed Bin Saud Street Al Mursalat Area</t>
  </si>
  <si>
    <t>11652</t>
  </si>
  <si>
    <t>+966 (0)11 443 3530</t>
  </si>
  <si>
    <t>489398-86</t>
  </si>
  <si>
    <t>Group Five Pipe Saudi (SAU: 9523)</t>
  </si>
  <si>
    <t>Group Five Pipe Saudi Ltd.</t>
  </si>
  <si>
    <t>Group Five Pipe Saudi Co is engaged in the production of spiral pipe provider in the Middle East and it is based in the Kingdom of Saudi Arabia.</t>
  </si>
  <si>
    <t>Other Commercial Services*</t>
  </si>
  <si>
    <t>industrial supplies and parts, line pipes, pipes, steel, steel welded pipe distributor</t>
  </si>
  <si>
    <t>9523</t>
  </si>
  <si>
    <t>326096-11P</t>
  </si>
  <si>
    <t>Salah Abdulhadi Abdullah Al-Qahtani</t>
  </si>
  <si>
    <t>Vice Chairman &amp; Managing Director</t>
  </si>
  <si>
    <t>aabdullah@g5ps.com</t>
  </si>
  <si>
    <t>+966 (0)13 812 3110</t>
  </si>
  <si>
    <t>31492</t>
  </si>
  <si>
    <t>62399-53</t>
  </si>
  <si>
    <t>Nayifat Financing Company (SAU: 4081)</t>
  </si>
  <si>
    <t>Nayifat Instalment Company, Nayifat Installment Co.</t>
  </si>
  <si>
    <t>Nayifat Financing, Nayifat</t>
  </si>
  <si>
    <t>Nayifat Financing J.S.C.</t>
  </si>
  <si>
    <t>Nayifat Finance Co is a non-banking financial institution focused on serving the financing needs of individuals in the Kingdom. It performs financing activities such as consumer finance, credit card finance, SME finance. The company has three reportable segments namely, personal financing, SME Financing and Islamic credit cards. Key income is generated from Personal financing.</t>
  </si>
  <si>
    <t>Consumer Finance*, Other Financial Services, Specialized Finance</t>
  </si>
  <si>
    <t>loan calculator, non-banking financial institution, project financing, sme finance, structured financing, working capital financing</t>
  </si>
  <si>
    <t>2021: 540</t>
  </si>
  <si>
    <t>4081</t>
  </si>
  <si>
    <t>206196-04P</t>
  </si>
  <si>
    <t>Bandar Al Baiz</t>
  </si>
  <si>
    <t>Board Member &amp; Head of administration and Training</t>
  </si>
  <si>
    <t>bandar.albaiz@nayifat.com</t>
  </si>
  <si>
    <t>+966 (0)92 003 5666</t>
  </si>
  <si>
    <t>Makkah Al Mukarramah</t>
  </si>
  <si>
    <t>Branch Road</t>
  </si>
  <si>
    <t>info@nayifat.com</t>
  </si>
  <si>
    <t>484279-93</t>
  </si>
  <si>
    <t>AlArabia (SAU: 4071)</t>
  </si>
  <si>
    <t>Arabian Contracting Services Co.</t>
  </si>
  <si>
    <t>Arabian Contracting Services Co is an outdoor advertising solution provider, offering clients expertise across a multitude of platforms and disciplines. It is mainly engaged in establishing and operating outdoor advertising billboards, including roadside and indoor advertisements. The group's operating segments are Advertising and Others. The Advertising segment, which generates a majority of its revenue, is engaged in the provision of indoor and outdoor advertisements. The Others segment includes all types of printing work and retail sales by mail. Geographically, the group derives maximum revenue from its business in the Kingdom of Saudi Arabia, and also has a presence in the Arab Republic of Egypt and the United Arab Emirates.</t>
  </si>
  <si>
    <t>advertising, advertising site, advertising work</t>
  </si>
  <si>
    <t>2022: 258</t>
  </si>
  <si>
    <t>4071</t>
  </si>
  <si>
    <t>298093-24P</t>
  </si>
  <si>
    <t>Mohammad Albazz</t>
  </si>
  <si>
    <t>Finance Director</t>
  </si>
  <si>
    <t>m.albazz@al-arabia.com</t>
  </si>
  <si>
    <t>+966 (0)92 003 3343</t>
  </si>
  <si>
    <t>Olaya Towers</t>
  </si>
  <si>
    <t>Tower B, Floor 33 P.O.Box 55905</t>
  </si>
  <si>
    <t>info@al-arabia.com</t>
  </si>
  <si>
    <t>490018-96</t>
  </si>
  <si>
    <t>Al- Hasoob (SAU: 9522)</t>
  </si>
  <si>
    <t>Alhasoob Co.</t>
  </si>
  <si>
    <t>Alhasoob Co is engaged in the wholesale sale of computers and their accessories. Its product categories include Electronics, Monitors, Computer Accessories, Storage Devices, and Supplies.</t>
  </si>
  <si>
    <t>Computers, Parts and Peripherals, Distributors/Wholesale*</t>
  </si>
  <si>
    <t>computer wholesale, computer wholesaler, laptops</t>
  </si>
  <si>
    <t>9522</t>
  </si>
  <si>
    <t>Olaya Computer Market Behind Holiday Inn Hotel</t>
  </si>
  <si>
    <t>Riyadh Al Nakhelah Building Second Floor</t>
  </si>
  <si>
    <t>+966 (0)11 464 6242</t>
  </si>
  <si>
    <t>info@alhasoob.online</t>
  </si>
  <si>
    <t>494881-66</t>
  </si>
  <si>
    <t>Inma Al Rawabi (SAU: 9521)</t>
  </si>
  <si>
    <t>Inma Al Rawabi Investment and Real Estate Development Company</t>
  </si>
  <si>
    <t>Inmar Company For Real Estate Development And Investment, formerly Enma AlRawabi Co is engaged in the real estate investment and development market. The company has projects in the Residential Sector, Hospitality, Offices and business centers, Malls and shopping centers, Industrial Facilities, and Educational Projects. The company has two operating sectors that is commercial sector and the Residential sector. Key revenue and profits are generated from the Commercial sector.</t>
  </si>
  <si>
    <t>Buildings and Property*</t>
  </si>
  <si>
    <t>building maker, real estate, real estate market</t>
  </si>
  <si>
    <t>2021: 18</t>
  </si>
  <si>
    <t>9521</t>
  </si>
  <si>
    <t>FY 2021</t>
  </si>
  <si>
    <t>298090-81P</t>
  </si>
  <si>
    <t>Mohamed Saber Hamad</t>
  </si>
  <si>
    <t>mhamad@enmaalrwabi.com</t>
  </si>
  <si>
    <t>+966 (0)11 412 4004</t>
  </si>
  <si>
    <t>Prince Fahd bin Salman bin Abdulaziz Road</t>
  </si>
  <si>
    <t>An namudhajiyah Al-Murabba neighborhood Molding. 1203</t>
  </si>
  <si>
    <t>+966 (0)11 412 4500</t>
  </si>
  <si>
    <t>info@enmaalrwabi.com</t>
  </si>
  <si>
    <t>482011-84</t>
  </si>
  <si>
    <t>Solutions by STC (Systems and Information Management) (SAU: 7202)</t>
  </si>
  <si>
    <t>Arabian Internet and Communications Services, Qualitynet</t>
  </si>
  <si>
    <t>Zain Group, Telkom, Alpha Data UAE, China Telecom, Ooredoo Kuwait, Emirates Telecommunications Group, Airtel Uganda, NTT Docomo Business, CACI International, Capgemini, Bharti Airtel, Airtel Gabon</t>
  </si>
  <si>
    <t>Arabian Internet and Communications Services Co is an information and communication company. The company's revenue mainly comprises of Core ICT Services, IT Managed and Operational Services, and Digital Services. It derives the majority of its revenue from Core ICT Services.</t>
  </si>
  <si>
    <t>Internet Service Providers, Systems and Information Management*, Telecommunications Service Providers</t>
  </si>
  <si>
    <t>communication service, integrated technology solutions, internet service, security, telecommunication service, telecommunication service operator, telecommunication wireless</t>
  </si>
  <si>
    <t>2022: 1500</t>
  </si>
  <si>
    <t>7202</t>
  </si>
  <si>
    <t>306512-83P</t>
  </si>
  <si>
    <t>Fahad Alamoud</t>
  </si>
  <si>
    <t>+966 (0)11 525 1111</t>
  </si>
  <si>
    <t>PO Box 50</t>
  </si>
  <si>
    <t>+966 (0)11 460 1110</t>
  </si>
  <si>
    <t>164702-62</t>
  </si>
  <si>
    <t>Emaar, The Economic City (SAU: 4220)</t>
  </si>
  <si>
    <t>EEC, Emaar The Economic City, KAEC</t>
  </si>
  <si>
    <t>Emaar, The Economic City SJSC</t>
  </si>
  <si>
    <t>Emaar the Economic City JSC is a real estate development and management company. The main activity of the company is the development of the King Abdullah Economic City (KAEC). It is also engaged in the development of real estate in the economic and other zones and other development activities, including infrastructures, promotion, marketing and sale of land within development areas, development of buildings and housing units, and construction on behalf of other parties. The company's reportable segments includes Residential business, Industrial development, Hospitality and leisure, Education services, and City operations. Key revenue is derived from its Residential business segment which includes revenue from sale/lease rental income of land and units for residential purposes.</t>
  </si>
  <si>
    <t>Construction and Engineering*, Other Commercial Services, Real Estate Services (B2C)</t>
  </si>
  <si>
    <t>city development, infrastructure construction, infrastructure services management, property industry, real estate, real estate property development, smart city</t>
  </si>
  <si>
    <t>2011: 118, 2012: 120</t>
  </si>
  <si>
    <t>4220</t>
  </si>
  <si>
    <t>426324-16P</t>
  </si>
  <si>
    <t>Abdulaziz Ibrahim Alnowaiser</t>
  </si>
  <si>
    <t>a.alnowaiser@kaec.net</t>
  </si>
  <si>
    <t>+966 (0)12 510 6872</t>
  </si>
  <si>
    <t>King Abdullah Economic City, Saudi Arabia</t>
  </si>
  <si>
    <t>Unit 1, Prince Sultan Street, BayLaSun</t>
  </si>
  <si>
    <t>P.O.Box 8299</t>
  </si>
  <si>
    <t>King Abdullah Economic City</t>
  </si>
  <si>
    <t>21482</t>
  </si>
  <si>
    <t>497635-39</t>
  </si>
  <si>
    <t>Natural Gas Dist (SAU: 9516)</t>
  </si>
  <si>
    <t>Natural Gas Distribution Co</t>
  </si>
  <si>
    <t>Natural Gas Distribution Co is engaged in the operation and maintenance of natural gas networks in the second industrial city and industrial cities in the Kingdom. The company's business is to supply the factories located in the second industrial city in Riyadh. It is supplied with natural gas from Saudi Aramco through a main pipeline.</t>
  </si>
  <si>
    <t>Gas Utilities</t>
  </si>
  <si>
    <t>Gas Utilities*</t>
  </si>
  <si>
    <t>natural gas company, natural gas distribution, natural gas supplier</t>
  </si>
  <si>
    <t>2021: 24</t>
  </si>
  <si>
    <t>9516</t>
  </si>
  <si>
    <t>303195-61P</t>
  </si>
  <si>
    <t>AbdalFattah Mohammad AbdalFattah AbdalRahim</t>
  </si>
  <si>
    <t>Al-Kharj Road</t>
  </si>
  <si>
    <t>482069-26</t>
  </si>
  <si>
    <t>Shatirah House Restaurant (SAU: 6016)</t>
  </si>
  <si>
    <t>Shatirah House Restaurant Co.</t>
  </si>
  <si>
    <t>Kudu</t>
  </si>
  <si>
    <t>Shatirah House Restaurant Co deals with fast food activities, including (pizza restaurants). The company operates in a single segment which is selling fast food restaurants completely within the Kingdom of Saudi Arabia.</t>
  </si>
  <si>
    <t>Food Products*, Restaurants and Bars</t>
  </si>
  <si>
    <t>burgers, fast food chain, restaurant</t>
  </si>
  <si>
    <t>2022: 1099</t>
  </si>
  <si>
    <t>6016</t>
  </si>
  <si>
    <t>326218-78P</t>
  </si>
  <si>
    <t>Mohammed Al Kaoud</t>
  </si>
  <si>
    <t>+966 (0)11 520 0999</t>
  </si>
  <si>
    <t>Post Office Box 7277</t>
  </si>
  <si>
    <t>Aloyaynah Street, Dhahrat Laban</t>
  </si>
  <si>
    <t>12562</t>
  </si>
  <si>
    <t>+966 (0)11 520 0998</t>
  </si>
  <si>
    <t>info@burgerizzr.com</t>
  </si>
  <si>
    <t>164704-51</t>
  </si>
  <si>
    <t>Axa Cooperative Insurance (SAU: 8250)</t>
  </si>
  <si>
    <t>Axa Cooperative Insurance Co.</t>
  </si>
  <si>
    <t>Gulf Insurance Group operates in the insurance industry. The company's line of business includes health, motor, marine, property, engineering, accident, liability, and protection insurance. It has various segments which include Motor, Property and Casualty, Health, and Protection. The majority of the revenue is generated from its Motor insurance segment which is intended to compensate the policyholder for damage to the vehicle or liability to third parties due to an accident.</t>
  </si>
  <si>
    <t>automobile insurance, cooperative insurance, health insurance, insurance, insurance firm, insurance services</t>
  </si>
  <si>
    <t>2011: 163000, 2012: 700</t>
  </si>
  <si>
    <t>8250</t>
  </si>
  <si>
    <t>Gulf Insurance Group</t>
  </si>
  <si>
    <t>247161-25P</t>
  </si>
  <si>
    <t>Babar Khan</t>
  </si>
  <si>
    <t>Chief Financial Officer &amp; Deputy CEO</t>
  </si>
  <si>
    <t>babar.khan@gig.sa</t>
  </si>
  <si>
    <t>Kanoo Tower, King Abdul Aziz Road 2nd Floor</t>
  </si>
  <si>
    <t>Post Office Box 753</t>
  </si>
  <si>
    <t>481357-90</t>
  </si>
  <si>
    <t>Banan Real Estate (SAU: 4324)</t>
  </si>
  <si>
    <t>Banan Real Estate Co</t>
  </si>
  <si>
    <t>Banan Real Estate Co is engaged in the field of investment and development of income-generating real estate. The main activity of the company is the management and leasing of commercial and residential real estate and managing and operating hotels, managing real estate for commissions and providing real estate registration services. Geographically company derives its revenue from Saudi Arabia.</t>
  </si>
  <si>
    <t>leased real estate, leasing, leasing rent, real estate, real estate management, real estate owner</t>
  </si>
  <si>
    <t>4324</t>
  </si>
  <si>
    <t>326158-03P</t>
  </si>
  <si>
    <t>Mohammed Khashabah</t>
  </si>
  <si>
    <t>+966 (0)11 480 8085</t>
  </si>
  <si>
    <t>At Takhassusi Street</t>
  </si>
  <si>
    <t>BD NO 7120</t>
  </si>
  <si>
    <t>+966 (0)11 480 1457</t>
  </si>
  <si>
    <t>469341-82</t>
  </si>
  <si>
    <t>Tanmiah Food (SAU: 2281)</t>
  </si>
  <si>
    <t>Tanmiah Food Co.</t>
  </si>
  <si>
    <t>Almarai, Ornua, Agthia Group, The J.M. Smucker Company, Al Ain Farms, Saputo Dairy UK, Lindt &amp; Sprüngli, Synlait Milk, Ferrara Candy Company, Kellanova, Arla Foods, Saudia Dairy &amp; Foodstuff, First Milk, Parmalat, Dairygold, Saputo, Al-Rawabi Dairy Company, Tootsie Roll Industries, Tillamook, Fonterra Co-operative Group, Ferrero International, Baladna</t>
  </si>
  <si>
    <t>Tanmiah Food Co produces and markets ready-to-cook, ready-to-eat, and bespoke poultry, turkey, and beef products. Its Business is engaged in the food and agriculture business, which includes manufacturing, wholesale and retail trading in foodstuffs, preparation of animal and poultry feeds for commercial purposes, construction of poultry farms, retail and wholesale trading in poultry equipment, and restaurant outlets with related services. The Group operates principally in a single business segment of Agriculture and Food business, which includes the manufacturing and distribution of fresh and processed poultry and poultry-related products. Geographically, it operates in the Kingdom of Saudi Arabia, the Kingdom of Bahrain, the UAE, and other GCC countries.</t>
  </si>
  <si>
    <t>agricultural product, beef products, farm products, meat products, poultry product</t>
  </si>
  <si>
    <t>2281</t>
  </si>
  <si>
    <t>288520-30P</t>
  </si>
  <si>
    <t>Ahmed Osilan</t>
  </si>
  <si>
    <t>ahmed.osilan@tanmiah.com</t>
  </si>
  <si>
    <t>+966 (0)92 001 0100</t>
  </si>
  <si>
    <t>King Fahad Street, Building Number 7292</t>
  </si>
  <si>
    <t>Ar Rahmaniyah District -4253</t>
  </si>
  <si>
    <t>12341</t>
  </si>
  <si>
    <t>+966 (0)11 291 9863</t>
  </si>
  <si>
    <t>info@tanmiah.com</t>
  </si>
  <si>
    <t>471715-03</t>
  </si>
  <si>
    <t>Canadian Medical Center (SAU: 4021)</t>
  </si>
  <si>
    <t>Canadian Medical Center Co.</t>
  </si>
  <si>
    <t>Canadian Medical Center Co is a provider of emergency medical care solutions and integrated healthcare services management. The company offers a wide range of medical services, including operating on-site clinics, medical coverage for events and projects, and ambulance transportation services supported by a fleet of modern ambulances and trained and licensed medical teams. Its services include Medical Centers, Medical Support At Onshore And Offshore Sites, Medical Support At Construction Sites, Medical Support At Industrial Sites, Medical Coverage For Events, Ambulance Services, Home Health Care, Medical Training, Medical Examinations, and Ambulance Transports.</t>
  </si>
  <si>
    <t>Clinics/Outpatient Services</t>
  </si>
  <si>
    <t>Clinics/Outpatient Services*</t>
  </si>
  <si>
    <t>beauty care, dermatology, hospital, hospital chain, wellness care</t>
  </si>
  <si>
    <t>2022: 393</t>
  </si>
  <si>
    <t>4021</t>
  </si>
  <si>
    <t>326163-07P</t>
  </si>
  <si>
    <t>Sayed Albsat</t>
  </si>
  <si>
    <t>+966 (0)13 818 8320</t>
  </si>
  <si>
    <t>Omar bin al Khattab</t>
  </si>
  <si>
    <t>Street-Uhud -Dammam</t>
  </si>
  <si>
    <t>invest@canadian-mc.com</t>
  </si>
  <si>
    <t>481374-46</t>
  </si>
  <si>
    <t>MOBI Industry (SAU: 9517)</t>
  </si>
  <si>
    <t>National Fertilizer</t>
  </si>
  <si>
    <t>MOBI Industry Co</t>
  </si>
  <si>
    <t>MOBI Industry Co is engaged in the manufacture of fertilizers and nitrogenous compounds, the manufacture of phosphate and potash fertilizers, the manufacture of plastics in their primary forms, the manufacture of household insect and rodenticides, the manufacture of soap in all its forms, including (paste, liquid, dry), the manufacture of shampoos and industrial detergents, Manufacture of floor, glass, and furniture polishes and scouring powders, manufacture of washing and cleaning materials and preparations, manufacture of preparations for perfuming rooms and removing odors, and manufacturing of bottles of various forms of plastics. Its segment includes Fertilizers and Detergent.</t>
  </si>
  <si>
    <t>chemical fertilizers, detergents, plastic production</t>
  </si>
  <si>
    <t>2022: 347</t>
  </si>
  <si>
    <t>9517</t>
  </si>
  <si>
    <t>22 Second Industrial City Street</t>
  </si>
  <si>
    <t>+966 (0)11 265 2266</t>
  </si>
  <si>
    <t>+966 (0)11 265 1327</t>
  </si>
  <si>
    <t>513196-39</t>
  </si>
  <si>
    <t>Mohammed Hasan Al Naqool Sons (SAU: 9514)</t>
  </si>
  <si>
    <t>Mohammed Hasan Al Naqool Sons is engaged in the manufacturing and production of ready-mixed concrete.</t>
  </si>
  <si>
    <t>concrete block manufacturer, concrete industry, ready-mixed concrete</t>
  </si>
  <si>
    <t>9514</t>
  </si>
  <si>
    <t>Dammam 2nd Industrial City</t>
  </si>
  <si>
    <t>34353</t>
  </si>
  <si>
    <t>+966 (0)59 316 6640</t>
  </si>
  <si>
    <t>+966 (0)13 841 3553</t>
  </si>
  <si>
    <t>info@alnaqool.com</t>
  </si>
  <si>
    <t>482476-24</t>
  </si>
  <si>
    <t>Fesh Fash Snack Food Production (SAU: 9515)</t>
  </si>
  <si>
    <t>Fesh Fash Food Factory Unlimited Liability Company, AlHumaid and AlNujaidi unlimited liability Company, AlHumald and AlMohawk Company, Hamad AI Mubarak and Ibrahim N Muhawis Unlimited Liability Company</t>
  </si>
  <si>
    <t>Fesh Fash Snack Food Production Co.</t>
  </si>
  <si>
    <t>Fesh Fash Snack Food Production Co is engaged in the manufacture and production of puffy corn, Puffy potato and Natural potato chips. The company owns production lines for food snacks :Corn puffs production lines (Fish Fash, Cooorah, and Mini Cooorah), Natural potato chips production lines (Zizo, Fish Fash Chips, and Mini Sticks), Potato pellets production lines (Garameesh). Its products include Fesh Fash, Fesh Fash Family, Garameesh, Garameesh Family, Chips, Family Chips, Mini Sticks, Mini Cooora, Cooora Family, Zizo Chips, Zizo Family Chips, Duplex Boxes, Garameesh Caps, Garameesh Caps Family.</t>
  </si>
  <si>
    <t>food manufacturer, package foodstuffs, snack food</t>
  </si>
  <si>
    <t>2022: 108</t>
  </si>
  <si>
    <t>9515</t>
  </si>
  <si>
    <t>326242-27P</t>
  </si>
  <si>
    <t>Najeb Humaid</t>
  </si>
  <si>
    <t>nhumaid@feshfashfood.com</t>
  </si>
  <si>
    <t>+966 (0)11 498 1916</t>
  </si>
  <si>
    <t>KSA Riyadh 14331-7707 Unit Number 3893 2nd Industrial City New 173 3893 KSA P.O.Box 90</t>
  </si>
  <si>
    <t>11623</t>
  </si>
  <si>
    <t>+966 (0)11 498 1451</t>
  </si>
  <si>
    <t>info@feshfashfood.com</t>
  </si>
  <si>
    <t>59171-14</t>
  </si>
  <si>
    <t>Theeb Rent a Car (SAU: 4261)</t>
  </si>
  <si>
    <t>Theeb</t>
  </si>
  <si>
    <t>Theeb Rent a Car Co.</t>
  </si>
  <si>
    <t>Theeb Car Rental Co is engaged in car rental and leasing. The company operates in three segments namely: Short term lease; Long term lease; and Car sales. The short-term lease segment represents activities involving the leasing of cars to customers under short-term rental arrangements (daily and monthly). The long-term lease segment represents activities involving the leasing of cars to customers under medium to longer-term operating lease arrangements. Car sales represent the sales of vehicles that were previously held as a part of the lease or rental fleet. The company derives the majority of its revenue from Long term lease segment.</t>
  </si>
  <si>
    <t>Automotive*, Road</t>
  </si>
  <si>
    <t>car rental, car rental service, car rental service provider, commercial cars rent, distinguished fleet of car, rental services</t>
  </si>
  <si>
    <t>2013: 900</t>
  </si>
  <si>
    <t>4261</t>
  </si>
  <si>
    <t>54207-73P</t>
  </si>
  <si>
    <t>Mohammed Ahmed al-Theeb</t>
  </si>
  <si>
    <t>+966 (0)11 493 9222</t>
  </si>
  <si>
    <t>P.O. Box 9551</t>
  </si>
  <si>
    <t>+966 (0)11 492 0171</t>
  </si>
  <si>
    <t>info@theeb.com.sa</t>
  </si>
  <si>
    <t>465666-76</t>
  </si>
  <si>
    <t>Alkhorayef Water &amp; Power Technologies (SAU: 2081)</t>
  </si>
  <si>
    <t>Alkhorayef Water and Power Technologies Co.</t>
  </si>
  <si>
    <t>Alkhorayef Water &amp; Power Technologies is engaged in contracting for buildings, roads, industrial, mechanical, marine and electrical works, cleaning of buildings and cities, operation and maintenance of medical centers, hospitals, airports, and waste disposal, and environmental pollution control. Its business consists of three business divisions: Water segment, Wastewater segment, and the Integrated water solutions segment. The company derives maximum revenue from the Integrated Water Solutions segment. The company provides services including water withdrawal and treatment, water networks, wastewater networks, wastewater treatment, city management, stormwater network and lifting stations, and water management services.</t>
  </si>
  <si>
    <t>Environmental Services (B2B)*, Industrial Supplies and Parts</t>
  </si>
  <si>
    <t>wastewater treatment, wastewater treatment plant, water lines, water network provider, water treatment services</t>
  </si>
  <si>
    <t>2020: 4215, 2022: 5000</t>
  </si>
  <si>
    <t>2081</t>
  </si>
  <si>
    <t>326279-80P</t>
  </si>
  <si>
    <t>Rami Moussilli</t>
  </si>
  <si>
    <t>rmoussilli@awpt.com.sa</t>
  </si>
  <si>
    <t>+966 (0)11 478 6161</t>
  </si>
  <si>
    <t>+966 (0)11 477 5439</t>
  </si>
  <si>
    <t>info.aps@alkhorayef.com</t>
  </si>
  <si>
    <t>466201-72</t>
  </si>
  <si>
    <t>Watani Iron Steel (SAU: 9513)</t>
  </si>
  <si>
    <t>Watani Iron Steel Co.</t>
  </si>
  <si>
    <t>Watani Iron Steel Co is engaged in the manufacture of primary iron products in the form of blocks of substrates and waste after being melted, as well as the manufacture of sheet plates, strip coils, bar bars, wire corners, and clips of all shapes.</t>
  </si>
  <si>
    <t>Iron and Steel Mining</t>
  </si>
  <si>
    <t>Iron and Steel Mining*, Other Metals, Minerals and Mining</t>
  </si>
  <si>
    <t>iron and steel, steel, steel company</t>
  </si>
  <si>
    <t>9513</t>
  </si>
  <si>
    <t>326398-33P</t>
  </si>
  <si>
    <t>Muhammad Al-Manhrawi</t>
  </si>
  <si>
    <t>mmanhrawi@wataniasteel.com</t>
  </si>
  <si>
    <t>+966 (0)11 252 4444</t>
  </si>
  <si>
    <t>Riyadh Heet Alkharj Road P.O. 355355</t>
  </si>
  <si>
    <t>+966 (0)11 252 4401</t>
  </si>
  <si>
    <t>wis@watanissteel.sa</t>
  </si>
  <si>
    <t>164702-17</t>
  </si>
  <si>
    <t>SABIC Agri-Nutrients (SAU: 2020)</t>
  </si>
  <si>
    <t>Saudi Arabian Fertilizers</t>
  </si>
  <si>
    <t>SAFCO</t>
  </si>
  <si>
    <t>SABIC Agri-Nutrients, Co.</t>
  </si>
  <si>
    <t>SABIC Agri-Nutrient Co is engaged in the production, conversion, manufacturing, and trade of agri-nutrients and chemical products. Also, the Company is engaged in the marketing of agri-nutrient products of all types inside and outside KSA. The Group is organised into two segments; The Agri-Nutrients and The Petrochemicals. The majority of revenue is derived from the Agri-Nutrients segment.</t>
  </si>
  <si>
    <t>Agricultural Chemicals*</t>
  </si>
  <si>
    <t>ammonia product, fertilizer manufacturing, fertilizers, manufacturer, manufacturing, urea manufacturer, urea products</t>
  </si>
  <si>
    <t>2011: 1046, 2012: 1024</t>
  </si>
  <si>
    <t>2020</t>
  </si>
  <si>
    <t>Saudi Basic Industries</t>
  </si>
  <si>
    <t>291174-31P</t>
  </si>
  <si>
    <t>Abdulrahman Shamsaddin</t>
  </si>
  <si>
    <t>ashamsaddin@sabic-agrinutrients.com</t>
  </si>
  <si>
    <t>+966 (0)13 340 6621</t>
  </si>
  <si>
    <t>Post Office Box 11044</t>
  </si>
  <si>
    <t>+966 (0)13 341 2367</t>
  </si>
  <si>
    <t>152511-49</t>
  </si>
  <si>
    <t>Bindawood (SAU: 4161)</t>
  </si>
  <si>
    <t>BinDawood Group of Companies</t>
  </si>
  <si>
    <t>MYDIN</t>
  </si>
  <si>
    <t>Bin Dawood Holding is the grocery retail operator of hypermarkets and supermarkets in Saudi Arabia. The company's Stores comprise trading of FMCG, fresh Food Products, and Non-Food Products, including household consumable items, as well as the ownership and management of in-store bakeries. The company also engaged in the retail trading of foodstuff and household items, operating bakeries and restaurants, providing information technology and communication services, providing delivery, storage, and transportation services, acquiring and managing investments, and providing market influencing and digital marketing services.</t>
  </si>
  <si>
    <t>Department Stores*</t>
  </si>
  <si>
    <t>departmental stores, retail chain network, retail market, supermarket, superstore chain</t>
  </si>
  <si>
    <t>2016: 7000, 2020: 10000, 2021: 10000</t>
  </si>
  <si>
    <t>4161</t>
  </si>
  <si>
    <t>240770-89P</t>
  </si>
  <si>
    <t>Salim Patka</t>
  </si>
  <si>
    <t>salim.patka@bindawood.com</t>
  </si>
  <si>
    <t>+966 (0)12 605 3557</t>
  </si>
  <si>
    <t>Al-Madinah Al-Munawarah Road</t>
  </si>
  <si>
    <t>Al Naeem</t>
  </si>
  <si>
    <t>21530</t>
  </si>
  <si>
    <t>cs@bindawood.com</t>
  </si>
  <si>
    <t>164707-12</t>
  </si>
  <si>
    <t>Banque Saudi Fransi (SAU: 1050)</t>
  </si>
  <si>
    <t>BSF</t>
  </si>
  <si>
    <t>Banque Saudi Fransi SJSC</t>
  </si>
  <si>
    <t>Riyad Bank, Arab National Bank, Saudi Awwal Bank, Saudi National Bank, Commercial Bank International, Al Rajhi Banking and Investment, The Federal Bank, IDBI Bank, RBL Bank, Lloyds Banking Group, NatWest Group, Canara Bank, Bank of India, Indian Overseas Bank, Commercial Bank of Dubai, Punjab National Bank, Bandhan Bank, United Arab Bank, IDFC First Bank, Indian Bank, Dhanlaxmi Bank, City Union Bank, Bank AlJazira, Samba Financial Group, Standard Chartered Bank Kenya, Sasfin Holdings, ABN AMRO Bank, The Royal Bank of Scotland (Malaysia), Dubai Islamic Bank, The National Bank of Ras Al Khaimah, YES Bank, Bank of America, IndusInd Bank, Williams &amp; Glyn Bank, Axis Bank, Bank of India ( Botswana ), Kotak Mahindra Bank, Sharjah Islamic Bank, HSBC Holdings, Jordan Ahli Bank, Arab Banking, Banco Santander, Bank of Baroda, Banco Santander Peru, HDFC Bank, Lakshmi Vilas Bank, State Bank of India, Arab Bank, ICICI Bank</t>
  </si>
  <si>
    <t>Banque Saudi Fransi is a full-service Bank that includes Islamic products, which are approved and supervised by an independent Shariah Board. It is engaged in brokerage, asset management, and corporate finance business. The operating segment of the Bank is classified as Retail Banking, Corporate Banking, Treasury, Investment banking and brokerage. The company generates the majority of its revenues from the Retail Banking segment.</t>
  </si>
  <si>
    <t>banking service company, banking service provider, banking services, banking services and product, cash management, commercial banking service, corporate banking</t>
  </si>
  <si>
    <t>2011: 2681, 2012: 2677, 2013: 2988, 2014: 3085, 2015: 3207, 2016: 3233, 2017: 3072, 2018: 3027, 2019: 2998, 2020: 2881, 2021: 2997, 2022: 3105, 2023: 2997, 2024: 3056, 2025: 3117</t>
  </si>
  <si>
    <t>1050</t>
  </si>
  <si>
    <t>329582-26P</t>
  </si>
  <si>
    <t>Ramzi Darwish</t>
  </si>
  <si>
    <t>Chief Financial Officer &amp; Chief Strategy Officer</t>
  </si>
  <si>
    <t>ramzi.darwish@bsf.sa</t>
  </si>
  <si>
    <t>+966 (0)11 289 9999</t>
  </si>
  <si>
    <t>PO Box 56006</t>
  </si>
  <si>
    <t>11554</t>
  </si>
  <si>
    <t>+966 (0)11 404 2311</t>
  </si>
  <si>
    <t>info@alfransi.com.sa</t>
  </si>
  <si>
    <t>458150-14</t>
  </si>
  <si>
    <t>Riyadh Cement (SAU: 3092)</t>
  </si>
  <si>
    <t>Saudi White Cement Co, Saudi White Cement</t>
  </si>
  <si>
    <t>Riyadh Cement Co.</t>
  </si>
  <si>
    <t>Riyadh Cement Co is engaged in the production and selling of cement. The company manufactures cement, white cement, gray cement, clinker, portland cement, and other materials. Geographically it is diversified in Qatar, Kuwait, Yemen, Bahrain, Oman, Iraq and Kingdom of Saudi Arabia.</t>
  </si>
  <si>
    <t>cement, construction material, manufacturing, white cement</t>
  </si>
  <si>
    <t>2022: 580</t>
  </si>
  <si>
    <t>3092</t>
  </si>
  <si>
    <t>282803-50P</t>
  </si>
  <si>
    <t>Naseer Aqeel</t>
  </si>
  <si>
    <t>+966 (0)11 261 1888</t>
  </si>
  <si>
    <t>AL Imam Saud Ibn Abdul Aziz Ibn Mohammad Road</t>
  </si>
  <si>
    <t>11494</t>
  </si>
  <si>
    <t>+966 (0)11 261 1761</t>
  </si>
  <si>
    <t>ir@riyadhcement.com.sa</t>
  </si>
  <si>
    <t>164701-54</t>
  </si>
  <si>
    <t>Saudi Awwal Bank (SAU: 1060)</t>
  </si>
  <si>
    <t>Saudi British Bank</t>
  </si>
  <si>
    <t>SAB</t>
  </si>
  <si>
    <t>Saudi Awwal Bank JSC</t>
  </si>
  <si>
    <t>Arab National Bank, Riyad Bank, Banque Saudi Fransi, Bank Albilad, Saudi National Bank, Al Rajhi Banking and Investment, Emirates NBD Bank, Bank AlJazira, Commercial Bank of Dubai, Commercial Bank International, United Arab Bank, Lloyds Banking Group, Dubai Islamic Bank, Samba Financial Group, Saigon - Hanoi Commercial Bank, YES Bank, Axis Bank, State Bank of India, Arab Bank</t>
  </si>
  <si>
    <t>Saudi British Bank provides integrated banking products and services to both retail and corporate sectors in Saudi Arabia. The company's banking services include Personal, Commercial, Corporate, Private, and Islamic Banking, Investment, Treasury and Trade Services, and Credit and ATM Cards. It operates in five business segments: Wealth and Personal Banking; Corporate and Institutional Banking; Treasury; Capital Markets and Others.</t>
  </si>
  <si>
    <t>commercial banking, financial facility, financial services, personal banking, private banking, wealth management</t>
  </si>
  <si>
    <t>2011: 3389, 2012: 3049, 2013: 3158, 2014: 3314, 2015: 3451, 2016: 3317, 2017: 3263, 2018: 3771, 2019: 5865, 2020: 4156, 2021: 5116, 2022: 4827, 2023: 5105, 2024: 5465</t>
  </si>
  <si>
    <t>1060</t>
  </si>
  <si>
    <t>84315-61P</t>
  </si>
  <si>
    <t>Lama Ghazzaoui</t>
  </si>
  <si>
    <t>l.ghazzaoui@alahli.com</t>
  </si>
  <si>
    <t>7383 King Fahad Branch Road</t>
  </si>
  <si>
    <t>2338 Al Yasmeen District</t>
  </si>
  <si>
    <t>13325</t>
  </si>
  <si>
    <t>+966 (0)11 405 0677</t>
  </si>
  <si>
    <t>info@sab.com</t>
  </si>
  <si>
    <t>180259-66</t>
  </si>
  <si>
    <t>Amlak International (SAU: 1182)</t>
  </si>
  <si>
    <t>Amlak International Investment WLL</t>
  </si>
  <si>
    <t>Amlak International Finance Co is engaged in the business of providing finance for real estate activities. It serves customers in Saudi Arabia. It operates through the following business segments Retail: These represent finance products granted to small and medium sized businesses under self- employed category and individuals; Corporate:These represent financing products granted to corporate, SMEs, high net worth individuals and institutional customers; and Head office: Head office is responsible for managing the surplus liquidity of the Group through short term market placements. It also provides support services to the business functions.. It derives maximum revenue from the Corporate Segment.</t>
  </si>
  <si>
    <t>Thrifts and Mortgage Finance</t>
  </si>
  <si>
    <t>Thrifts and Mortgage Finance*</t>
  </si>
  <si>
    <t>corporate financing, financing services, mortgage finance, real estate, real estate finance, real estate financing</t>
  </si>
  <si>
    <t>1182</t>
  </si>
  <si>
    <t>161916-13P</t>
  </si>
  <si>
    <t>Abdullah Al Sudairy</t>
  </si>
  <si>
    <t>aalsudairy@amlakint.com</t>
  </si>
  <si>
    <t>+966 (0)11 299 8700</t>
  </si>
  <si>
    <t>Ryadh, Saudi Arabia</t>
  </si>
  <si>
    <t>Al Rabee Avenue</t>
  </si>
  <si>
    <t>Al Takhasousy Street</t>
  </si>
  <si>
    <t>Ryadh</t>
  </si>
  <si>
    <t>+966 (0)11 463 5090</t>
  </si>
  <si>
    <t>info@amlakint.com</t>
  </si>
  <si>
    <t>164704-69</t>
  </si>
  <si>
    <t>Bupa Arabia (SAU: 8210)</t>
  </si>
  <si>
    <t>Bupa Arabia for Cooperative Insurance Co.</t>
  </si>
  <si>
    <t>Bupa Arabia for Cooperative Insurance Co is a special-purpose insurance company based in Saudi Arabia. The Company issues short-term insurance contracts for providing health care services (medical insurance). All the insurance operations of the Group are carried out in the Kingdom of Saudi Arabia. The Company underwrites medical insurance only. Its segments include Corporate and Small and Medium Enterprises &amp; Others.</t>
  </si>
  <si>
    <t>Commercial/Professional Insurance, Life and Health Insurance*</t>
  </si>
  <si>
    <t>health insurance, health insurance product, health planning, insurance, medical insurance product, medical insurance provider</t>
  </si>
  <si>
    <t>2011: 285, 2012: 300</t>
  </si>
  <si>
    <t>8210</t>
  </si>
  <si>
    <t>58292-11P</t>
  </si>
  <si>
    <t>Tal Nazer</t>
  </si>
  <si>
    <t>tal.nazer@bupa.com.sa</t>
  </si>
  <si>
    <t>3538 Alkhalideya</t>
  </si>
  <si>
    <t>Noor Elihsan, Unit 1</t>
  </si>
  <si>
    <t>75052-3423</t>
  </si>
  <si>
    <t>153332-11</t>
  </si>
  <si>
    <t>Saudi Basic Industries (SAU: 2010)</t>
  </si>
  <si>
    <t>SABIC</t>
  </si>
  <si>
    <t>Saudi Basic Industries Corporation</t>
  </si>
  <si>
    <t>Avient, EMS-Chemie Holding, Enlightify, BASF, CVR Partners, Eastman Chemical, Yara International, Nutrien, Gazprom neftekhim Salavat, CF Industries Holdings, Clariant International, LyondellBasell Industries, Arkema, Nufarm, CEPSA Química Bécancour, Versalis (Italy), OXEA, Minerals Technologies, INEOS Group, Toray Industries, Air Products and Chemicals, SRF, Celanese, Solvay, OMNOVA Solutions, Dow AgroSciences, American Vanguard</t>
  </si>
  <si>
    <t>Saudi Basic Industries Corp is a chemicals manufacturer in Saudi Arabia. The primary business segments of the company are Petrochemicals and Agri-nutrients. In Petrochemicals segment products are produced from hydrocarbon feedstock including methane, ethane, and propane, it also includes the production of a range of fertilisers; including urea, ammonia, phosphate, as well as compound fertilisers. The Hadeed is concerned with production of steel products, long products and flat products. The company derives maximum revenue from Petrochemicals segment. Geographically, it generates maximum revenue from Europe.</t>
  </si>
  <si>
    <t>Agricultural Chemicals*, Industrial Chemicals</t>
  </si>
  <si>
    <t>agricultural chemicals, agro chemicals, chemical manufacturer, chemical manufacturer company, intermediate chemicals, styrene monomer</t>
  </si>
  <si>
    <t>2011: 33000, 2012: 33000, 2013: 40000, 2014: 40000, 2015: 40000, 2016: 35000, 2017: 34000, 2018: 34000, 2020: 33000, 2022: 31000</t>
  </si>
  <si>
    <t>2010</t>
  </si>
  <si>
    <t>233240-68P</t>
  </si>
  <si>
    <t>Khalid Al Dabbagh</t>
  </si>
  <si>
    <t>aldabbaghk@sabic.com</t>
  </si>
  <si>
    <t>+966 (0)11 225 8000</t>
  </si>
  <si>
    <t>Airport Road, Qordoba</t>
  </si>
  <si>
    <t>11422</t>
  </si>
  <si>
    <t>+966 (0)11 225 9000</t>
  </si>
  <si>
    <t>info@sabic.com</t>
  </si>
  <si>
    <t>435079-00</t>
  </si>
  <si>
    <t>Sumou Real Estate (SAU: 4323)</t>
  </si>
  <si>
    <t>Sumou Real Estate Co</t>
  </si>
  <si>
    <t>Sumou Real Estate Co engaged in representing in the general construction of residential buildings, the general construction of non-residential buildings, including (schools, hospitals, hotels, etc.) construction of airports and their facilities, construction of prefabricated buildings, on-site, renovations, of residential and non-residential buildings, purchase and sale of land and real estate and its division, and off plan sale activities.</t>
  </si>
  <si>
    <t>Buildings and Property, Real Estate Services (B2C)*</t>
  </si>
  <si>
    <t>development, investment, property development, real estate, real estate company, real estate company operator, real estate system</t>
  </si>
  <si>
    <t>2016: 61</t>
  </si>
  <si>
    <t>4323</t>
  </si>
  <si>
    <t>327455-20P</t>
  </si>
  <si>
    <t>Jarallah Amrah</t>
  </si>
  <si>
    <t>jamrah@sumou.com.sa</t>
  </si>
  <si>
    <t>+966 (0)13 887 8888</t>
  </si>
  <si>
    <t>Kingdom of Saudi Arabia, Saudi Arabia</t>
  </si>
  <si>
    <t>Al Khobar - Prince Turki Bin Abdulaziz Street</t>
  </si>
  <si>
    <t>Sumou Tower 7th Floor, 250 Al Khobar</t>
  </si>
  <si>
    <t>Kingdom of Saudi Arabia</t>
  </si>
  <si>
    <t>+966 (0)13 887 8080</t>
  </si>
  <si>
    <t>info@sumou.com.sa</t>
  </si>
  <si>
    <t>433337-41</t>
  </si>
  <si>
    <t>Dr Sulaiman Al Habib (SAU: 4013)</t>
  </si>
  <si>
    <t>Dr Sulaiman Al Habib Medical Services Group</t>
  </si>
  <si>
    <t>Middle East Healthcare Company, Mouwasat Medical Services, Mediclinic International, Emirates Hospitals Group, Aster DM Healthcare, Al Noor Hospitals Group, Mediclinic Middle East Management Services, Arabian Healthcare Group, Anglo Arabian Healthcare, American Hospital Dubai</t>
  </si>
  <si>
    <t>Dr Sulaiman Al Habib Medical Services Group is a healthcare operator. The company is engaged in establishing, operating, and managing hospitals, general and specialized medical complexes, dispensaries, health care centers, diagnostics centers as well as radiology centers. It is also involved in the import, wholesale and retail sales of medicines, medical products, cosmetics, and medical supplies and equipment. The company reports in three segments are Hospitals/ Healthcare Facilities, Pharmacies, and HMG Solutions / Others. The majority of the revenue is earned from the Hospitals/ Healthcare Facilities segment.</t>
  </si>
  <si>
    <t>doctor, healthcare, hospital, medical center, medicine, operations</t>
  </si>
  <si>
    <t>2019: 10475</t>
  </si>
  <si>
    <t>4013</t>
  </si>
  <si>
    <t>245387-89P</t>
  </si>
  <si>
    <t>Faisal Al-Nassar</t>
  </si>
  <si>
    <t>Chief Executive Officer, Chief Financial Officer &amp; Board Member</t>
  </si>
  <si>
    <t>faisal.nassar@hmg.com</t>
  </si>
  <si>
    <t>King Fahd Road - Olaya</t>
  </si>
  <si>
    <t>11643</t>
  </si>
  <si>
    <t>164705-77</t>
  </si>
  <si>
    <t>Salama Cooperative Insurance (SAU: 8050)</t>
  </si>
  <si>
    <t>Saudi IAIC Cooperative Insurance Co., Saudi IAIC Cooperative Insurance Company</t>
  </si>
  <si>
    <t>Salama</t>
  </si>
  <si>
    <t>Salama Cooperative Insurance Co</t>
  </si>
  <si>
    <t>SALAMA Cooperative Insurance Co operates in the insurance industry. The company has three reportable segments namely the Medical segment provides compensation to policyholders for expenses incurred in the treatment of a disease, illness, or injury. Its Motor segment provides coverage against losses and liability related to motor vehicles. The Others segment includes property, marine, engineering, accident and liability and miscellaneous categories. It derives maximum revenue from the Motor segment.</t>
  </si>
  <si>
    <t>Automotive Insurance*, Life and Health Insurance</t>
  </si>
  <si>
    <t>automotive insurance, general insurance services, health insurance product, insurance, medical insurance, travel insurance</t>
  </si>
  <si>
    <t>2011: 160, 2012: 55, 2022: 268</t>
  </si>
  <si>
    <t>8050</t>
  </si>
  <si>
    <t>321696-91P</t>
  </si>
  <si>
    <t>Bader Anzi</t>
  </si>
  <si>
    <t>bader.anzi@salama.com.sa</t>
  </si>
  <si>
    <t>+966 (0)92 002 3355</t>
  </si>
  <si>
    <t>Salama Tower, 12th Floor</t>
  </si>
  <si>
    <t>Al Madina Road</t>
  </si>
  <si>
    <t>info@salama.com.sa</t>
  </si>
  <si>
    <t>94684-51</t>
  </si>
  <si>
    <t>Riyad Bank (SAU: 1010)</t>
  </si>
  <si>
    <t>Riyad Bank, Public Shareholding Company</t>
  </si>
  <si>
    <t>Arab National Bank, Banque Saudi Fransi, Saudi Awwal Bank, Saudi National Bank, Al Rajhi Banking and Investment, Emirates NBD Bank, National Bank of Fujairah, Lloyds Banking Group, Wells Fargo, NatWest Group, United Arab Bank, Commercial Bank International, Samba Financial Group, Commercial Bank of Dubai, Nationwide Building Society, Dubai Islamic Bank, The Royal Bank of Scotland (Malaysia), Sasfin Holdings, The National Bank of Ras Al Khaimah, Home Credit Bank, ABN AMRO Bank, YES Bank, Williams &amp; Glyn Bank, Bank of America, Axis Bank, Yorkshire Building Society, Deutsche Bank, HSBC Holdings, Sharjah Islamic Bank, Abu Dhabi Commercial Bank, First West Credit Union, State Bank of India, Arab Banking, AO Home Credit Bank Kazakhstan, Arab Bank</t>
  </si>
  <si>
    <t>Riyad Bank is a financial institution in Saudi Arabia. The company provides a full range of banking and investment services. It also provides its customer's Islamic banking products, which are approved and supervised by an independent Shariah Board established by the Bank. The company operates in four business segments: Retail Banking, Investment banking and brokerage, Corporate banking, and Treasury and Investments. It generates maximum revenue from the Corporate banking segment. The Corporate banking segment handles corporate customers' current accounts, deposits and provides loans, overdrafts, and other credit facilities.</t>
  </si>
  <si>
    <t>commercial bank, regional bank, trade finance</t>
  </si>
  <si>
    <t>2011: 4169, 2012: 5334, 2013: 5677, 2014: 5789, 2015: 6167, 2016: 6337, 2017: 6332, 2018: 5973, 2019: 5955, 2020: 6147, 2021: 6620, 2022: 6794, 2023: 7887, 2024: 7588</t>
  </si>
  <si>
    <t>1010</t>
  </si>
  <si>
    <t>364282-12P</t>
  </si>
  <si>
    <t>Enji Al-Ghazzawi</t>
  </si>
  <si>
    <t>Chief Human Capital Officer</t>
  </si>
  <si>
    <t>eal-ghazzawi@riyadbank.com</t>
  </si>
  <si>
    <t>+966 (0)11 401 3030</t>
  </si>
  <si>
    <t>P.O. Box 22622</t>
  </si>
  <si>
    <t>277698-70</t>
  </si>
  <si>
    <t>Ataa Educational (SAU: 4292)</t>
  </si>
  <si>
    <t>Alrowad Public Schools</t>
  </si>
  <si>
    <t>Ataa Educational Co</t>
  </si>
  <si>
    <t>Ataa Educational Co is a Saudi Arabia-based company involved in the establishment of national and international schools, kindergarten, primary, intermediate, and secondary schools for boys and girls, colleges and universities in the Kingdom of Saudi Arabia and abroad. It is also engaged in establishing, managing, and maintaining vocational training centers. The company's operating segments are; Education, Training, and Recruitment. The majority of its revenue is derived from the Education segment which is engaged in establishing and managing private, international, French and Indian schools.</t>
  </si>
  <si>
    <t>computer training, computer training center, education center, education institute, education service, school operator, secondary school</t>
  </si>
  <si>
    <t>Private Equity, Publicly Listed, Venture Capital</t>
  </si>
  <si>
    <t>2016: 1800, 2018: 2964, 2019: 2468, 2022: 3488</t>
  </si>
  <si>
    <t>4292</t>
  </si>
  <si>
    <t>TTM 1Q2026</t>
  </si>
  <si>
    <t>292321-09P</t>
  </si>
  <si>
    <t>Tarek Alkasabi</t>
  </si>
  <si>
    <t>t.alkasabi@aljaziracapital.com.sa</t>
  </si>
  <si>
    <t>+966 (0)11 225 6000</t>
  </si>
  <si>
    <t>Exit 9 - Al-Izdihar, Al-Abbas Ibn Abdul Muttalib Street</t>
  </si>
  <si>
    <t>+966 (0)92 000 0451</t>
  </si>
  <si>
    <t>info@ataa.sa</t>
  </si>
  <si>
    <t>268369-57</t>
  </si>
  <si>
    <t>Maharah Human Resources (SAU: 1831)</t>
  </si>
  <si>
    <t>Maharah Human Resources Co.</t>
  </si>
  <si>
    <t>Maharah Human Resources Co is a Saudi Arabia-based company. The company engages in temporary employment agency activities for domestic services and temporary employment agency activities for foreign labor services. Its operating segment includes the Corporate Sector, Facility Management Sector, and Individual Sector. Geographically, it derives a majority of revenue from KSA and also has a presence in the UAE. The company serves individuals, industrial and operational, retail, hospitality, healthcare, and commercial sectors.</t>
  </si>
  <si>
    <t>Human Capital Services*, Information Services (B2C)</t>
  </si>
  <si>
    <t>hr, human consulting services, recruitment</t>
  </si>
  <si>
    <t>1831</t>
  </si>
  <si>
    <t>265821-58P</t>
  </si>
  <si>
    <t>Abdul Aziz Al-Kathiri</t>
  </si>
  <si>
    <t>Chief Executive Officer, Executive Chairman &amp; Board Member</t>
  </si>
  <si>
    <t>a.kathiri@maharah.com</t>
  </si>
  <si>
    <t>+966 (0)92 001 1151</t>
  </si>
  <si>
    <t>Al Yasmeen Riyadh</t>
  </si>
  <si>
    <t>13124</t>
  </si>
  <si>
    <t>info@maharah.com</t>
  </si>
  <si>
    <t>268283-71</t>
  </si>
  <si>
    <t>Al Moammar Information (SAU: 7200)</t>
  </si>
  <si>
    <t>Muhammad Al Moammar and Partners Co.</t>
  </si>
  <si>
    <t>Al Moammar Information Systems Co.</t>
  </si>
  <si>
    <t>Kumaran Systems, Intecc</t>
  </si>
  <si>
    <t>Al Moammar Information Systems Co is an Information Technology(IT) company. It offers operating systems, system analysis, software designing and programming, software maintenance, web design, web hosting, data processing, and other related services. The company's segments include a Business Services Management unit, a Solutions unit, a Systems unit, an IT security unit, a Networking unit, an Operations and maintenance unit, and a Data center unit.</t>
  </si>
  <si>
    <t>information technology security, operating system, software design, system analysis</t>
  </si>
  <si>
    <t>2022: 719</t>
  </si>
  <si>
    <t>7200</t>
  </si>
  <si>
    <t>301524-13P</t>
  </si>
  <si>
    <t>Abdullah Al-Ghamdi</t>
  </si>
  <si>
    <t>abdullah@mis.com.sa</t>
  </si>
  <si>
    <t>+966 (0)92 002 0261</t>
  </si>
  <si>
    <t>P.O. Box: 16116 6330 Al Thumamah Road Al Sahafa district unit number 1</t>
  </si>
  <si>
    <t>+966 (0)11 414 9144</t>
  </si>
  <si>
    <t>info@mis.com.sa</t>
  </si>
  <si>
    <t>59072-41</t>
  </si>
  <si>
    <t>Alkhabeer Capital (SAU: 4348)</t>
  </si>
  <si>
    <t>Alkhabeer Financial Advisors, Al-Khabeer Merchant Finance</t>
  </si>
  <si>
    <t>Alkhabeer</t>
  </si>
  <si>
    <t>Sidra Capital, SICO Capital</t>
  </si>
  <si>
    <t>Alkhabeer REIT is a closed-ended real estate investment traded fund. The portfolio of the REIT includes Almalga Residential Complex in Riyadh, Gallery Mall in Tabuk, Palazzo Center, B&amp;Q Retail Company, Ahlan Court, BIN II Plaza, Elite Commercial Center, Elegance Tower, Vision Education Colleges, and others.</t>
  </si>
  <si>
    <t>asset management, investment, real estate, real estate trust, real estate trust company, reit, reit fund</t>
  </si>
  <si>
    <t>4348</t>
  </si>
  <si>
    <t>55724-68P</t>
  </si>
  <si>
    <t>Musaad Saad AlDrees</t>
  </si>
  <si>
    <t>Non-Executive Vice Chairman &amp; Member of the Board Investment Committee</t>
  </si>
  <si>
    <t>P.O. Box 128289</t>
  </si>
  <si>
    <t>+966 (0)12 658 6663</t>
  </si>
  <si>
    <t>info@alkhabeer.com</t>
  </si>
  <si>
    <t>164458-00</t>
  </si>
  <si>
    <t>National Medical Care (SAU: 4005)</t>
  </si>
  <si>
    <t>Care Medical</t>
  </si>
  <si>
    <t>National Medical Care Company</t>
  </si>
  <si>
    <t>National Medical Care Co is engaged in the business to establish, own, equip, manage, maintain, and operate healthcare facilities and provide home health care services. The company trades medicines, medical equipment, and supplies in wholesale and retail trade. Geographically, all operations are conducted in the Kingdom of Saudi Arabia. The company generates revenue through the Rendering of clinical services, and the Sale of pharmaceuticals.</t>
  </si>
  <si>
    <t>healthcare unit, hospitals/inpatient services, inpatient services, medical services, outpatient services, outpatient services center</t>
  </si>
  <si>
    <t>Debt Financed, M&amp;A, Publicly Listed</t>
  </si>
  <si>
    <t>4005</t>
  </si>
  <si>
    <t>234928-54P</t>
  </si>
  <si>
    <t>Jahanzeb Khan</t>
  </si>
  <si>
    <t>jkhan@care.med.sa</t>
  </si>
  <si>
    <t>+966 (0)11 437 8888</t>
  </si>
  <si>
    <t>Riyadh Care Hospital Unayzah Street</t>
  </si>
  <si>
    <t>Al Rawab</t>
  </si>
  <si>
    <t>Al Rayan</t>
  </si>
  <si>
    <t>29393</t>
  </si>
  <si>
    <t>info@care.med.sa</t>
  </si>
  <si>
    <t>154580-32</t>
  </si>
  <si>
    <t>Tenaris Saudi Steel Pipes (SAU: 1320)</t>
  </si>
  <si>
    <t>Saudi Steel Pipe Company, SSP</t>
  </si>
  <si>
    <t>Saudi Steel Pipe Co.</t>
  </si>
  <si>
    <t>Saudi Steel Pipe Co is a Saudi Arabian company engaged in the manufacturing of steel pipes. The group operates in two segments, being the Process equipment segment which includes the design, manufacture, assemble, maintain, and market of heavy process equipment for the utilization of oil and gas, power generation, desalination, mining, solar energy, and off-shore plants, and Steel pipes segment which provides galvanized and non-galvanized steel pipes, square and rectangular pipes used in petroleum, gas, water, and construction sectors. It derives the majority of its revenue from the Steel pipes segment. The company has a market presence with the majority of the revenue generated from Saudi Arabia.</t>
  </si>
  <si>
    <t>drain tubes, firefighting systems, solar, welded steel pipes company, wells casings</t>
  </si>
  <si>
    <t>2011: 451, 2012: 451</t>
  </si>
  <si>
    <t>1320</t>
  </si>
  <si>
    <t>385711-66P</t>
  </si>
  <si>
    <t>Mohammed Shakhouri</t>
  </si>
  <si>
    <t>Chief Financial Officer and Finance &amp; Administration Director</t>
  </si>
  <si>
    <t>mohammed@sspipe.com</t>
  </si>
  <si>
    <t>+966 (0)13 812 2222</t>
  </si>
  <si>
    <t>39th Street, Second Industrial City</t>
  </si>
  <si>
    <t>PO Box: 11680</t>
  </si>
  <si>
    <t>31463</t>
  </si>
  <si>
    <t>+966 (0)13 812 1005</t>
  </si>
  <si>
    <t>info@sspipe.com</t>
  </si>
  <si>
    <t>235291-60</t>
  </si>
  <si>
    <t>National Company for Learning and Education (SAU: 4291)</t>
  </si>
  <si>
    <t>Tarniyah Namouthajiyah Schools Company</t>
  </si>
  <si>
    <t>National Company for Learning and Education SJSC</t>
  </si>
  <si>
    <t>National Co for Learning and Education is a provider of educational and learning services based in Riyadh, Saudi Arabia. It is engaged in ownership, establishment and management of private schools for general education (pre-university) in addition to investment in sport and entertainment along with sport clubs for school students. The company offers educational complexes that accommodate more than 15 thousand students, distributed in all stages from kindergarten, primary, intermediate and high school, according to the national curriculum and international curricula, with scientific laboratories on one hand, and entertainment facilities and sports clubs on the other hand. The company's business segments include Al-Rayan schools, Al-Rawabi schools, Al-Nuzha schools among others.</t>
  </si>
  <si>
    <t>education, educational and training services, educational facilities, primary school, secondary school, sports club</t>
  </si>
  <si>
    <t>2023: 2300</t>
  </si>
  <si>
    <t>4291</t>
  </si>
  <si>
    <t>328341-88P</t>
  </si>
  <si>
    <t>Abdullah Balsharaf</t>
  </si>
  <si>
    <t>Deputy CEO</t>
  </si>
  <si>
    <t>abalsharaf@edu.com.sa</t>
  </si>
  <si>
    <t>+966 (0)11 221 9999</t>
  </si>
  <si>
    <t>Al Nozha neighborhood</t>
  </si>
  <si>
    <t>Prince Muqrin bin Abdul Aziz Street.</t>
  </si>
  <si>
    <t>info@edu.com.sa</t>
  </si>
  <si>
    <t>156215-08</t>
  </si>
  <si>
    <t>Middle East Financial Investment (SAU: 4346)</t>
  </si>
  <si>
    <t>Middle East Financial Investment Co.</t>
  </si>
  <si>
    <t>MEFIC REIT is a real estate investment fund. The Fund's primary investment objective is to provide its unitholders with regular income by investing in income-generating properties assets located in Saudi Arabia and the Gulf countries. The Fund generally seeks to acquire or invest in hotel, commercial, administrative, office towers, and/or logistic, residential and/or mixed-use income-generating real estate assets.</t>
  </si>
  <si>
    <t>Asset Management*, Private Equity</t>
  </si>
  <si>
    <t>asset management, financial advisor, private equity fund, private equity investment, restructuring adviser</t>
  </si>
  <si>
    <t>2016: 68</t>
  </si>
  <si>
    <t>4346</t>
  </si>
  <si>
    <t>TTM 2Q2023</t>
  </si>
  <si>
    <t>324273-61P</t>
  </si>
  <si>
    <t>Yasser Alhedaithy</t>
  </si>
  <si>
    <t>Managing Director and Chief Executive Officer</t>
  </si>
  <si>
    <t>alhedaithy@mefic.com.sa</t>
  </si>
  <si>
    <t>+966 (0)11 218 6666</t>
  </si>
  <si>
    <t>King Fahad Road, Al Malqa</t>
  </si>
  <si>
    <t>7th Floor, Building 7702</t>
  </si>
  <si>
    <t>13524-4204</t>
  </si>
  <si>
    <t>+966 (0)11 218 6777</t>
  </si>
  <si>
    <t>info@mefic.com.sa</t>
  </si>
  <si>
    <t>59116-24</t>
  </si>
  <si>
    <t>Leejam Sports (SAU: 1830)</t>
  </si>
  <si>
    <t>leejam, Fitness Time</t>
  </si>
  <si>
    <t>Leejam Sports Co.</t>
  </si>
  <si>
    <t>Leejam Sports Co is a Saudi Arabian company that owns and operates a network of sports and fitness centers in the Middle East and North Africa under the name Fitness Time. Its brands include Fitness Time Plus, Fitness Time, Fitness Time Pro, Fitness Time Junior, Fitness Time Ladies, and Fitness Time Ladies Pro. The company's operating segments include the Local region and International region. It generates maximum revenue from the Local region segment and also from Subscriptions and membership.</t>
  </si>
  <si>
    <t>fitness center, fitness club, leisure facilities, leisure facilities management, leisure facilities operator</t>
  </si>
  <si>
    <t>2013: 1400, 2016: 3000, 2017: 2374, 2023: 3100</t>
  </si>
  <si>
    <t>1830</t>
  </si>
  <si>
    <t>353429-92P</t>
  </si>
  <si>
    <t>Assim Alattas</t>
  </si>
  <si>
    <t>+966 (0)11 210 1015</t>
  </si>
  <si>
    <t>Post Box 295245</t>
  </si>
  <si>
    <t>Thumama Street</t>
  </si>
  <si>
    <t>Ar Riyadh</t>
  </si>
  <si>
    <t>+966 (0)11 275 9714</t>
  </si>
  <si>
    <t>investor.relations@leejam.com.sa</t>
  </si>
  <si>
    <t>231551-74</t>
  </si>
  <si>
    <t>Bonyan REIT (SAU: 4347)</t>
  </si>
  <si>
    <t>Bonyan REIT is a closed-ended real estate investment fund company. The company's property portfolio consists of residential, hospitality, and commercial centers.</t>
  </si>
  <si>
    <t>investment fund, investment fund operator, investment fund unit, real estate, real estate investment trust, real estate investment trust company, reit</t>
  </si>
  <si>
    <t>4347</t>
  </si>
  <si>
    <t>P.O.box 23454</t>
  </si>
  <si>
    <t>11426</t>
  </si>
  <si>
    <t>163078-75</t>
  </si>
  <si>
    <t>Hammadi Holding (SAU: 4007)</t>
  </si>
  <si>
    <t>Al Hammadi Development and Investment</t>
  </si>
  <si>
    <t>Hammadi Holding is engaged in the activities of wholesale and retail trading of medical equipment, pharmaceutical and cosmetic products, establishing, managing, and operating hospitals and medical centers, wholesale and retail trading of food and beverages, purchasing and rentals of lands for construction buildings and investing, initiating commercial centers, operating and maintaining them. The operating segment of the company are Medical Services and Pharmaceuticals Products segment. It generates maximum revenue from the Medical Services segment. The Medical Services segment includes fees for inpatient and outpatient services.</t>
  </si>
  <si>
    <t>health conditions, hospital group, medical center, medical equipment, medicine wholesaler, pharmaceutical</t>
  </si>
  <si>
    <t>2014: 1585</t>
  </si>
  <si>
    <t>4007</t>
  </si>
  <si>
    <t>181434-97P</t>
  </si>
  <si>
    <t>Mohammad Saleh</t>
  </si>
  <si>
    <t>saleh@alhammadi.com</t>
  </si>
  <si>
    <t>+966 (0)11 232 9999</t>
  </si>
  <si>
    <t>P.O.Box 55004</t>
  </si>
  <si>
    <t>Khalid Ibn Yazid Ibn Muawiyah</t>
  </si>
  <si>
    <t>+966 (0)11 231 9999</t>
  </si>
  <si>
    <t>info@alhammadi.com</t>
  </si>
  <si>
    <t>58735-45</t>
  </si>
  <si>
    <t>SEDCO Capital REIT Fund (SAU: 4344)</t>
  </si>
  <si>
    <t>SC REIT</t>
  </si>
  <si>
    <t>The National Investor, Bridgepoint Group (UK), CVC Capital Partners, Mubadala Investment Company, Waha Capital, BMG Financial Group, Riyad Capital, Actis, The Carlyle Group, Starwood Capital Group, Apax Partners, Warburg Pincus, Bow River Capital, SHUAA Capital, Fin-advisors, KEF Holdings, LDC, Abu Dhabi Investment Authority, Apollo Global Management (New York), Bain Capital, Palatine Private Equity, Cortland Capital Market Services, Cinven, Permira, TA Associates Management, Mubadala Capital, Kohlberg Kravis Roberts, JZ Capital Partners, Jadwa Investment, ECI Partners, Blackstone, Augentius Group, BC Partners, The Riverside Company</t>
  </si>
  <si>
    <t>SEDCO Capital REIT Fund is a closed-ended Shariah-compliant real estate investment traded fund. Its activities include dealing, arranging, managing and operating funds, advising, and custody. The Fund's objective is to provide periodic rental income to its Unitholders by investing mainly in developed properties generating income. Its products are Income Assets, Public Equity, Private Equity, Real Assets, Discretionary Portfolio Management, and Multi-Asset.</t>
  </si>
  <si>
    <t>asset management, financial service provider firm, real estate, real estate investment trust, reit, reit fund</t>
  </si>
  <si>
    <t>4344</t>
  </si>
  <si>
    <t>Sedco Holding</t>
  </si>
  <si>
    <t>346196-26P</t>
  </si>
  <si>
    <t>Sohab Rashid</t>
  </si>
  <si>
    <t>Head of Direct &amp; Co-Investments - Private Equity Group</t>
  </si>
  <si>
    <t>rashids@sedcocapital.com</t>
  </si>
  <si>
    <t>South Tower, Red Sea Mall, King Abdulaziz (Malik) Road</t>
  </si>
  <si>
    <t>info@sedcocapital.com</t>
  </si>
  <si>
    <t>439532-47</t>
  </si>
  <si>
    <t>National Building &amp; Marketing Company (SAU: 9510)</t>
  </si>
  <si>
    <t>National Building and Marketing Co.</t>
  </si>
  <si>
    <t>National Building &amp; Marketing Co is a Saudi-based company. It is involved in trading construction materials, general construction, real estate trading, real estate development, manufacturing of primary iron and steel products as well as manufacture of pipes, tubes and hollow shapes of iron and steel, extending communication cables, network extensions, installing and extending computer and communication networks, providing wholesale infrastructure services, analyzing systems, designing and programming special software, and providing communications and information network management services. The company's operating segments include Manufacturing of steel products, which generates maximum revenue, Contracting and development projects, Commercial, Information Technology, and Others.</t>
  </si>
  <si>
    <t>Building Products*, Distributors/Wholesale</t>
  </si>
  <si>
    <t>building materials, building materials trading, capital goods, construction, electronic equipment, iron, office tools, timber</t>
  </si>
  <si>
    <t>2016: 163, 2023: 350</t>
  </si>
  <si>
    <t>9510</t>
  </si>
  <si>
    <t>340981-03P</t>
  </si>
  <si>
    <t>Salah Mohammed</t>
  </si>
  <si>
    <t>salah@nbm.com.sa</t>
  </si>
  <si>
    <t>+966 (0)11 229 8808</t>
  </si>
  <si>
    <t>PO Box: 401</t>
  </si>
  <si>
    <t>11312</t>
  </si>
  <si>
    <t>+966 (0)11 402 2615</t>
  </si>
  <si>
    <t>info@nbm.com.sa</t>
  </si>
  <si>
    <t>439109-83</t>
  </si>
  <si>
    <t>Derayah REIT Fund (SAU: 4339)</t>
  </si>
  <si>
    <t>Derayah REIT</t>
  </si>
  <si>
    <t>Derayah REIT Fund operates as a real estate investment company in Saudi Arabia. Its aim is to generate income on the invested capital by acquiring a number of diverse, completed, and income-generating real estate assets in Saudi Arabia with the exception of Mecca and Medina. The company services include Real Estate, Unified Trading, Margin Financing, Asset Management, Equity, and Alternative investment funds.</t>
  </si>
  <si>
    <t>real estate, real estate fund, reit, reit fund</t>
  </si>
  <si>
    <t>4339</t>
  </si>
  <si>
    <t>Derayah Financial</t>
  </si>
  <si>
    <t>Olaya Street - Alkhaldiah District - Tahliah ST</t>
  </si>
  <si>
    <t>Behind Al-Awwal Bank- Villa 2</t>
  </si>
  <si>
    <t>227357-11</t>
  </si>
  <si>
    <t>Al Rajhi REIT Fund (SAU: 4340)</t>
  </si>
  <si>
    <t>Al Rajhi REIT</t>
  </si>
  <si>
    <t>Al Rajhi REIT Fund is a close-ended real estate investment traded fund. The investment objective of the company is to invest in income-generating real estate assets. It is divided into four divisions namely Brokerage, Asset Management, Investment Banking, and Research. The Brokerage Division offers a comprehensive brokerage and execution service, The Asset management division manages International, regional, and local mutual funds. Investment Banking provides a comprehensive range of strategic financial advisory services, including debt and equity structuring and arranging, to assist clients in achieving their business and financial objectives. The research division focuses on delivering detailed investment analysis of regional and international equity, markets, and economies.</t>
  </si>
  <si>
    <t>real estate, real estate investment trust, real estate management, reit</t>
  </si>
  <si>
    <t>4340</t>
  </si>
  <si>
    <t>328695-76P</t>
  </si>
  <si>
    <t>Meshal Shanifi</t>
  </si>
  <si>
    <t>+966 (0)92 000 5856</t>
  </si>
  <si>
    <t>PO Box 5561</t>
  </si>
  <si>
    <t>11432</t>
  </si>
  <si>
    <t>226205-29</t>
  </si>
  <si>
    <t>Jadwa REIT (SAU: 4342)</t>
  </si>
  <si>
    <t>Jadwa REIT Saudi Fund</t>
  </si>
  <si>
    <t>Jadwa REIT Saudi Fund is a Jadwa REIT Saudi Fund (the Fund) is a closed-ended Shariah-compliant real estate investment traded fund. The primary investment objective of the Fund is to provide its investors with regular income by investing in income-generating real estate assets in Saudi Arabia, excluding the Holy cities of Makkah and Medina.</t>
  </si>
  <si>
    <t>investment management, real estate, real estate investment trust, real estate investment trust company, real estate investment trust operator, reit</t>
  </si>
  <si>
    <t>4342</t>
  </si>
  <si>
    <t>132469-12P</t>
  </si>
  <si>
    <t>Ghannam Al-Ghannam</t>
  </si>
  <si>
    <t>galghannam@jadwa.com</t>
  </si>
  <si>
    <t>+966 (0)11 279 1111</t>
  </si>
  <si>
    <t>Post Box 60677</t>
  </si>
  <si>
    <t>11555</t>
  </si>
  <si>
    <t>+966 (0)1 127 9966</t>
  </si>
  <si>
    <t>589289-77</t>
  </si>
  <si>
    <t>SICO Saudi REIT (SAU: 4337)</t>
  </si>
  <si>
    <t>SICO Saudi REIT Fund</t>
  </si>
  <si>
    <t>Al Aziziah REIT Fund is a closed-ended Shariah-compliant real estate investment traded fund. The main objective of the Fund is to invest in a group of income-generating real-estate properties located in the Kingdom of Saudi Arabia.</t>
  </si>
  <si>
    <t>real estate investment trust, real estate investment trust company, real estate investment trust operator, reit, reit fund, reit operator</t>
  </si>
  <si>
    <t>4337</t>
  </si>
  <si>
    <t>7702 King Fahd Road</t>
  </si>
  <si>
    <t>CMC Tower 5th floor, Al Malqa District</t>
  </si>
  <si>
    <t>13524</t>
  </si>
  <si>
    <t>+966 (0)11 521 3835</t>
  </si>
  <si>
    <t>224393-95</t>
  </si>
  <si>
    <t>Alahli REIT (SAU: 4338)</t>
  </si>
  <si>
    <t>Alahli REIT Fund</t>
  </si>
  <si>
    <t>Alahli REIT Fund 1 invests in income-producing properties. Its objective is to provide periodic rental income to Unitholders through investing in developed income-generating properties and to potentially provide capital growth by developing and/or expanding and/or selling assets. The Fund invests mainly in developed income-generating real estate assets and may invest part of its assets and cash surplus in Murabaha transactions and short-term deposits in Saudi Riyals with banks that are licensed by the Saudi Central Bank (SAMA) and operate in Saudi Arabia. The Fund may also invest in public money market funds approved by CMA.</t>
  </si>
  <si>
    <t>real estate, real estate investment, real estate investment trust, reit</t>
  </si>
  <si>
    <t>4338</t>
  </si>
  <si>
    <t>329040-73P</t>
  </si>
  <si>
    <t>Abdul Rahman bin Mohammed Al-Rashed</t>
  </si>
  <si>
    <t>Chairman of the Board of Directors</t>
  </si>
  <si>
    <t>+966 (0)92 000 0232</t>
  </si>
  <si>
    <t>King Saud Road</t>
  </si>
  <si>
    <t>NCB Regional Building P.O. Box 22216</t>
  </si>
  <si>
    <t>11495</t>
  </si>
  <si>
    <t>info@alahlireit.com</t>
  </si>
  <si>
    <t>227480-68</t>
  </si>
  <si>
    <t>Mulkia Gulf Real Estate Fund (SAU: 4336)</t>
  </si>
  <si>
    <t>Mulkia-Gulf Real Estate REIT Fund</t>
  </si>
  <si>
    <t>Mulkia Gulf Real Estate REIT is a closed-end real estate investment fund company. The objective of the Fund is to acquire pre-developed real estate properties to obtain regular rental income. The company is engaged in acquiring several income-generating real estate, which are under four specific real estate assets in cities within Saudi Arabia.</t>
  </si>
  <si>
    <t>close-ended fund, real estate, real estate investment trust, real estate management, real estate property, reit</t>
  </si>
  <si>
    <t>4336</t>
  </si>
  <si>
    <t>1st floor, The Elite Mall 8565</t>
  </si>
  <si>
    <t>Prince Abdul Aziz Bin Musaid Bin Jalawi Street</t>
  </si>
  <si>
    <t>Al Sulaimaniayah</t>
  </si>
  <si>
    <t>12234-2874</t>
  </si>
  <si>
    <t>164706-94</t>
  </si>
  <si>
    <t>Saudi Electricity Company (SAU: 5110)</t>
  </si>
  <si>
    <t>SEC</t>
  </si>
  <si>
    <t>Saudi Electricity Company SJSC</t>
  </si>
  <si>
    <t>SSE</t>
  </si>
  <si>
    <t>Saudi Electricity Co is principally engaged in the generation, transmission, and distribution of electricity. The company provides its services to governmental, industrial, agricultural, commercial, and residential sectors. Saudi Electricity operates through three segments namely; Generation segment which is involved in the generation and provision of electric power; Transmission segment which is engaged in the transmission of electrical power from generation stations using the transmission network, to the distribution network and operation and maintenance of electricity transmission system; and Distribution and Subscriber services segment which includes receipt of electric power from the transmission network and distribution to the company's customers.</t>
  </si>
  <si>
    <t>CleanTech, TMT</t>
  </si>
  <si>
    <t>electric generation, electrical power, electricity, electricity distribution, power generation, provision</t>
  </si>
  <si>
    <t>2010: 27782, 2011: 28414, 2012: 29006, 2013: 31661, 2014: 35373, 2017: 36432</t>
  </si>
  <si>
    <t>5110</t>
  </si>
  <si>
    <t>351305-29P</t>
  </si>
  <si>
    <t>Manish Manchandya</t>
  </si>
  <si>
    <t>Executive Vice President, Planning &amp; Chief Investment Officer</t>
  </si>
  <si>
    <t>mmanchandya@se.com.sa</t>
  </si>
  <si>
    <t>+966 (0)11 405 3227</t>
  </si>
  <si>
    <t>Al-Arid District</t>
  </si>
  <si>
    <t>At the crossing of Al-Olaya Street with Rihana Bint Zaid Street, PO Box 22955</t>
  </si>
  <si>
    <t>+966 (0)11 807 9245</t>
  </si>
  <si>
    <t>info@se.com.sa</t>
  </si>
  <si>
    <t>187644-70</t>
  </si>
  <si>
    <t>Musharaka REIT (SAU: 4335)</t>
  </si>
  <si>
    <t>Musharaka REIT is a closed-end real estate investment fund. Its investment objective is to invest in developing properties that are qualified to generate periodic rental income, while its dividend policy is to distribute at least 90 percent of the Fund's net profit as cash dividends to the unit holders annually. The fund invests in residential, commercial, industrial, and hospitality real estate assets located across different cities in Saudi Arabia.</t>
  </si>
  <si>
    <t>real estate, real estate investment fund, real estate investment trust, reit</t>
  </si>
  <si>
    <t>4335</t>
  </si>
  <si>
    <t>329269-42P</t>
  </si>
  <si>
    <t>Ibrahim Alassaf</t>
  </si>
  <si>
    <t>Chief Executive Officer, Managing Director &amp; Director</t>
  </si>
  <si>
    <t>+966 (0)13 804 4644</t>
  </si>
  <si>
    <t>13th Floor, Adeer Tower, Prince Turki Road</t>
  </si>
  <si>
    <t>Corniche</t>
  </si>
  <si>
    <t>+966 (0)13 881 8412</t>
  </si>
  <si>
    <t>186716-17</t>
  </si>
  <si>
    <t>Zahrat Al Waha (SAU: 3007)</t>
  </si>
  <si>
    <t>Zahrat Al Waha for Trading Co.</t>
  </si>
  <si>
    <t>Zahrat Al Waha for Trading Co is a producer of PET preform and HDPE closure products. The principal activities of the company include the manufacture of semi-finished products from plastics, the manufacture of cans and boxes from plastics, the manufacture of bottles of various forms from plastics, the manufacture of products from plastics using the Roto mold method. The company operates in two segments namely the plastic bottles preforms which includes manufacturing and selling of plastic preforms and the plastic caps which includes manufacturing and selling of plastic caps.</t>
  </si>
  <si>
    <t>hdpe closures, manufacturing, packaging products, plastic caps, plastic preforms, plastic product</t>
  </si>
  <si>
    <t>3007</t>
  </si>
  <si>
    <t>329333-23P</t>
  </si>
  <si>
    <t>George Karim</t>
  </si>
  <si>
    <t>+966 (0)92 002 1203</t>
  </si>
  <si>
    <t>Building 7449 Unit No. 1</t>
  </si>
  <si>
    <t>Al Rabwa District, Al Ahsa Street PO Box 2980</t>
  </si>
  <si>
    <t>12814</t>
  </si>
  <si>
    <t>+966 (0)11 478 1432</t>
  </si>
  <si>
    <t>185477-32</t>
  </si>
  <si>
    <t>AL Maather (SAU: 4334)</t>
  </si>
  <si>
    <t>AL Maather REIT</t>
  </si>
  <si>
    <t>AL Maather REIT Fund</t>
  </si>
  <si>
    <t>AL Maather REIT Fund is a closed-end real estate investment fund. Its objective is to invest in real estate assets within the Kingdom of Saudi Arabia that provide achievable periodic rental income, and to distribute at least ninety percent of the fund's net profits annually. Its investment portfolio comprises different types of real estate assets such as hospitals, schools, warehouses, commercial showrooms, leasehold properties, and others.</t>
  </si>
  <si>
    <t>public company, real estate, real estate investment fund, real estate investment fund manager, real estate investment fund provider, real estate investment trust, real estate investment trust company, reit fund</t>
  </si>
  <si>
    <t>4334</t>
  </si>
  <si>
    <t>92025-01P</t>
  </si>
  <si>
    <t>Mazin Al-Dawood</t>
  </si>
  <si>
    <t>maldawood@obic.com.sa</t>
  </si>
  <si>
    <t>Mezzanine Floor, Bahrain Tower</t>
  </si>
  <si>
    <t>+966 (0)11 419 1899</t>
  </si>
  <si>
    <t>398897-29</t>
  </si>
  <si>
    <t>Al Kathiri Holding (SAU: 3008)</t>
  </si>
  <si>
    <t>Al Kathiri Holding Co</t>
  </si>
  <si>
    <t>Al Kathiri Holding Co is engaged in the building materials business. The company transfers, distributes, and sells cement to local markets in all regions of the Kingdom, mainly the markets of the central region and the western region. It also distributes and supplies raw materials for the production of ready-made concrete of all kinds. The company has established a prefabricated concrete plant. The activities of the company later expanded to include the production of ready-mixed concrete and the manufacture of Imdo panels. The company generates the majority of its revenue from the Concrete sales.</t>
  </si>
  <si>
    <t>building materials, cement, holding</t>
  </si>
  <si>
    <t>2021: 78</t>
  </si>
  <si>
    <t>3008</t>
  </si>
  <si>
    <t>327594-43P</t>
  </si>
  <si>
    <t>Basel Alodetallah</t>
  </si>
  <si>
    <t>basel@alkathiriholding.com</t>
  </si>
  <si>
    <t>+966 (0)11 416 7900</t>
  </si>
  <si>
    <t>Prince Yazid Bin Abdullah Abdul Rahman Road</t>
  </si>
  <si>
    <t>Al Malqa District, Unit No. 19 &amp; 13</t>
  </si>
  <si>
    <t>13523</t>
  </si>
  <si>
    <t>info@alkathiriholding.com</t>
  </si>
  <si>
    <t>232694-92</t>
  </si>
  <si>
    <t>Thob Al Aseel (SAU: 4012)</t>
  </si>
  <si>
    <t>Thob Al Aseel Company</t>
  </si>
  <si>
    <t>Thob Al Aseel Co is engaged in the manufacturing, import, export, wholesale, and retail of textiles and readymade garments. The company offers thobs, pajamas, sleeping robes, and others. The segments of the company are Thobs and Fabrics. The thob segment generates maximum revenue.</t>
  </si>
  <si>
    <t>casual wear, garments, pajamas, retail clothing, textile manufacturing, textile product</t>
  </si>
  <si>
    <t>2019: 247</t>
  </si>
  <si>
    <t>4012</t>
  </si>
  <si>
    <t>328634-11P</t>
  </si>
  <si>
    <t>Najah Elossily</t>
  </si>
  <si>
    <t>nasele@alaseel.com</t>
  </si>
  <si>
    <t>+966 (0)11 465 2000</t>
  </si>
  <si>
    <t>PO Box 310</t>
  </si>
  <si>
    <t>11411</t>
  </si>
  <si>
    <t>+966 (0)11 465 3000</t>
  </si>
  <si>
    <t>online@alaseel.com</t>
  </si>
  <si>
    <t>608499-64</t>
  </si>
  <si>
    <t>Taleem (SAU: 4333)</t>
  </si>
  <si>
    <t>Taleem REIT Fund is a closed-ended Shariah compliant real estate investment traded fund. The fund seeks to invest in income generating real estate assets in the education and training sector. The company's operating segment includes Educational Institutions.</t>
  </si>
  <si>
    <t>real estate investment asset, real estate investment fund, real estate investment group, real estate investment trust, real estate investment trust company, real estate investment trust operator, real estate investmentment</t>
  </si>
  <si>
    <t>4333</t>
  </si>
  <si>
    <t>328442-23P</t>
  </si>
  <si>
    <t>Shahjahan Mirza</t>
  </si>
  <si>
    <t>+966 (0)11 282 6666</t>
  </si>
  <si>
    <t>PO Box 23454</t>
  </si>
  <si>
    <t>+966 (0)11 282 6667</t>
  </si>
  <si>
    <t>10943-83</t>
  </si>
  <si>
    <t>Jadwa Investment (SAU: 4332)</t>
  </si>
  <si>
    <t>Jadwa, Jadwa REIT Al Haramain</t>
  </si>
  <si>
    <t>Jadwa REIT Al Haramain Fund</t>
  </si>
  <si>
    <t>Bow River Capital, Waha Capital, Starwood Capital Group, Helios Investment Partners, The National Investor, H.I.G. Capital, SHUAA Capital, TPG, Bain Capital, Bank Alkhair, BMG Financial Group, Abu Dhabi Investment Authority, Actis, BC Partners, TA Associates Management, Alistithmar REIT</t>
  </si>
  <si>
    <t>Jadwa REIT Al Haramain is a closed-ended REIT. It offers investment management across public equity, private equity, real estate, private credit, and fixed income; and discretionary and nondiscretionary investment advisory services. Its REIT property includes Tharawat Al-Andaloseya, Tharawat Al-Taqwa, Tharawat Wadi Ibrahim Hotel and Restaurant Building, and Pharmacy Building.</t>
  </si>
  <si>
    <t>fund, investment, real estate investment trust, real estate trust, reit, reit firm, reit fund</t>
  </si>
  <si>
    <t>2023: 116</t>
  </si>
  <si>
    <t>4332</t>
  </si>
  <si>
    <t>TTM 2Q2024</t>
  </si>
  <si>
    <t>71107-21P</t>
  </si>
  <si>
    <t>Tariq Al-Sudairy</t>
  </si>
  <si>
    <t>Board Member, Managing Director, Chief Executive Officer &amp; Chairman of the Executive Management Committee</t>
  </si>
  <si>
    <t>talsudairy@jadwa.com</t>
  </si>
  <si>
    <t>Sky Towers, 4th Floor</t>
  </si>
  <si>
    <t>King Fahad Road Olaya Area, PO Box 60677</t>
  </si>
  <si>
    <t>+966 (0)11 279 1571</t>
  </si>
  <si>
    <t>info@jadwa.com</t>
  </si>
  <si>
    <t>398934-28</t>
  </si>
  <si>
    <t>Abdullah Saad Mohammed (SAU: 4191)</t>
  </si>
  <si>
    <t>Abdullah Saad Mohammed Abo Moati for Bookstores Co</t>
  </si>
  <si>
    <t>Abdullah Saad Mohammed Abo Moati for Bookstores Co is engaged in the wholesale trading of office supplies (stationery), retail sale of art supplies, stationery, office supplies, newspapers, and magazines (bookstores). In addition, it is involved in the retail sale of accessories and clothing accessories such as gloves, ties, suspenders, prayer beads, and umbrellas; the retail sale of leather products and travel accessories made of leather, and bags. Its operating segments are Wholesale and retail, Inks, and Real estate and rent. The majority of the group's revenue is generated from the Retail and wholesale trade segment, where the group does wholesale of stationery, wholesale of computers and their accessories, and other wholesale and retail sales.</t>
  </si>
  <si>
    <t>Specialty Retail*</t>
  </si>
  <si>
    <t>bookstore, stationery product</t>
  </si>
  <si>
    <t>2022: 219</t>
  </si>
  <si>
    <t>4191</t>
  </si>
  <si>
    <t>328182-94P</t>
  </si>
  <si>
    <t>Mohammed Moati</t>
  </si>
  <si>
    <t>Chief Executive Officer &amp; Executive Director</t>
  </si>
  <si>
    <t>+966 (0)11 401 0113</t>
  </si>
  <si>
    <t>Alfouttah District p.o.Box 9994</t>
  </si>
  <si>
    <t>+966 (0)11 401 0046</t>
  </si>
  <si>
    <t>investorrelations@abomoati.com</t>
  </si>
  <si>
    <t>436849-39</t>
  </si>
  <si>
    <t>Al-Omran Industrial Trading (SAU: 4141)</t>
  </si>
  <si>
    <t>AL-Omran Industrial &amp; Trading Co.</t>
  </si>
  <si>
    <t>Al-Omran Industrial Trading Company</t>
  </si>
  <si>
    <t>Al-Omran Industrial Trading Co is into the production and import/export of electrical home appliances. The company's activity is in the production of household and electronic devices, metal, plastic, paper, and cardboard industries, and complementary works.</t>
  </si>
  <si>
    <t>Electronics (B2C)*, Household Appliances</t>
  </si>
  <si>
    <t>air conditioner aspelet ran tech, air conditioner aspelet unix, conditioner, conditioner central deserts, fridge convertible, mathur external, refrigerator vertical, shelves</t>
  </si>
  <si>
    <t>4141</t>
  </si>
  <si>
    <t>329569-75P</t>
  </si>
  <si>
    <t>Abdul Rahman bin Mohammed Al-Omran</t>
  </si>
  <si>
    <t>Chief Executive Officer, Managing Director &amp; Board Member</t>
  </si>
  <si>
    <t>+966 (0)92 000 0332</t>
  </si>
  <si>
    <t>Al-Rabi'</t>
  </si>
  <si>
    <t>11511</t>
  </si>
  <si>
    <t>+966 (0)11 265 1862</t>
  </si>
  <si>
    <t>info@alomranco.com</t>
  </si>
  <si>
    <t>437417-02</t>
  </si>
  <si>
    <t>Arab Sea Information System (SAU: 7201)</t>
  </si>
  <si>
    <t>Arab Sea Information System Co.</t>
  </si>
  <si>
    <t>Arab Sea Information System Co is a Saudi Arabia-based company that specializes in the production of software for small, medium, and large businesses and offers information systems and solutions for government institutions and IT sectors. The company's business activities are the Installation and extension of computer and communication networks, Retail sale of computers and its accessories, including (printers and their inks) and Operating systems.</t>
  </si>
  <si>
    <t>Business/Productivity Software, Financial Software*</t>
  </si>
  <si>
    <t>accounting data, business and productivity software, computer program developer, financial software</t>
  </si>
  <si>
    <t>7201</t>
  </si>
  <si>
    <t>328071-07P</t>
  </si>
  <si>
    <t>Haitham Al Suhibani</t>
  </si>
  <si>
    <t>haithama@arabsea.com</t>
  </si>
  <si>
    <t>+966 (0)92 000 0559</t>
  </si>
  <si>
    <t>Eastern Ring Road between exit 13-14</t>
  </si>
  <si>
    <t>11499</t>
  </si>
  <si>
    <t>+966 (0)1 493 0821</t>
  </si>
  <si>
    <t>info@arabsea.com</t>
  </si>
  <si>
    <t>399578-32</t>
  </si>
  <si>
    <t>Baazeem Trading (SAU: 4051)</t>
  </si>
  <si>
    <t>Baazeem Trading Co</t>
  </si>
  <si>
    <t>Baazeem Trading Co is engaged in diversified businesses. Principally, the company is involved in the distribution of canned fish, household chemicals, baby supplies, personal care products and home furniture accessories and others. Also, it is involved in the wholesale of coffee and tea products, cosmetics and beauty soaps, food items and drinks, the sale of tools and plastic materials, rubber, and industrial fibers. The company is also involved in the manufacturing of sanitary paper, napkins, cleaning wipes, tissue paper, towel rolls, and ready-made food packaging.</t>
  </si>
  <si>
    <t>Distributors/Wholesale*, Food Products, Household Products</t>
  </si>
  <si>
    <t>canned fish, fast-moving consumer goods, fmcg, fmcg distributor, fmcg trader</t>
  </si>
  <si>
    <t>4051</t>
  </si>
  <si>
    <t>327637-72P</t>
  </si>
  <si>
    <t>Ali Salem</t>
  </si>
  <si>
    <t>alis@baazeem.com</t>
  </si>
  <si>
    <t>+966 (0)1 412 9999</t>
  </si>
  <si>
    <t>Building 7, King Faisal Street</t>
  </si>
  <si>
    <t>8th Floor, Riyadh Al-Murabba District, Post Office Box 2156</t>
  </si>
  <si>
    <t>info@baazeem.com</t>
  </si>
  <si>
    <t>436873-69</t>
  </si>
  <si>
    <t>Development Works Food (SAU: 6013)</t>
  </si>
  <si>
    <t>Development Works Food Co.</t>
  </si>
  <si>
    <t>Development Works Food Co is engaged in restaurants with service, fast food activities, including (pizza shops), coffee shops, ice cream shops (ice cream), and serving fresh juices and cold drinks. The company operates various restaurants and cafes in Saudi Arabia.</t>
  </si>
  <si>
    <t>Beverages, Food Products, Restaurants and Bars*</t>
  </si>
  <si>
    <t>beverage company, fast food chain, fries, juice, restaurant business, sandwiches, soft drinks</t>
  </si>
  <si>
    <t>2019: 610, 2023: 504</t>
  </si>
  <si>
    <t>6013</t>
  </si>
  <si>
    <t>329050-72P</t>
  </si>
  <si>
    <t>Hesham Mogren</t>
  </si>
  <si>
    <t>+966 (0)11 288 6880</t>
  </si>
  <si>
    <t>RFYA2181 2181 Dammam Branch Road 7830</t>
  </si>
  <si>
    <t>13243</t>
  </si>
  <si>
    <t>+966 (0)11 288 6883</t>
  </si>
  <si>
    <t>info@dwf.com.sa</t>
  </si>
  <si>
    <t>399577-42</t>
  </si>
  <si>
    <t>Raydan Food (SAU: 6012)</t>
  </si>
  <si>
    <t>Raydan Food Co</t>
  </si>
  <si>
    <t>Raydan Food Co is engaged in running restaurants and offering catering services. The company operates in the Kingdom of Saudi Arabia through its segments which are Traditional meals, Catering Services and Other segments.</t>
  </si>
  <si>
    <t>arab food, food, hospitality, restaurant, restaurant and bar firm, restaurant business</t>
  </si>
  <si>
    <t>6012</t>
  </si>
  <si>
    <t>327703-15P</t>
  </si>
  <si>
    <t>Gamal Abdulkaream</t>
  </si>
  <si>
    <t>gamal@raydan.com.sa</t>
  </si>
  <si>
    <t>+966 (0)12 678 1177</t>
  </si>
  <si>
    <t>Post Office Box 13868</t>
  </si>
  <si>
    <t>Abdullah Al Sharbatly Street, Al Safa District</t>
  </si>
  <si>
    <t>21323</t>
  </si>
  <si>
    <t>+966 (0)12 678 0505</t>
  </si>
  <si>
    <t>info@raydan.com.sa</t>
  </si>
  <si>
    <t>232988-23</t>
  </si>
  <si>
    <t>Sadr Logistics (SAU: 1832)</t>
  </si>
  <si>
    <t>Al-Samaani Factory For Metal Industries</t>
  </si>
  <si>
    <t>Sadr Logistics Co</t>
  </si>
  <si>
    <t>Sadr Logistics Co is the manufacturer of wooden pallets, the manufacture of prefabricated steel structure units, the manufacture of finished and semi-finished industrial products by forging, pressing, casting, and rolling, and the manufacture of furniture for all purposes from plastic. The company operates in four different segments: Steel, wood, logistics service, and all others. The company generates a majority of its revenue from Wooden products.</t>
  </si>
  <si>
    <t>handles, handling services provider, rack, racking systems storage</t>
  </si>
  <si>
    <t>1832</t>
  </si>
  <si>
    <t>328976-56P</t>
  </si>
  <si>
    <t>Ahmed Kortam</t>
  </si>
  <si>
    <t>+966 (0)11 241 6262</t>
  </si>
  <si>
    <t>Building 04 Alrawakeb Street</t>
  </si>
  <si>
    <t>Anas Bin Malek RD Alyasmeen District</t>
  </si>
  <si>
    <t>535409-65</t>
  </si>
  <si>
    <t>AlJaziea (SAU: 4331)</t>
  </si>
  <si>
    <t>Aljazira Mawten REIT</t>
  </si>
  <si>
    <t>AlJaziea REIT</t>
  </si>
  <si>
    <t>AlJazira Mawten (REIT) is a Shariah-compliant real estate investment traded fund. The investment objective of the fund is to invest in structurally developed real estate that generates periodic income and has invested mainly in warehouses in Jeddah.</t>
  </si>
  <si>
    <t>fund, investment trust, real estate, real estate investment trust, real estate investment trust company, reit, trust</t>
  </si>
  <si>
    <t>4331</t>
  </si>
  <si>
    <t>P.O Box 20438</t>
  </si>
  <si>
    <t>+966 (0)59 419 7913</t>
  </si>
  <si>
    <t>+966 (0)11 225 6068</t>
  </si>
  <si>
    <t>174735-37</t>
  </si>
  <si>
    <t>Riyad REIT Fund (SAU: 4330)</t>
  </si>
  <si>
    <t>Riyad REIT Fund is a closed-ended Shari'ah-compliant real estate investment traded fund. It acquires, maintains, owns, and develops a portfolio of income-producing real estate assets. The primary investment objective of the REIT is to provide unitholders with current income by investing in income-producing real estate assets in Saudi Arabia. The REIT may on, a secondary basis, invest in development opportunities with profitable growth potentials that cater for specific real-estate needs, previously unavailable in certain areas.</t>
  </si>
  <si>
    <t>real estate, real estate fund, real estate investment, real estate trust, reit investment trust, reit trust</t>
  </si>
  <si>
    <t>4330</t>
  </si>
  <si>
    <t>Riyad Capital</t>
  </si>
  <si>
    <t>2414 - Al Shohda Dist</t>
  </si>
  <si>
    <t>Unit No. 69</t>
  </si>
  <si>
    <t>13241-7279</t>
  </si>
  <si>
    <t>+966 (0)92 001 2299</t>
  </si>
  <si>
    <t>40424-50</t>
  </si>
  <si>
    <t>Lazurde Company for Jewelry (SAU: 4011)</t>
  </si>
  <si>
    <t>L'azurde, Lazurde</t>
  </si>
  <si>
    <t>Lazurde Company for Jewelry is a jewelry manufacturing company. It is engaged in the production, manufacturing, forming, and forging of golden wares, jewelry, precious stones, and golden alloys. The group has a business presence in the Kingdom of Saudi Arabia, Egypt, Qatar, Oman and the UAE. Its offers gold, diamond and silver products in the form of Necklaces, Bracelets, Rings, and Earrings, among others. It is organised into Wholesale and Retail business segments, of which key revenue is derived from the Wholesale segment.</t>
  </si>
  <si>
    <t>Luxury Goods, Specialty Retail*</t>
  </si>
  <si>
    <t>diamond jewelry, gold jewelry, jewelry manufacturer, luxury goods, luxury goods retailer, manufacturing, specialty retail</t>
  </si>
  <si>
    <t>2009: 2000, 2017: 2200</t>
  </si>
  <si>
    <t>4011</t>
  </si>
  <si>
    <t>151892-74P</t>
  </si>
  <si>
    <t>Ayman Gamil</t>
  </si>
  <si>
    <t>ayman.gamil@lazurde.com</t>
  </si>
  <si>
    <t>+966 (0)1 265 1119</t>
  </si>
  <si>
    <t>Al Masaref Street</t>
  </si>
  <si>
    <t>198 Banks District</t>
  </si>
  <si>
    <t>11521</t>
  </si>
  <si>
    <t>+966 (0)1 265 1020</t>
  </si>
  <si>
    <t>info@lazurde.com</t>
  </si>
  <si>
    <t>174700-81</t>
  </si>
  <si>
    <t>Al Yamamah Steel Industries (SAU: 1304)</t>
  </si>
  <si>
    <t>Al Yamamah Steel Industries Co</t>
  </si>
  <si>
    <t>Al Yamamah Steel Industries Co is a manufacturer of tubes, pipes and hollow shapes from iron, metal structures and their parts for bridges and towers, poles and their parts, including poles, lighting cabins, traffic lights, etc. and installation of prefabricated steel structures for industrial facilities. The company produces and sells steel welded tubes, steel sheets, steel reinforcement bars, and three-dimension space structures. The company's operating segments include Construction, Electricity and Renewable Energy. It generates maximum revenue from the Construction segment.The company has production facilities at Jeddah, Dammam and Yanbu.</t>
  </si>
  <si>
    <t>metal products, steel sheet, weld tubes</t>
  </si>
  <si>
    <t>2021: 1192, 2022: 1241, 2023: 1192, 2024: 1268</t>
  </si>
  <si>
    <t>1304</t>
  </si>
  <si>
    <t>329891-41P</t>
  </si>
  <si>
    <t>Mohammad Abu Farhah</t>
  </si>
  <si>
    <t>mohammad@yamsteel.com</t>
  </si>
  <si>
    <t>+966 (0)1 477 0512</t>
  </si>
  <si>
    <t>P.O. Box 55303</t>
  </si>
  <si>
    <t>Aqaria Asteen 6th Floor Building 2 Office No 6201</t>
  </si>
  <si>
    <t>+966 (0)1 479 1943</t>
  </si>
  <si>
    <t>174723-22</t>
  </si>
  <si>
    <t>Middle East Healthcare Company (SAU: 4009)</t>
  </si>
  <si>
    <t>Meahco, Saudi German Health</t>
  </si>
  <si>
    <t>Middle East Healthcare Co CJSC</t>
  </si>
  <si>
    <t>Dr Sulaiman Al Habib, Mouwasat Medical Services, Emirates Hospitals Group, Mediclinic Middle East Management Services</t>
  </si>
  <si>
    <t>Middle East Healthcare Co is a Saudi Arabia-based company engaged in the business of managing, operating and maintaining hospitals, medical centers, educational centers, rehabilitation centers, physiotherapy, laboratories and radiology centers, pharmacies, construction, and to buy land for the purpose of constructing medical projects and to establish, manage and organize exhibitions for the company.</t>
  </si>
  <si>
    <t>chain of hospital, hospital, hospital owner, surgical specialties</t>
  </si>
  <si>
    <t>4009</t>
  </si>
  <si>
    <t>283103-92P</t>
  </si>
  <si>
    <t>Khaled Batterjee</t>
  </si>
  <si>
    <t>+966 (0)12 260 6000</t>
  </si>
  <si>
    <t>4, Batterjee Road</t>
  </si>
  <si>
    <t>Al-Zahra District</t>
  </si>
  <si>
    <t>info@meahco.sa</t>
  </si>
  <si>
    <t>174686-50</t>
  </si>
  <si>
    <t>Alandalus Property (SAU: 4320)</t>
  </si>
  <si>
    <t>Alandalus Property Co</t>
  </si>
  <si>
    <t>Alandalus Property Co is a real estate development company based in Saudi Arabia. The main activities of the Company include construction, ownership and management of centers, commercial and residential complexes in addition to general contracting of residential, commercial buildings, educational, recreational, health institutions, roads, dams, water and sewage projects, electrical and mechanical works. The activities also include maintenance and operation of real estate properties, buildings and commercial complexes as well as ownership, development and investment of lands and properties for the benefit of the Company and based on its purposes.</t>
  </si>
  <si>
    <t>property management, real estate, real estate company, real estate construction, real estate development, real estate land</t>
  </si>
  <si>
    <t>2016: 46</t>
  </si>
  <si>
    <t>4320</t>
  </si>
  <si>
    <t>329969-71P</t>
  </si>
  <si>
    <t>Abdulsalam Al-Aqeel</t>
  </si>
  <si>
    <t>aalaqeel@alandalus.com.sa</t>
  </si>
  <si>
    <t>+966 (0)11 470 0735</t>
  </si>
  <si>
    <t>P.O.Box 260020</t>
  </si>
  <si>
    <t>11342</t>
  </si>
  <si>
    <t>+966 (0)11 450 6760</t>
  </si>
  <si>
    <t>mail@alandalus.com.sa</t>
  </si>
  <si>
    <t>163027-00</t>
  </si>
  <si>
    <t>Saudi Ground Services Company (SAU: 4031)</t>
  </si>
  <si>
    <t>Saudi Arabian Airlines Ground Services</t>
  </si>
  <si>
    <t>Saudi Ground Services Co.</t>
  </si>
  <si>
    <t>Saudi Ground Services Co provides ground management services to airline customers. The company is engaged in providing aircraft cleaning, passenger handling, fuel, baggage, and ground handling services to Saudi Arabian Airlines as well as other local and foreign airlines.</t>
  </si>
  <si>
    <t>Other Commercial Services*, Other Services (B2C Non-Financial)</t>
  </si>
  <si>
    <t>airline, airline services, airline services company, baggage tags, ground management, handles services</t>
  </si>
  <si>
    <t>4031</t>
  </si>
  <si>
    <t>300627-19P</t>
  </si>
  <si>
    <t>Khalid Al-Buainain</t>
  </si>
  <si>
    <t>kalbuainain@saudiags.com</t>
  </si>
  <si>
    <t>+966 (0)2 690 9999</t>
  </si>
  <si>
    <t>6649 King Abdul Aziz Road</t>
  </si>
  <si>
    <t>Al Basatin Dist. Unit No 3</t>
  </si>
  <si>
    <t>23719</t>
  </si>
  <si>
    <t>+966 (0)12 690 9866</t>
  </si>
  <si>
    <t>mdhaifallah@saudiags.com</t>
  </si>
  <si>
    <t>163027-99</t>
  </si>
  <si>
    <t>Saudi Company For Hardware (SAU: 4008)</t>
  </si>
  <si>
    <t>Saudi Company for Hardware JSC</t>
  </si>
  <si>
    <t>Saudi Company for Hardware is principally engaged in the retailing and wholesaling of household and office supplies and appliances, construction tools and equipment, and electrical tools and hardware. Along with subsidiaries, the company operates in the following segments: Sales and Services, and Logistic Services. A majority of its revenue is generated from the Sales and Services segment, which includes the sale of goods made to retail and wholesale customers. The service department represents the services department's income from the delivery, installation, and maintenance of items sold. The Logistics segment provides a comprehensive logistics offering to its clients, including freight forwarding, transportation, and contract logistics. Geographically, the group operates in Saudi Arabia.</t>
  </si>
  <si>
    <t>Department Stores*, Distributors/Wholesale, Internet Retail</t>
  </si>
  <si>
    <t>construction tools, hardware boxes, products, retail sales, wholesale</t>
  </si>
  <si>
    <t>2019: 2000</t>
  </si>
  <si>
    <t>4008</t>
  </si>
  <si>
    <t>331339-33P</t>
  </si>
  <si>
    <t>Amer Omar</t>
  </si>
  <si>
    <t>aomar@saco.sa</t>
  </si>
  <si>
    <t>+966 (0)11 463 6677</t>
  </si>
  <si>
    <t>Talal Abou Ghazalah Building, 1st &amp; 3rd Floor</t>
  </si>
  <si>
    <t>King Fahad road</t>
  </si>
  <si>
    <t>11622</t>
  </si>
  <si>
    <t>+966 (0)11 465 7933</t>
  </si>
  <si>
    <t>163014-85</t>
  </si>
  <si>
    <t>Electrical Industries (SAU: 1303)</t>
  </si>
  <si>
    <t>EIC</t>
  </si>
  <si>
    <t>Electrical Industries Co.</t>
  </si>
  <si>
    <t>Electrical Industries Co is engaged in producing electrical products and equipment. The company operates in two reportable segments namely Manufacturing, assembly and supply of various types of electrical equipment; and Provision of technical services. Its product portfolio includes Transformers, Cable Management System, Low, Medium and High Voltage Equipment and Industrial Services.</t>
  </si>
  <si>
    <t>Electrical Equipment*, Other Commercial Products</t>
  </si>
  <si>
    <t>compact substations, lv control, mv &amp; lv switch gears, panels, slim transformers, unit substations</t>
  </si>
  <si>
    <t>1303</t>
  </si>
  <si>
    <t>330200-29P</t>
  </si>
  <si>
    <t>Medhat Ghaleb</t>
  </si>
  <si>
    <t>Chief Financial Officer, Director of Finance &amp; Executive Vice President of Finance &amp; Information Technology</t>
  </si>
  <si>
    <t>mmedhat@eic.com.sa</t>
  </si>
  <si>
    <t>+966 (0)13 810 0280</t>
  </si>
  <si>
    <t>First Industrial City of Dammam</t>
  </si>
  <si>
    <t>P.O. Box 6033</t>
  </si>
  <si>
    <t>31442</t>
  </si>
  <si>
    <t>+966 (0)13 810 0265</t>
  </si>
  <si>
    <t>info@eic.com.sa</t>
  </si>
  <si>
    <t>60492-34</t>
  </si>
  <si>
    <t>Baan Group Holding (SAU: 1820)</t>
  </si>
  <si>
    <t>Al Hokair Group</t>
  </si>
  <si>
    <t>Baan</t>
  </si>
  <si>
    <t>Baan Group Holding Co.</t>
  </si>
  <si>
    <t>Ban Group Holding Co, formerly Abdul Mohsen Al-Hokair Group for Tourism and Development company is engaged in the hospitality and entertainment industries in the Kingdom of Saudi Arabia. It operates and manages hotels, tourist resorts, shopping malls, restaurants, meetings, and events. Its reportable segment involves Hotels, Entertainment, and Others. It derives maximum revenue from the Hospitality segment.</t>
  </si>
  <si>
    <t>Hotels and Resorts</t>
  </si>
  <si>
    <t>Hotels and Resorts*, Leisure Facilities, Other Restaurants, Hotels and Leisure</t>
  </si>
  <si>
    <t>amusement park, entertainment center, hospitality firm, hospitality services, hotel, restaurant, tourist</t>
  </si>
  <si>
    <t>2012: 5000, 2014: 2729, 2023: 2462</t>
  </si>
  <si>
    <t>1820</t>
  </si>
  <si>
    <t>57046-24P</t>
  </si>
  <si>
    <t>Sami bin Abdulmohsen Al-Hokair</t>
  </si>
  <si>
    <t>sami@alhokair.com</t>
  </si>
  <si>
    <t>+966 (0)11 413 4444</t>
  </si>
  <si>
    <t>2757 Northern Ring Road</t>
  </si>
  <si>
    <t>Al Murooj, Exit 5</t>
  </si>
  <si>
    <t>info@baanholding.com</t>
  </si>
  <si>
    <t>63860-95</t>
  </si>
  <si>
    <t>Etihad GO Telecom (SAU: 7040)</t>
  </si>
  <si>
    <t>Etihad GO Telecom Co</t>
  </si>
  <si>
    <t>Albanian Mobile Communications, Rakuten Communications, DELTA Fiber, Spectrum, AT&amp;T, Spectrum Audio Visual, PT Delta Nusantara Networks, Cable One, Level 3 Communications, ZTE, Ericsson, Webex Communications, Snap Internet, Rakuten Mobile, ADTRAN Holdings, Verizon Communications, Nokia, Airspan Networks, Fujitsu</t>
  </si>
  <si>
    <t>Etihad GO Telecom Co is a telecommunications operator company in Saudi Arabia. The company's business portfolio services include connectivity and Internet, voice solutions, managed services, Internet of Things, digital solutions services, fiber Internet, wireless Internet, and many other services.</t>
  </si>
  <si>
    <t>broadband internet, broadband internet access, directory services, private network, telecommunication firm, wireless service</t>
  </si>
  <si>
    <t>Failed Transaction (M&amp;A)</t>
  </si>
  <si>
    <t>2012: 409</t>
  </si>
  <si>
    <t>7040</t>
  </si>
  <si>
    <t>72985-87P</t>
  </si>
  <si>
    <t>Sherif Riad</t>
  </si>
  <si>
    <t>+966 (0)11 511 1100</t>
  </si>
  <si>
    <t>3704 King Abdullah Branch Rd</t>
  </si>
  <si>
    <t>Almughrizat District, PO Box 12482</t>
  </si>
  <si>
    <t>11391</t>
  </si>
  <si>
    <t>info@atheeb.net</t>
  </si>
  <si>
    <t>163875-52</t>
  </si>
  <si>
    <t>Saudi Marketing Company (SAU: 4006)</t>
  </si>
  <si>
    <t>Saudi Marketing Co Ltd</t>
  </si>
  <si>
    <t>Saudi Marketing Co operates stores. The farm markets include a wide products and varieties of fresh products, consumer goods, and household items. It operates in three segments: The retail segment- this segment includes sale of goods to customers commonly at the store checkout for the sales via the Group's stores. The household segment- this segment includes sale of goods to the wholesale customers. The entertainment service segment- this segment includes services provided by operating kids play grounds "Adventure World". Key revenue is generated from Retail segment.</t>
  </si>
  <si>
    <t>Department Stores*, General Merchandise Stores</t>
  </si>
  <si>
    <t>consumer goods, grocery items, retail, supermarket chain, supermarkets, superstore</t>
  </si>
  <si>
    <t>4006</t>
  </si>
  <si>
    <t>340794-73P</t>
  </si>
  <si>
    <t>Maher Al Aswad</t>
  </si>
  <si>
    <t>malaswad@farm.com.sa</t>
  </si>
  <si>
    <t>+966 (0)13 853 5800</t>
  </si>
  <si>
    <t>Saudi Arabia Eastern Region - Al- Dammam</t>
  </si>
  <si>
    <t>31412</t>
  </si>
  <si>
    <t>+966 (0)13 826 7779</t>
  </si>
  <si>
    <t>info@farm.com.sa</t>
  </si>
  <si>
    <t>163877-05</t>
  </si>
  <si>
    <t>Bawan (SAU: 1302)</t>
  </si>
  <si>
    <t>Bawan Co</t>
  </si>
  <si>
    <t>Bawan Co is engaged in the manufacturing of metal and steelworks, wooden pallets, plywood panels, boards and all acts of carpentry and decorations, electrical transformers, packaged and unit substations and ready-mix and concrete products. The company's operating segments include Metal and Wood, Plastic, Electrical and Concrete. It derives the majority of its revenues from Metal and Wood.</t>
  </si>
  <si>
    <t>aluminum doors, building materials, hot rolled coil, manufacturing, metal, steelworks</t>
  </si>
  <si>
    <t>2013: 2810</t>
  </si>
  <si>
    <t>1302</t>
  </si>
  <si>
    <t>305290-45P</t>
  </si>
  <si>
    <t>Mohammad bin Ahmad Al Balawi</t>
  </si>
  <si>
    <t>+966 (0)11 291 7799</t>
  </si>
  <si>
    <t>King Fahd Road, Al, Sahab Building 1073</t>
  </si>
  <si>
    <t>11371</t>
  </si>
  <si>
    <t>+966 (0)11 291 5858</t>
  </si>
  <si>
    <t>info@bawan.com.sa</t>
  </si>
  <si>
    <t>163873-36</t>
  </si>
  <si>
    <t>AlJazira Takaful Taawuni (SAU: 8012)</t>
  </si>
  <si>
    <t>Aljazira Takaful Taawuni Co</t>
  </si>
  <si>
    <t>Aljazira Takaful Taawuni Co provides protection and savings insurance solutions to individuals as well as public and private sector companies. It has the following operating segments: Non-life, Individual Life, and Group Life. The business operations of the company are located in the Kingdom of Saudi Arabia.</t>
  </si>
  <si>
    <t>Commercial/Professional Insurance</t>
  </si>
  <si>
    <t>Commercial/Professional Insurance*, Multi-line Insurance</t>
  </si>
  <si>
    <t>insurance, professional insurance, protection insurance, savings insurance</t>
  </si>
  <si>
    <t>2013: 85, 2021: 165, 2022: 164, 2023: 192, 2024: 183</t>
  </si>
  <si>
    <t>8012</t>
  </si>
  <si>
    <t>339604-93P</t>
  </si>
  <si>
    <t>Sager Nadershah</t>
  </si>
  <si>
    <t>snadershah@aljaziratakaful.com.sa</t>
  </si>
  <si>
    <t>+966 (0)12 668 8877</t>
  </si>
  <si>
    <t>Hira Street, Al Salamah</t>
  </si>
  <si>
    <t>U-Zone Building</t>
  </si>
  <si>
    <t>+966 (0)12 667 7284</t>
  </si>
  <si>
    <t>164464-39</t>
  </si>
  <si>
    <t>Northern Region Cement (SAU: 3004)</t>
  </si>
  <si>
    <t>Northern Region Cement Co</t>
  </si>
  <si>
    <t>Northern Region Cement Co. produces various kinds of cement, as well as manages and operates cement plants and wholesales &amp; retails building products and materials. The company and its subsidiaries are managed as a single operational segment in the manufacture and production of cement of all kinds, and the company and its subsidiaries operate in Saudi Arabia. The Company's revenues consist mainly of Portland cement and White cement.</t>
  </si>
  <si>
    <t>cement, cement bags, cement maker, cement mill, gray cement, portland cement</t>
  </si>
  <si>
    <t>2012: 565</t>
  </si>
  <si>
    <t>3004</t>
  </si>
  <si>
    <t>340349-86P</t>
  </si>
  <si>
    <t>Saud Arifi</t>
  </si>
  <si>
    <t>Managing Director of the Board of Directors</t>
  </si>
  <si>
    <t>+966 (0)4 663 3661</t>
  </si>
  <si>
    <t>Arar, Saudi Arabia</t>
  </si>
  <si>
    <t>PO Box 3100</t>
  </si>
  <si>
    <t>Arar</t>
  </si>
  <si>
    <t>+966 (0)4 661 1040</t>
  </si>
  <si>
    <t>63938-62</t>
  </si>
  <si>
    <t>Dallah Healthcare (SAU: 4004)</t>
  </si>
  <si>
    <t>Dallah Healthcare Holding Co, Dallah Healthcare Holding Company, Dallah Healthcare Holding</t>
  </si>
  <si>
    <t>Dallah, DallahHealth</t>
  </si>
  <si>
    <t>Mouwasat Medical Services, Dr Sulaiman Al Habib</t>
  </si>
  <si>
    <t>Dallah Healthcare Co provides and operates healthcare programs and utilities in the Kingdom of Saudi Arabia. The objectives of the company include operating, managing and maintaining the healthcare entities, wholesale medicines and retail of medical and surgical equipment, prosthetics and devices for the disabled, hospital equipment and manufacturing medicines, pharmaceuticals, herbals, health, cosmetics, detergents, disinfectants and the packaging in the Kingdom of Saudi Arabia. The reportable segments of the company are Medical Services/Medicine and Pharmaceutical products. The majority of the company's revenue is earned from the Medical service segment.</t>
  </si>
  <si>
    <t>Distributors (Healthcare), Hospitals/Inpatient Services*</t>
  </si>
  <si>
    <t>healthcare, healthcare agency, healthcare firm, hospital operator, medicine production, pharmaceutical</t>
  </si>
  <si>
    <t>4004</t>
  </si>
  <si>
    <t>380000-98P</t>
  </si>
  <si>
    <t>Ahmad bin Saleh Babaeer</t>
  </si>
  <si>
    <t>ababaeer@dallahhealth.com</t>
  </si>
  <si>
    <t>+966 (0)11 225 5065</t>
  </si>
  <si>
    <t>King Fahad Road, Nakheel</t>
  </si>
  <si>
    <t>12381</t>
  </si>
  <si>
    <t>+966 (0)11 299 5555</t>
  </si>
  <si>
    <t>info@dallahhealth.com</t>
  </si>
  <si>
    <t>164475-91</t>
  </si>
  <si>
    <t>City Cement (SAU: 3003)</t>
  </si>
  <si>
    <t>City Cement Co</t>
  </si>
  <si>
    <t>City Cement Co produces a wide range of cement products in Saudi Arabia. It offers Ordinary Portland cement suitable for modern construction, concrete works, restoration work, and Sulfate resistant cement used in dam projects, marine works such as ports and berths, sewage stations, bases, and construction foundations. Geographically, the company operates in Kingdom of Saudi Arabia only.</t>
  </si>
  <si>
    <t>cement distribution, cement products, concrete, construction, raw cement, raw cement distributor</t>
  </si>
  <si>
    <t>2016: 421</t>
  </si>
  <si>
    <t>3003</t>
  </si>
  <si>
    <t>339989-23P</t>
  </si>
  <si>
    <t>Majed Al Asilaan</t>
  </si>
  <si>
    <t>Chief Executive Officer &amp; Executive Board Member</t>
  </si>
  <si>
    <t>m.alosailan@citycement.sa</t>
  </si>
  <si>
    <t>P.O.Box 859</t>
  </si>
  <si>
    <t>11041</t>
  </si>
  <si>
    <t>164476-00</t>
  </si>
  <si>
    <t>Catrion Catering Holding (SAU: 6004)</t>
  </si>
  <si>
    <t>Saudi Airlines Catering</t>
  </si>
  <si>
    <t>Catrion</t>
  </si>
  <si>
    <t>Catrion Catering Holding Co.</t>
  </si>
  <si>
    <t>Catrion Catering Holding Co formerly Saudi Airlines Catering Co is engaged in the provision of cooked and non-cooked food to private and public sectors, provision of sky sales, operation and management of duty-free zones in Saudi Arabian airports, and ownership, operation, and management of restaurants at airports and other places, and the ownership, operation, and management of central laundries. It provides catering services to Saudi Arabian Airlines and other foreign airlines. The company has two operating segments; Inflight includes Inflight catering, airline equipment, and business lounge, Retail includes Onboard, ground and online: and Catering and Facilities include Remote &amp; Camp management, Business &amp; Industries catering, Security services, Laundry services, Hajj and Umrah.</t>
  </si>
  <si>
    <t>airline catering facility, airline catering services, catering food, flight catering, food catering company, food catering service</t>
  </si>
  <si>
    <t>2011: 102662, 2012: 102662</t>
  </si>
  <si>
    <t>6004</t>
  </si>
  <si>
    <t>484423-93P</t>
  </si>
  <si>
    <t>Mahmoud Masoud</t>
  </si>
  <si>
    <t>Chief Financial Officer &amp; Executive Vice President</t>
  </si>
  <si>
    <t>mmasoud@catrion.com</t>
  </si>
  <si>
    <t>+966 (0)92 002 2081</t>
  </si>
  <si>
    <t>Prince Sultan Road - Al Muhammadiyah District 5</t>
  </si>
  <si>
    <t>P.O. Box 9178</t>
  </si>
  <si>
    <t>21413</t>
  </si>
  <si>
    <t>+966 (0)12 233 9481</t>
  </si>
  <si>
    <t>info@catrion.com</t>
  </si>
  <si>
    <t>54749-08</t>
  </si>
  <si>
    <t>Seera (SAU: 1810)</t>
  </si>
  <si>
    <t>Al Tayyar Travel Group</t>
  </si>
  <si>
    <t>Al Tayyar Travel, Seera Group</t>
  </si>
  <si>
    <t>Seera Group Holding is a Saudi Joint Stock company registered in Riyadh, Kingdom of Saudi Arabia. Al Tayyar Travel Group activities encompass scheduled air travel services, tourism, cargo, transportation, Hajj and Umrah, conferences and events, education, chartered flights, furnished suites and hotels, shipping, and other travel-related services and products. The group comprises the following business segments namely Ticketing, Tourism, Transportation, Hospitality, and Property rentals. The company generates the majority of its revenue from the Tourism segment which provides hotel booking services, package holidays and room rentals. Services may be sold separately or in bundled packages (hotel booking and airline ticket).</t>
  </si>
  <si>
    <t>Hotels and Resorts, Other Commercial Services, Other Restaurants, Hotels and Leisure*, Other Services (B2C Non-Financial)</t>
  </si>
  <si>
    <t>online books, online hotel books, tourism services, travel and tourism</t>
  </si>
  <si>
    <t>2012: 1808</t>
  </si>
  <si>
    <t>1810</t>
  </si>
  <si>
    <t>57090-25P</t>
  </si>
  <si>
    <t>Nasser Al Tayyar</t>
  </si>
  <si>
    <t>Founder</t>
  </si>
  <si>
    <t>nasser@altayyargroup.com</t>
  </si>
  <si>
    <t>+966 (0)11 290 9293</t>
  </si>
  <si>
    <t>3730 Imam Saud bin Abdulaziz</t>
  </si>
  <si>
    <t>At Taawun District</t>
  </si>
  <si>
    <t>11573</t>
  </si>
  <si>
    <t>164508-76</t>
  </si>
  <si>
    <t>Najran Cement (SAU: 3002)</t>
  </si>
  <si>
    <t>Najran Cement Co</t>
  </si>
  <si>
    <t>Arabian Cement (Saudi Arabia), Saudi Cement</t>
  </si>
  <si>
    <t>Najran Cement Co is engaged in the business of manufacturing ordinary Portland cement and cement resistant to salts. Its products include Type I-Ordinary Portland Cement and Type V-Sulphate Resistant Cement. The company is engaged in one operating segment, i.e., manufacturing cement and operates in the Kingdom of Saudi Arabia and certain foreign jurisdictions.</t>
  </si>
  <si>
    <t>cement, cement production, construction, construction materials, manufacturer, manufacturing</t>
  </si>
  <si>
    <t>2016: 897</t>
  </si>
  <si>
    <t>3002</t>
  </si>
  <si>
    <t>341119-99P</t>
  </si>
  <si>
    <t>Rami Jneid</t>
  </si>
  <si>
    <t>+966 (0)17 529 9990</t>
  </si>
  <si>
    <t>Post Office Box 1006</t>
  </si>
  <si>
    <t>Head Office King Saud Road</t>
  </si>
  <si>
    <t>66256-3579</t>
  </si>
  <si>
    <t>+966 (0)17 529 9991</t>
  </si>
  <si>
    <t>info@najrancement.com</t>
  </si>
  <si>
    <t>65264-32</t>
  </si>
  <si>
    <t>Takween Advanced Industries (SAU: 1201)</t>
  </si>
  <si>
    <t>Al-Othman Plastic Products</t>
  </si>
  <si>
    <t>Takween Advanced Industries JSC</t>
  </si>
  <si>
    <t>Takween Advanced Industries is an industrial investment company. The company is engaged in the manufacturing and sale of plastic products to a variety of industrial sectors, such as the dairy, foods, juices, and soft drinks industries. The company include two reportable segments: Food packaging: This segment includes manufacturing and sales of preforms, bottles, caps, cups, and lids; Industrial packaging: This segment includes manufacturing and sales of drums, crates, containers, bags, films, pallets, and tubes.</t>
  </si>
  <si>
    <t>investment, investment arms, investment trust, plastic, plastic molds, plastic packaging</t>
  </si>
  <si>
    <t>2011: 623, 2012: 623</t>
  </si>
  <si>
    <t>1201</t>
  </si>
  <si>
    <t>317920-78P</t>
  </si>
  <si>
    <t>Majed Nofal</t>
  </si>
  <si>
    <t>mnofal@takweenai.com</t>
  </si>
  <si>
    <t>+966 (0)13 853 4355</t>
  </si>
  <si>
    <t>P.O. Box 2500</t>
  </si>
  <si>
    <t>Al-Tuwairqi Tower, 2nd Floor, King Fahad Road</t>
  </si>
  <si>
    <t>Rakkah District</t>
  </si>
  <si>
    <t>+966 (0)13 853 4343</t>
  </si>
  <si>
    <t>info@takweenai.com</t>
  </si>
  <si>
    <t>164526-67</t>
  </si>
  <si>
    <t>United Wire Factories (SAU: 1301)</t>
  </si>
  <si>
    <t>ASLAK</t>
  </si>
  <si>
    <t>United Wire Factories Co</t>
  </si>
  <si>
    <t>United Wire Factories Co is engaged in the manufacturing of metal wires and other construction-related products. The company operates in two segments: Industrial sector sales which includes products that serve the construction sector for construction, building and housing projects; Commercial sector sales which includes products that serve the consumer civil sector. Some of its products include Steel Rebar, Concertina Wires, Welded Wires Mesh, Cloth Hangers, wood, Fence, Nails, Block Ladder Mesh, Galvanized Wire, and PVC Coated Wires.</t>
  </si>
  <si>
    <t>Building Products*, Other Commercial Products</t>
  </si>
  <si>
    <t>industrial firm, industrial sector, industrial steel wire, manufacturing, steel wire, steel wire product</t>
  </si>
  <si>
    <t>2012: 471, 2022: 612, 2023: 640</t>
  </si>
  <si>
    <t>1301</t>
  </si>
  <si>
    <t>342012-79P</t>
  </si>
  <si>
    <t>Abdul Hamid Hosni Ibrahim</t>
  </si>
  <si>
    <t>Financial Director</t>
  </si>
  <si>
    <t>aibrahim@unitedwires.com</t>
  </si>
  <si>
    <t>+966 (0)11 265 5556</t>
  </si>
  <si>
    <t>P.O.Box 355208</t>
  </si>
  <si>
    <t>Second Industrial City - Kharj Road</t>
  </si>
  <si>
    <t>+966 (0)11 265 1668</t>
  </si>
  <si>
    <t>164237-86</t>
  </si>
  <si>
    <t>United Electronics Company (SAU: 4003)</t>
  </si>
  <si>
    <t>eXtra</t>
  </si>
  <si>
    <t>United Electronics Co JSC</t>
  </si>
  <si>
    <t>Best Buy, HHGregg, Sony Group, Rakuten Belanja Online, NS2.com Internet, Magazine Luiza, Bed Bath &amp; Beyond, Kabum, Nova Pontocom Comércio Eletrônico</t>
  </si>
  <si>
    <t>United Electronics Co is principally engaged in the business activities of wholesale and retail. The company trades in Electric appliances, Electronic gadgets, Computers, and spare parts and accessories, Furniture, Office equipment and tools, Car recorder installations, Maintenance and repair services, Mobile, Chips, and third-party marketing. It operates in two segments: Sales and services and Consumer Finance. The company generates maximum revenue from the Sales and services segment. Geographically, it generates the majority of its revenue from Saudi Arabia.</t>
  </si>
  <si>
    <t>Electronics (B2C)*, Internet Retail</t>
  </si>
  <si>
    <t>electric appliances, electronic, electronic goods, electronic retail, electronics retailer, home appliances retail</t>
  </si>
  <si>
    <t>2008: 783, 2009: 1062, 2010: 1626, 2011: 1711, 2012: 1626, 2016: 2166, 2023: 2620</t>
  </si>
  <si>
    <t>4003</t>
  </si>
  <si>
    <t>263259-64P</t>
  </si>
  <si>
    <t>Mohamed Fahmy</t>
  </si>
  <si>
    <t>+966 (0)13 829 9600</t>
  </si>
  <si>
    <t>King Faisal bin Abdulaziz</t>
  </si>
  <si>
    <t>Al Rawabi district</t>
  </si>
  <si>
    <t>+966 (0)13 858 1532</t>
  </si>
  <si>
    <t>164701-99</t>
  </si>
  <si>
    <t>Arabian Pipes (SAU: 2200)</t>
  </si>
  <si>
    <t>Chemical Development Company</t>
  </si>
  <si>
    <t>APC</t>
  </si>
  <si>
    <t>Arabian Pipes Co.</t>
  </si>
  <si>
    <t>Arabian Pipes Co is engaged in the production and marketing of longitudinally welded steel pipes for pipelines and for construction and commercial purposes. Its other activities include bending, shaping, and threading pipes from the outside and inside, carrying out commercial business such as selling and buying pipes, and their accessories, carrying out pipeline extension works, manufacturing pipes, hoses, plastic pipes, their connections and accessories, and manufacturing hollow iron and steel.</t>
  </si>
  <si>
    <t>couplings, oil and gas pipeline inspection, oil and gas pipeline manufacturer, pipes dealer, slitting, welded steel pipes company</t>
  </si>
  <si>
    <t>2010: 380, 2012: 380</t>
  </si>
  <si>
    <t>2200</t>
  </si>
  <si>
    <t>379203-85P</t>
  </si>
  <si>
    <t>Ahmed Al-Lohaidan</t>
  </si>
  <si>
    <t>al-lohaidanahmed@arabian-pipes.com</t>
  </si>
  <si>
    <t>+966 (0)11 265 0123</t>
  </si>
  <si>
    <t>Kingdom of Saudi Arabia 42734</t>
  </si>
  <si>
    <t>11551</t>
  </si>
  <si>
    <t>+966 (0)11 265 0312</t>
  </si>
  <si>
    <t>info@arabian-pipes.com</t>
  </si>
  <si>
    <t>164644-39</t>
  </si>
  <si>
    <t>Al Jouf Cement (SAU: 3091)</t>
  </si>
  <si>
    <t>Al Jouf Cement Co</t>
  </si>
  <si>
    <t>Al Jouf Cement Co is a Saudi Arabia-based company that engages in the production and sale of ordinary cement (Portland), salt-resistant cement, agglomerated cement (clinker), and pozzolanic cement. The group practices its cooking activity in the city of Turaif in the Kingdom of Saudi Arabia.</t>
  </si>
  <si>
    <t>Distributors/Wholesale*, Raw Materials (Non-Wood)</t>
  </si>
  <si>
    <t>cement distribution, cement distributor, cement manufacturer, cement mill, cement retail, portland cement</t>
  </si>
  <si>
    <t>2011: 275</t>
  </si>
  <si>
    <t>3091</t>
  </si>
  <si>
    <t>339555-34P</t>
  </si>
  <si>
    <t>Alabbas Al Musaed</t>
  </si>
  <si>
    <t>a.almusaed@joufcem.com.sa</t>
  </si>
  <si>
    <t>+966 (0)11 200 0388</t>
  </si>
  <si>
    <t>Post Box 295689</t>
  </si>
  <si>
    <t>Al-Rabwa District, Omar Bin Abdulaziz Road, next to Al-Tamimi Markets Building, Al Fayez B</t>
  </si>
  <si>
    <t>+966 (0)11 210 9899</t>
  </si>
  <si>
    <t>h.s.alghamdi@joufcem.com.sa</t>
  </si>
  <si>
    <t>98688-97</t>
  </si>
  <si>
    <t>Al Hassan Ghazi Ibrahim Shaker (SAU: 1214)</t>
  </si>
  <si>
    <t>Shaker Group, HGISC</t>
  </si>
  <si>
    <t>Al Hassan Ghazi Ibrahim Shaker Company</t>
  </si>
  <si>
    <t>Al Hassan Ghazi Ibrahim Shaker is engaged in trading and wholesale parts, electronic equipment, household equipment and air-conditioners, and maintenance. It also provides agency services for companies in the same business. The group's reportable business segments are HVAC Solutions, Home Appliances, and Others. The majority of its revenue is generated from the HVAC Solutions segment, which represents revenue generated from residential and commercial conditioners, including chillers and related services. The Home Appliances segment represents televisions, washing machines, dryers, refrigerators, irons, gas cookers, and floor care, and the Others segment represents consultancy services for energy solutions and the sale of mobile phones.</t>
  </si>
  <si>
    <t>Household Appliances</t>
  </si>
  <si>
    <t>Household Appliances*</t>
  </si>
  <si>
    <t>air conditioner, air conditioning solutions, electronic equipment, home appliances, home appliances retail, household equipment</t>
  </si>
  <si>
    <t>2011: 905, 2012: 1169</t>
  </si>
  <si>
    <t>1214</t>
  </si>
  <si>
    <t>183678-13P</t>
  </si>
  <si>
    <t>Abdulelah Abunayyan</t>
  </si>
  <si>
    <t>Non-Executive Chairman</t>
  </si>
  <si>
    <t>aaa@shaker.com.sa</t>
  </si>
  <si>
    <t>+966 (0)12 644 5208</t>
  </si>
  <si>
    <t>As Sahafah</t>
  </si>
  <si>
    <t>Al Sahafah District</t>
  </si>
  <si>
    <t>info@shaker.com.sa</t>
  </si>
  <si>
    <t>164708-20</t>
  </si>
  <si>
    <t>Al Akaria (SAU: 4020)</t>
  </si>
  <si>
    <t>Saudi Real Estate</t>
  </si>
  <si>
    <t>Saudi Real Estate Co</t>
  </si>
  <si>
    <t>Saudi Real Estate Co is licensed to buy and sell land and real estate, subdividing them, conducting off-plan sales, and managing and leasing residential and non-residential properties, whether owned or rented. The company has six reportable segments Rental Sector, Property Sales Sector, Infrastructure projects sector, Construction projects sector, Facility management sector, and Head Office. The company generates the majority of its revenue from the Infrastructure projects sector. The company operates exclusively in the Kingdom of Saudi Arabia.</t>
  </si>
  <si>
    <t>property leasing, property rental, property selling, real estate, real estate service business, real estate services</t>
  </si>
  <si>
    <t>2011: 79, 2012: 79, 2017: 579</t>
  </si>
  <si>
    <t>4020</t>
  </si>
  <si>
    <t>282819-34P</t>
  </si>
  <si>
    <t>Ibrahim Al-Alwan</t>
  </si>
  <si>
    <t>+966 (0)1 460 0000</t>
  </si>
  <si>
    <t>PO Box 3572</t>
  </si>
  <si>
    <t>Olaya Street, Al Aqaria Plaza Center - 5th Floor</t>
  </si>
  <si>
    <t>11481</t>
  </si>
  <si>
    <t>+966 (0)1 460 1234</t>
  </si>
  <si>
    <t>info@al-akaria.com</t>
  </si>
  <si>
    <t>164708-11</t>
  </si>
  <si>
    <t>Qassim Cement (SAU: 3040)</t>
  </si>
  <si>
    <t>QCC</t>
  </si>
  <si>
    <t>Qassim Cement Co.</t>
  </si>
  <si>
    <t>Qassim Cement Co is engaged in manufacturing and producing cement, its derivatives and supplements, the trade of these products, and carrying out all works directly and indirectly related to this purpose. It makes Ordinary Portland Cement, Portland Pozzolana Cement, Sulphate Resistant Cement, and Finishing Cement, among others. Geographically, the company mainly operates in Kingdom of Saudi Arabia.</t>
  </si>
  <si>
    <t>building materials supplier, bulk cement, ordinary portland cement, portland cement, sodium sulphate, sulphate resistant cement</t>
  </si>
  <si>
    <t>2011: 514, 2012: 514, 2024: 39</t>
  </si>
  <si>
    <t>3040</t>
  </si>
  <si>
    <t>341595-46P</t>
  </si>
  <si>
    <t>Masood Ahmed</t>
  </si>
  <si>
    <t>masood@qcc.com.sa</t>
  </si>
  <si>
    <t>+966 (0)16 316 5555</t>
  </si>
  <si>
    <t>Qassim Cement Co Building Number 4266</t>
  </si>
  <si>
    <t>Unit Number: 1</t>
  </si>
  <si>
    <t>52271</t>
  </si>
  <si>
    <t>+966 (0)16 381 6041</t>
  </si>
  <si>
    <t>qcc@qcc.com.sa</t>
  </si>
  <si>
    <t>164705-95</t>
  </si>
  <si>
    <t>Saudi Paper Group (SAU: 2300)</t>
  </si>
  <si>
    <t>Saudi Paper Manufacturing Co manufactures tissue paper. The principal activities of the company are to manufacture tissue paper rolls, convert tissue paper rolls into facial, kitchen and toilet tissue papers and collect, sort, transport, and press waste papers. The reportable segments of the company are Manufacturing and Trading and others. The Manufacturing segment includes buying, manufacturing, and distributing pulp paper, and the Trading and other segment include collecting, sorting, and pressing waste papers. The company generates the majority of its revenue from the Manufacturing segment.</t>
  </si>
  <si>
    <t>Household Products*, Paper/Soft Products</t>
  </si>
  <si>
    <t>paper mill, paper products, paper seller, sanitary paper, tissue paper, tissue product</t>
  </si>
  <si>
    <t>2011: 1413, 2012: 1413</t>
  </si>
  <si>
    <t>2300</t>
  </si>
  <si>
    <t>341661-07P</t>
  </si>
  <si>
    <t>Yousseri Bin Abdul Hamid El Bishry</t>
  </si>
  <si>
    <t>yousseri.bishry@saudipaper.com</t>
  </si>
  <si>
    <t>+966 (0)13 812 1016</t>
  </si>
  <si>
    <t>2598 Industrial City 2, Unit No. 2</t>
  </si>
  <si>
    <t>34326-7169</t>
  </si>
  <si>
    <t>+966 (0)13 812 3209</t>
  </si>
  <si>
    <t>investor.relations@saudipaper.com</t>
  </si>
  <si>
    <t>164711-26</t>
  </si>
  <si>
    <t>Saudi Printing &amp; Packaging Company (SAU: 4270)</t>
  </si>
  <si>
    <t>Al Madina Printing and Publishing Company</t>
  </si>
  <si>
    <t>Saudi Printing &amp; Packaging Co SJSC</t>
  </si>
  <si>
    <t>Saudi Printing &amp; Packaging Co is a printing house in the Middle East and Northern Africa. The business activity of the group is operated in three segments, namely Printing, Packaging, and Other. The Printing segment includes printing works, related tools, and required raw materials. The Packaging segment comprises of printing works on plastic and commercial posters in addition to the manufacture of plastic products. The Other Segment includes the headquarters, management activities, investment activities and others. The majority of the revenue derives from the Packaging segment. Geographically, the company derives revenue from Saudi Arabia, the United Arab Emirates, and Others.</t>
  </si>
  <si>
    <t>Printing Services (B2B)*</t>
  </si>
  <si>
    <t>packaging printing, printing, printing firm, printing materials, printing project, printing works</t>
  </si>
  <si>
    <t>2011: 800, 2012: 800</t>
  </si>
  <si>
    <t>4270</t>
  </si>
  <si>
    <t>341664-67P</t>
  </si>
  <si>
    <t>Frank Ferguson</t>
  </si>
  <si>
    <t>Advisor to the Board of Directors</t>
  </si>
  <si>
    <t>+966 (0)11 203 2022</t>
  </si>
  <si>
    <t>Nakheel Tower, King Fahad Road</t>
  </si>
  <si>
    <t>P.O.Box 50202</t>
  </si>
  <si>
    <t>11523</t>
  </si>
  <si>
    <t>+966 (0)11 203 2027</t>
  </si>
  <si>
    <t>info@sppc.com.sa</t>
  </si>
  <si>
    <t>164707-66</t>
  </si>
  <si>
    <t>Yamama Cement Company (SAU: 3020)</t>
  </si>
  <si>
    <t>Yamama Cement</t>
  </si>
  <si>
    <t>Yamama Cement Co JSC</t>
  </si>
  <si>
    <t>Yamama Cement Co JSC is one of the supreme and oldest cement manufacturers in the Kingdom of Saudi Arabia. It provides a range of cement and clinker products mostly to the construction industry in the country. The company's product portfolio includes Normal Cement; Cement Resistant; Finalise Cement and Salt Resistant Cement.</t>
  </si>
  <si>
    <t>Building Products*, Construction and Engineering, Other Materials</t>
  </si>
  <si>
    <t>building materials, bulk cement, cement, cement and its derivatives, cement plant, cement resistant</t>
  </si>
  <si>
    <t>2011: 1086, 2012: 1086</t>
  </si>
  <si>
    <t>3020</t>
  </si>
  <si>
    <t>342151-93P</t>
  </si>
  <si>
    <t>Khaled ALjafal</t>
  </si>
  <si>
    <t>Executive Vice President of Finance and Information technology</t>
  </si>
  <si>
    <t>khaled.aljafal@yamamacement.com</t>
  </si>
  <si>
    <t>+966 (0)1 408 5600</t>
  </si>
  <si>
    <t>P.O.Box 293</t>
  </si>
  <si>
    <t>+966 (0)1 403 3292</t>
  </si>
  <si>
    <t>headoffice@yamamacement.com</t>
  </si>
  <si>
    <t>164699-65</t>
  </si>
  <si>
    <t>Naseej International Trading (SAU: 1213)</t>
  </si>
  <si>
    <t>Al Sorayai, Al Sorayai Trading And Industrial Company Ltd</t>
  </si>
  <si>
    <t>Naseej International Trading Co is engaged in the import, export, wholesale, and retail trade in carpets and rugs, flooring, furniture and furnishings, antiques, office furniture, kitchens, blankets, curtain fabrics and accessories, and manufacturing of carpets and tuft and manufacturing of industrial yarn from polypropylene, nylon, processed polypropylene treatment and processed nylon (polyamide) and commercial services.</t>
  </si>
  <si>
    <t>Distributors/Wholesale*, Home Furnishings</t>
  </si>
  <si>
    <t>flooring, furniture, laces curtains, manufacturing, rugs carpet, small furniture</t>
  </si>
  <si>
    <t>2011: 2400, 2012: 2250</t>
  </si>
  <si>
    <t>1213</t>
  </si>
  <si>
    <t>484586-74P</t>
  </si>
  <si>
    <t>Ahmed Abdulsalam Elkhatabi</t>
  </si>
  <si>
    <t>aelkhatabi@al-sorayai.com</t>
  </si>
  <si>
    <t>+966 (0)92 002 2511</t>
  </si>
  <si>
    <t>Siteen Street</t>
  </si>
  <si>
    <t>Industrial City- Phase 1, PO Box 31279</t>
  </si>
  <si>
    <t>21441</t>
  </si>
  <si>
    <t>+966 (0)12 234 7003</t>
  </si>
  <si>
    <t>info@al-sorayai.com</t>
  </si>
  <si>
    <t>164710-27</t>
  </si>
  <si>
    <t>Herfy Food Services (SAU: 6002)</t>
  </si>
  <si>
    <t>Herfy</t>
  </si>
  <si>
    <t>Herfy Food Services Co</t>
  </si>
  <si>
    <t>Herfy Food Services Co establishes, operates, and franchises restaurants in the Kingdom of Saudi Arabia. Its restaurants offer cooked meals to companies and others providing catering services; manufactures and sells meat products, as well as bakery and pastry, and sweets and chocolate products; and operates bakeries. In addition, it purchases and sells land for constructing buildings; and owns, uses, maintains, and leases stores and food store fridges. The Company operates in three business segments: Restaurants, Meat factory; and Bakeries. Restaurants, which derives the maximum revenue is involved in providing catering services, operating of restaurants and renting out investment properties.</t>
  </si>
  <si>
    <t>fast food restaurant, restaurant chain, restaurants and cafes, restaurants and cafes operator, restaurants and hotels, restaurants bars</t>
  </si>
  <si>
    <t>2011: 3098, 2012: 3098, 2020: 5403, 2021: 5586, 2022: 5718, 2023: 5506, 2024: 5178</t>
  </si>
  <si>
    <t>6002</t>
  </si>
  <si>
    <t>342582-40P</t>
  </si>
  <si>
    <t>Walid Fatani</t>
  </si>
  <si>
    <t>+966 (0)11 450 9767</t>
  </si>
  <si>
    <t>Al Riyadh, Saudi Arabia</t>
  </si>
  <si>
    <t>Building No 2586</t>
  </si>
  <si>
    <t>Street Dirar ibn al khattab Al muruj Unit No 2</t>
  </si>
  <si>
    <t>+966 (0)11 450 1824</t>
  </si>
  <si>
    <t>info@herfy.com</t>
  </si>
  <si>
    <t>164709-82</t>
  </si>
  <si>
    <t>LEVA Insurance</t>
  </si>
  <si>
    <t>Liva Insurance Co formerly, Al Alamiya for Cooperative Insurance Co operates in the insurance industry. The activities of the company are to transact cooperative insurance and reinsurance operations. The company offers products in the segments of Property insurance; Motor insurance; Engineering; Medical products; Marine insurance; Group life insurance and others, of which key revenue is derived from the Motor insurance segment which provides coverage against losses and liability related to motor vehicles, excluding transport insurance. The company's objectives are also focused on practicing cooperative insurance business and all related businesses such as reinsurance, agencies, representation and correspondence.</t>
  </si>
  <si>
    <t>insurance, insurance quote, insurance services, insurance trust, personal accident insurance, travel insurance</t>
  </si>
  <si>
    <t>339359-59P</t>
  </si>
  <si>
    <t>Yasir Iqbal</t>
  </si>
  <si>
    <t>PO Box 6393</t>
  </si>
  <si>
    <t>alamiya.insurance@sa.rsagroup.com</t>
  </si>
  <si>
    <t>127030-87</t>
  </si>
  <si>
    <t>Mouwasat Medical Services (SAU: 4002)</t>
  </si>
  <si>
    <t>Mouwasat Medical Services Company</t>
  </si>
  <si>
    <t>Dr Sulaiman Al Habib, Middle East Healthcare Company, Mediclinic International, Emirates Hospitals Group, Al Noor Hospitals Group, American Hospital Dubai, Mediclinic Middle East Management Services, Aster DM Healthcare</t>
  </si>
  <si>
    <t>Mouwasat Medical Services Co is engaged in the acquisition, management, operation, and maintenance of hospitals, medical centers, drug stores, pharmacies, and wholesale of medical equipment and drugs. The company also operates skin care centers that offer clinical and cosmetic dermatology, aesthetic and reconstructive plastic surgery, weight reduction, and esthetician services. It operates in two segments Medical Services segment and Pharmaceuticals out of which the Medical Services segment derives the majority of revenue.</t>
  </si>
  <si>
    <t>Life Sciences, Oncology</t>
  </si>
  <si>
    <t>medical care, medical services, medical treatment, patient-care</t>
  </si>
  <si>
    <t>2011: 2389, 2012: 2389</t>
  </si>
  <si>
    <t>4002</t>
  </si>
  <si>
    <t>145289-71P</t>
  </si>
  <si>
    <t>Nasser Sultan Al-Subaie</t>
  </si>
  <si>
    <t>+966 (0)13 820 0000</t>
  </si>
  <si>
    <t>P.O. Box 7011</t>
  </si>
  <si>
    <t>Block 71 - King Fahad Road</t>
  </si>
  <si>
    <t>31462</t>
  </si>
  <si>
    <t>+966 (0)13 820 3436</t>
  </si>
  <si>
    <t>management@mouwasat.com</t>
  </si>
  <si>
    <t>164709-73</t>
  </si>
  <si>
    <t>Chubb Arabia Cooperative Insurance (SAU: 8240)</t>
  </si>
  <si>
    <t>Ace Arabia Cooperative Insurance Co</t>
  </si>
  <si>
    <t>Chubb Arabia Cooperative Insurance Co</t>
  </si>
  <si>
    <t>Chubb Arabia Cooperative Insurance Co is an insurance service provider based in Saudi Arabia. The company's portfolio includes all types of non-life insurance products. The company provides commercial and personal property and casualty insurance, personal accident and supplemental health insurance, reinsurance, and life insurance to a diverse group of clients.</t>
  </si>
  <si>
    <t>Property and Casualty Insurance</t>
  </si>
  <si>
    <t>Property and Casualty Insurance*</t>
  </si>
  <si>
    <t>health insurance service, insurance, personal accident insurance, property and casualty insurance, property and casualty insurance service, property insurance service</t>
  </si>
  <si>
    <t>2012: 17000, 2013: 20000, 2014: 21000, 2015: 18000</t>
  </si>
  <si>
    <t>8240</t>
  </si>
  <si>
    <t>339332-41P</t>
  </si>
  <si>
    <t>Nasir Sheikh</t>
  </si>
  <si>
    <t>nasir.sheikh@chubb.com</t>
  </si>
  <si>
    <t>+966 (0)92 002 4429</t>
  </si>
  <si>
    <t>8th Floor Alkhobar Business GateKing Faisal Street</t>
  </si>
  <si>
    <t>PO Box. 2685</t>
  </si>
  <si>
    <t>+966 (0)13 849 3660</t>
  </si>
  <si>
    <t>customerservice.chubbarabia@chubb.com.sa</t>
  </si>
  <si>
    <t>164704-42</t>
  </si>
  <si>
    <t>Al Rajhi Takaful (SAU: 8230)</t>
  </si>
  <si>
    <t>Al-Rajhi Co</t>
  </si>
  <si>
    <t>Al-Rajhi Co For Cooperative Insurance is engaged in the provision of cooperative insurance and reinsurance services. The purpose of the company is to conduct cooperative insurance operations and all related activities including re-takaful and agency activities. Its operating segments include Medical; Motor; Property and Casualty; and Protection and Savings. The company generates the majority of its revenue from the Motor segment.</t>
  </si>
  <si>
    <t>insurance, insurance cover, insurance operations, motor insurance service, operations firm, property insurance service</t>
  </si>
  <si>
    <t>2011: 115, 2012: 115</t>
  </si>
  <si>
    <t>8230</t>
  </si>
  <si>
    <t>337813-48P</t>
  </si>
  <si>
    <t>Saud Al Ghonaim</t>
  </si>
  <si>
    <t>sghonaim@alrajhitakaful.com</t>
  </si>
  <si>
    <t>+966 (0)11 440 9666</t>
  </si>
  <si>
    <t>8467, King Fahd Road</t>
  </si>
  <si>
    <t>Unit No. 1</t>
  </si>
  <si>
    <t>11517</t>
  </si>
  <si>
    <t>+966 (0)11 475 5017</t>
  </si>
  <si>
    <t>malhodaithy@alrajhitakaful.com</t>
  </si>
  <si>
    <t>164710-63</t>
  </si>
  <si>
    <t>Methanol Chemicals (SAU: 2001)</t>
  </si>
  <si>
    <t>Saudi Formaldehyde Chemical Company</t>
  </si>
  <si>
    <t>Methanol Chemicals Company</t>
  </si>
  <si>
    <t>Methanol Chemicals Co is engaged in the production of Formaldehyde liquid and Urea Formaldehyde liquid or their mixture with different concentrations, Paraformaldehyde, liquid and powder Formaldehyde resins, Hexane Methylene Tetramine, Phenol Formaldehyde resins, concrete improvers, Methanol, Carbon monoxide, Di-methylamine, Monomethylamine, Tri-mon-methylamine, Di-methyl Formamide, Di-methyl carbon, Penta Aritheretol, Sodium Formate and Acetaldehyde.</t>
  </si>
  <si>
    <t>chemicals formula, industrial chemicals, methanol derivatives, pharmaceutical, plasticizer, urea formaldehyde</t>
  </si>
  <si>
    <t>2011: 532, 2012: 532</t>
  </si>
  <si>
    <t>2001</t>
  </si>
  <si>
    <t>314744-23P</t>
  </si>
  <si>
    <t>Habes Al Shammary</t>
  </si>
  <si>
    <t>ha@chemanol.com</t>
  </si>
  <si>
    <t>+966 (0)13 814 4685</t>
  </si>
  <si>
    <t>Building No. 3, 1st Floor</t>
  </si>
  <si>
    <t>Novotel Business Park, Khobar Highway, PO Box 3139</t>
  </si>
  <si>
    <t>+966 (0)13 814 4678</t>
  </si>
  <si>
    <t>164703-25</t>
  </si>
  <si>
    <t>Astra Industrial Group (SAU: 1212)</t>
  </si>
  <si>
    <t>AIG</t>
  </si>
  <si>
    <t>Astra Industrial Group SJSC</t>
  </si>
  <si>
    <t>Astra Industrial Group is an industrial conglomerate in the Kingdom of Saudi Arabia. Its companies are concentrated in the key industrial segments of pharmaceuticals, specialty chemicals, power and steel, and mining. The pharmaceuticals segment develops, manufactures, markets, and distributes branded generic pharmaceuticals and under-licensed products globally. The Specialty chemical segment, produces Masterbatch, dust-free additives, and custom-made thermoplastic compounds plus liquid and paste colorants. Steel segment, which produces steel billets, pre-engineered steel buildings and steel structures and rebar. Other segment is the residual segment and comprises of Astra Industrial Group Holding Company, Astra Arabia Real Estate Company and Desert Pearl Invest Limited.</t>
  </si>
  <si>
    <t>Conglomerates</t>
  </si>
  <si>
    <t>Conglomerates*, Other Chemicals and Gases, Other Pharmaceuticals and Biotechnology</t>
  </si>
  <si>
    <t>chemicals, industrial conglomerate, pharmaceutical, pharmaceutical drugs, pharmaceuticals care, specialty chemicals</t>
  </si>
  <si>
    <t>2011: 1804, 2012: 1804, 2013: 900, 2014: 3172, 2015: 4800, 2017: 3800</t>
  </si>
  <si>
    <t>1212</t>
  </si>
  <si>
    <t>309341-35P</t>
  </si>
  <si>
    <t>Kamil Sadeddin</t>
  </si>
  <si>
    <t>+966 (0)11 475 2002</t>
  </si>
  <si>
    <t>PO Box 1560</t>
  </si>
  <si>
    <t>11441</t>
  </si>
  <si>
    <t>+966 (0)11 475 2001</t>
  </si>
  <si>
    <t>info@aig.sa</t>
  </si>
  <si>
    <t>164709-10</t>
  </si>
  <si>
    <t>Saudi Arabian Mining (SAU: 1211)</t>
  </si>
  <si>
    <t>Ma'aden, Maaden</t>
  </si>
  <si>
    <t>Saudi Arabian Mining Co.</t>
  </si>
  <si>
    <t>Anglo Asian Mining, Richmont Mines, B2Gold, Acacia Mining, Anglo Asian Operations, Alacer Gold, Noble Mineral Exploration, Rupert Resources, Richmond Minerals, Mineros, CDN Maverick Capital, Alamos Gold, Japan Gold, Probe Gold, Beadell Resources, Continental Gold, Copper-X Mining, Corvus Gold, Uranium Energy, Lumina Gold, Novo Resources, Eastmain Resources, Rambler Metals &amp; Mining, Golconda Gold, Golden Minerals</t>
  </si>
  <si>
    <t>Saudi Arabian Mining Co, along with its subsidiaries, is involved in the development of mineral resources in Saudi Arabia. Its activities include the mining of gold, phosphate rock, bauxite, low-grade bauxite, kaolin, and magnesite. It carries out its mining activities at Mahd Ad-Dahab, Bulghah, Al-Amar, Sukhaybarat, As Suq, Ad Duwayhi, Al-Jalamid, Al-Khabra, Az Zabirah, Al-Ghazallah, and Al-Ba'itha mines. It operates through various segments such as phosphate, aluminum, precious &amp; Base Metals and New Minerals, and All other. Its geographical segments are Europe, Spain, and the Indian Subcontinent.</t>
  </si>
  <si>
    <t>Gold Mining</t>
  </si>
  <si>
    <t>Gold Mining*, Other Metals, Minerals and Mining</t>
  </si>
  <si>
    <t>aluminum mining, bauxite, gold mining service, mining, mining coal, mining site</t>
  </si>
  <si>
    <t>2011: 3020, 2012: 4366, 2013: 5763, 2014: 6149, 2015: 7125, 2016: 7197</t>
  </si>
  <si>
    <t>1211</t>
  </si>
  <si>
    <t>258066-10P</t>
  </si>
  <si>
    <t>Robert Wilt</t>
  </si>
  <si>
    <t>wiltr@maaden.com.sa</t>
  </si>
  <si>
    <t>+966 (0)11 874 8000</t>
  </si>
  <si>
    <t>PO BOX 68861</t>
  </si>
  <si>
    <t>11537</t>
  </si>
  <si>
    <t>info@maaden.com.sa</t>
  </si>
  <si>
    <t>164705-23</t>
  </si>
  <si>
    <t>Halwani Brothers Company (SAU: 6001)</t>
  </si>
  <si>
    <t>Halwani Bros</t>
  </si>
  <si>
    <t>Halwani Brothers Co JSC</t>
  </si>
  <si>
    <t>Halwani Bros is a Saudi Arabia based company engaged in the manufacturing, packaging, wholesale and retail trade of food products. It is into the production, marketing, and distribution of chilled and frozen meat, and sesame products. It offers sweets, bakery products stuffed with dates, dairy products, processed meat products, jams, and juices; Halawa; tahini; and packaging products. Substantial revenue is generated from the domestic sale of sesame products. The Group uses the geographical segment only as it operates in manufacturing, filling, whole and retail trade of food products.</t>
  </si>
  <si>
    <t>dairy food, food retailer, frozen food, marketing, packed food</t>
  </si>
  <si>
    <t>2007: 2302, 2011: 2302, 2012: 2302</t>
  </si>
  <si>
    <t>6001</t>
  </si>
  <si>
    <t>283954-51P</t>
  </si>
  <si>
    <t>Anas Kashoggi</t>
  </si>
  <si>
    <t>+966 (0)12 636 6667</t>
  </si>
  <si>
    <t>Near Shimaisy Check post, Jeddah</t>
  </si>
  <si>
    <t>Makkah Highway</t>
  </si>
  <si>
    <t>+966 (0)12 637 6667</t>
  </si>
  <si>
    <t>164703-70</t>
  </si>
  <si>
    <t>Abdullah Al Othaim Markets (SAU: 4001)</t>
  </si>
  <si>
    <t>A.Othaim Market</t>
  </si>
  <si>
    <t>Abdullah Al-Othaim Markets Co.</t>
  </si>
  <si>
    <t>Abdullah Al Othaim Markets Co is engaged in the wholesale and retail trade of food, fish, meat, agricultural products, livestock, and household items. It is also involved in establishing, managing, operating, and maintaining supermarkets, commercial complexes, &amp; bakeries; providing cooked &amp; uncooked catering services; and managing training &amp; educational centers, as well as acquiring land to construct buildings for lease or sale for the company's benefit. It operates in the segments of retail and wholesale trading of food supplies, as well as real estate &amp; leasing. Additionally, it leases commercial centers for the company's benefit through sale or leasing. The company operates in the Kingdom of Saudi Arabia and Egypt &amp; derives the majority of its revenue from retail &amp; wholesale activities.</t>
  </si>
  <si>
    <t>chain of supermarkets, household items, household items retail, retail outlets, supermarket chain, wholesaler firm</t>
  </si>
  <si>
    <t>2011: 5097, 2012: 5097, 2023: 18000</t>
  </si>
  <si>
    <t>4001</t>
  </si>
  <si>
    <t>339317-11P</t>
  </si>
  <si>
    <t>Muwaffaq Mubarah</t>
  </si>
  <si>
    <t>+966 (0)11 829 9905</t>
  </si>
  <si>
    <t>P.O.Box 41700</t>
  </si>
  <si>
    <t>Al Andlus</t>
  </si>
  <si>
    <t>11531</t>
  </si>
  <si>
    <t>+966 (0)1 493 3264</t>
  </si>
  <si>
    <t>info@othaimmarkets.com</t>
  </si>
  <si>
    <t>164703-43</t>
  </si>
  <si>
    <t>Basic Chemical Industries (SAU: 1210)</t>
  </si>
  <si>
    <t>Basic Chemical, BCI</t>
  </si>
  <si>
    <t>Basic Chemical Industries Co.</t>
  </si>
  <si>
    <t>Basic Chemical Industries Co is a chemical manufacturing company. Through its subsidiaries, the company manufactures chlorine gas, hydrochloric acid, caustic soda, sodium hypochlorite, sulphuric acid and battery acid, polyurethane systems, and industrial adhesives such as water-based adhesives, emulsions and hotmelt adhesives. In addition, it also provides chemical products for water treatments.</t>
  </si>
  <si>
    <t>alkali chemicals, alkali chlorine, chemical products, chemicals seller, hydrochloric acid, manufacturing</t>
  </si>
  <si>
    <t>2011: 395, 2012: 376</t>
  </si>
  <si>
    <t>1210</t>
  </si>
  <si>
    <t>339957-91P</t>
  </si>
  <si>
    <t>Fares Lahoud</t>
  </si>
  <si>
    <t>fares@bci.com.sa</t>
  </si>
  <si>
    <t>+966 (0)13 821 7777</t>
  </si>
  <si>
    <t>PO Box 1053</t>
  </si>
  <si>
    <t>31431</t>
  </si>
  <si>
    <t>164706-85</t>
  </si>
  <si>
    <t>Alinma Bank (SAU: 1150)</t>
  </si>
  <si>
    <t>Alinma</t>
  </si>
  <si>
    <t>Alinma Bank JSC</t>
  </si>
  <si>
    <t>Al Rajhi Banking and Investment, The Federal Bank, RBL Bank, Canara Bank, IDBI Bank, Bandhan Bank, Indian Overseas Bank, Standard Chartered Bank Kenya, Bank of India, IDFC First Bank, Dhanlaxmi Bank, City Union Bank, Punjab National Bank, Indian Bank, YES Bank, Bank of India ( Botswana ), Kotak Mahindra Bank, Axis Bank, IndusInd Bank, HSBC Holdings, Bank of Baroda, Lakshmi Vilas Bank, HDFC Bank, State Bank of India, ICICI Bank</t>
  </si>
  <si>
    <t>Alinma Bank provides banking and investment services. The company's operating segments include Retail Banking, Corporate Banking, Treasury and Investment, and brokerage. The corporate banking segment provides financing, deposit, and other products and services for corporate, SME, and institutional customers. The Retail Banking segment provides services to individuals. Investment and brokerage provide Asset Management, custodianship, advisory, underwriting, and brokerage services. It generates maximum revenue from the Corporate Banking segment. Geographically, it has a presence in the Kingdom of Saudi Arabia, Europe, Other GCC and Middle East countries, and Other countries.</t>
  </si>
  <si>
    <t>bank deposits, integrated financial institution, investment services, investment services sector, shariah banking, transactions</t>
  </si>
  <si>
    <t>2011: 1188, 2012: 1552, 2013: 1665, 2014: 1778, 2015: 1950, 2016: 2156, 2017: 2258, 2018: 2417, 2019: 2518, 2020: 2592, 2021: 3280, 2022: 3676, 2023: 3878, 2024: 4174</t>
  </si>
  <si>
    <t>1150</t>
  </si>
  <si>
    <t>388253-35P</t>
  </si>
  <si>
    <t>Mashael Alkheraiji</t>
  </si>
  <si>
    <t>Head of Investments</t>
  </si>
  <si>
    <t>maalkhuraiji@alinma.com</t>
  </si>
  <si>
    <t>+966 (0)11 218 5555</t>
  </si>
  <si>
    <t>9033 King Fahad Road</t>
  </si>
  <si>
    <t>Unit 8, Olaya</t>
  </si>
  <si>
    <t>12214-2370</t>
  </si>
  <si>
    <t>+966 (0)11 218 5000</t>
  </si>
  <si>
    <t>info@alinma.com</t>
  </si>
  <si>
    <t>155583-64</t>
  </si>
  <si>
    <t>Zain (SAU: 7030)</t>
  </si>
  <si>
    <t>Zain KSA</t>
  </si>
  <si>
    <t>Mobile Telecommunications Company Saudi Arabia serves in the communication sector based in the Middle East. The company is engaged in the purchases, sales, and distributes, installs, manages , and maintains mobile telephone services and equipment. It also provides consulting services; and constructs and repairs telecom towers and others. The firm's Mobile Telecommunications Group derives the majority of its revenue.</t>
  </si>
  <si>
    <t>Wireless Communications Equipment</t>
  </si>
  <si>
    <t>Wireless Communications Equipment*</t>
  </si>
  <si>
    <t>Mobile, TMT</t>
  </si>
  <si>
    <t>communication, consulting firm, electronic application, equipment, mobile telecommunication, mobile telephone</t>
  </si>
  <si>
    <t>2011: 453, 2012: 197, 2015: 1503</t>
  </si>
  <si>
    <t>7030</t>
  </si>
  <si>
    <t>342066-61P</t>
  </si>
  <si>
    <t>Mehdi Khalifa</t>
  </si>
  <si>
    <t>+966 (0)59 241 1111</t>
  </si>
  <si>
    <t>Granada Business Park - Building A3</t>
  </si>
  <si>
    <t>PO Box 295814</t>
  </si>
  <si>
    <t>info@sa.zain.com</t>
  </si>
  <si>
    <t>164706-31</t>
  </si>
  <si>
    <t>Al-Etihad Cooperative Insurance (SAU: 8170)</t>
  </si>
  <si>
    <t>Trade Union Cooperative Insurance &amp; Reinsurance Co</t>
  </si>
  <si>
    <t>Al-Etihad</t>
  </si>
  <si>
    <t>Al-Etihad Co-Operative Insurance Co.</t>
  </si>
  <si>
    <t>Al-Etihad Cooperative Insurance Co provides insurance and reinsurance services in Saudi Arabia. It offers services through the segments of Medical insurance, Property insurance, Engineering, Motor insurance, General accident, and others.</t>
  </si>
  <si>
    <t>Multi-line Insurance*, Re-Insurance</t>
  </si>
  <si>
    <t>insurance, insurance app, property insurance service, reinsurance, reinsurance services, re-insurances services</t>
  </si>
  <si>
    <t>2011: 50, 2012: 141</t>
  </si>
  <si>
    <t>8170</t>
  </si>
  <si>
    <t>339334-21P</t>
  </si>
  <si>
    <t>Hussain AlShaaban</t>
  </si>
  <si>
    <t>Chief Marketing Officer</t>
  </si>
  <si>
    <t>Al Abdulkarim Tower</t>
  </si>
  <si>
    <t>King Fahad bin Abdulaziz Road, Al-Qashlah District</t>
  </si>
  <si>
    <t>34232-4233</t>
  </si>
  <si>
    <t>info@aletihad.sa</t>
  </si>
  <si>
    <t>164709-46</t>
  </si>
  <si>
    <t>Arabia Insurance Cooperative (SAU: 8160)</t>
  </si>
  <si>
    <t>Arabia Insurance Cooperative Co.</t>
  </si>
  <si>
    <t>Arabia Insurance Cooperative Co provides insurance and reinsurance activities and services in the Kingdom of Saudi Arabia. The company provides different insurance coverage such as medical insurance, general accident insurance, engineering insurance, motor insurance, property insurance, and marine insurance, among others.</t>
  </si>
  <si>
    <t>Automotive Insurance*, Property and Casualty Insurance, Re-Insurance</t>
  </si>
  <si>
    <t>cooperative insurance company, insurance business, insurance sector, motor insurance, property insurance service, reinsurance product</t>
  </si>
  <si>
    <t>2011: 92, 2012: 92, 2023: 200</t>
  </si>
  <si>
    <t>8160</t>
  </si>
  <si>
    <t>339803-74P</t>
  </si>
  <si>
    <t>Adel AlBayedh</t>
  </si>
  <si>
    <t>Chief Financial Officer and Investment Committee Member</t>
  </si>
  <si>
    <t>adelalbayedh@aicc.com.sa</t>
  </si>
  <si>
    <t>+966 (0)11 215 3360</t>
  </si>
  <si>
    <t>King Abdulaziz Road Alworood Area. Bin Tami Center. P. O. Box 286555</t>
  </si>
  <si>
    <t>+966 (0)11 215 3197</t>
  </si>
  <si>
    <t>info@aicc.com.sa</t>
  </si>
  <si>
    <t>164709-01</t>
  </si>
  <si>
    <t>Alkhaleej Training and Education Group (SAU: 4290)</t>
  </si>
  <si>
    <t>Al-KhaleejTraining and Education Industries</t>
  </si>
  <si>
    <t>Alkhaleej Training &amp; Education Co</t>
  </si>
  <si>
    <t>Alkhaleej Training and Education Co and its subsidiaries operate schools for primary and secondary education with an international curriculum, IT &amp; Computer training institutes, teaching languages and communication skills institutes, providing high management consulting services, and integrated office administrative services. Its segments are Training (Computer &amp; Language); University; Management Projects; Smart Link (Call centers) and Schools. It derives prime revenues from the Smart Link (Call centers) segment which provides management and operating services of customer service centers via telephone for a number of companies and bodies.</t>
  </si>
  <si>
    <t>administrative, communication training, education and training service company, training service program, training services, training services agency</t>
  </si>
  <si>
    <t>2011: 985, 2012: 1331</t>
  </si>
  <si>
    <t>4290</t>
  </si>
  <si>
    <t>339603-22P</t>
  </si>
  <si>
    <t>Sherif Esmat</t>
  </si>
  <si>
    <t>CFO</t>
  </si>
  <si>
    <t>sherif@alkhaleej.com.sa</t>
  </si>
  <si>
    <t>+966 (0)92 002 4824</t>
  </si>
  <si>
    <t>Street Number 64, intersecting east with Olaya General Street</t>
  </si>
  <si>
    <t>Building Number 9, Olaya District, fifth floor</t>
  </si>
  <si>
    <t>12213</t>
  </si>
  <si>
    <t>info@alkaleej.com.sa</t>
  </si>
  <si>
    <t>164705-32</t>
  </si>
  <si>
    <t>Middle East Specialized Cables (SAU: 2370)</t>
  </si>
  <si>
    <t>MESC Specialized Cables, MESC</t>
  </si>
  <si>
    <t>Middle East Specialized Cables Co</t>
  </si>
  <si>
    <t>Middle East Specialized Cables Co is engaged in the manufacture of fiber optic cables, steel insulated wires and cables, copper insulated wires and cables, and aluminum insulated wires and cables. It manufactures Industrial cables that consist of instrumentation data &amp; control cables which are used in industrial projects refineries and petrochemical plants to remotely control the data and measurements. Its control cables consist of telephone computer cables specialized to transfer data and radio signals and telecommunications widely used in hotels hospitals and commercial buildings.</t>
  </si>
  <si>
    <t>cables and wires, cables and wires distributor, electric, electric power, wire, wires and cables</t>
  </si>
  <si>
    <t>2011: 10, 2012: 67, 2016: 877</t>
  </si>
  <si>
    <t>2370</t>
  </si>
  <si>
    <t>385550-56P</t>
  </si>
  <si>
    <t>Mohammed En-Nunu</t>
  </si>
  <si>
    <t>Chief Financial Officer &amp; Director, Finance &amp; fiannce Controller</t>
  </si>
  <si>
    <t>+966 (0)11 265 0555</t>
  </si>
  <si>
    <t>P.O.Box 60536</t>
  </si>
  <si>
    <t>Salah Uddin Street, Al Joud Building 1- Floor 1</t>
  </si>
  <si>
    <t>+966 (0)11 472 3192</t>
  </si>
  <si>
    <t>164709-55</t>
  </si>
  <si>
    <t>Jabal Omar Development (SAU: 4250)</t>
  </si>
  <si>
    <t>Jabal Omar, JODC</t>
  </si>
  <si>
    <t>Jabal Omar Development Co</t>
  </si>
  <si>
    <t>Emaar Properties</t>
  </si>
  <si>
    <t>Jabal Omar Development Co is engaged in the construction, management, and development of real estate properties located in the Omar Mountain area in Saudi Arabia. The company's segment includes, Operating Hotels; Commercial centers and Properties for development and sale. It generates maximum revenue from the Operating Hotels segment.</t>
  </si>
  <si>
    <t>real estate, real estate developer, residential property management, retail real estate management</t>
  </si>
  <si>
    <t>2011: 22, 2012: 22</t>
  </si>
  <si>
    <t>4250</t>
  </si>
  <si>
    <t>410769-46P</t>
  </si>
  <si>
    <t>Mohamed Jawad</t>
  </si>
  <si>
    <t>mjawad@jodc.com.sa</t>
  </si>
  <si>
    <t>+966 (0)12 601 7180</t>
  </si>
  <si>
    <t>Trio Boulevard, 3rd Floor</t>
  </si>
  <si>
    <t>Ash Shati District</t>
  </si>
  <si>
    <t>info@jodc.com.sa</t>
  </si>
  <si>
    <t>164710-18</t>
  </si>
  <si>
    <t>Gulf Union Al Ahlia Cooperative Insurance (SAU: 8120)</t>
  </si>
  <si>
    <t>Gulf Union Al Ahlia Cooperative Insurance Co SJSC</t>
  </si>
  <si>
    <t>Gulf Union Alahlia Cooperative Insurance Co is engaged in provision of cooperative insurance operations and all related activities. Its principal lines of business include medical, motor, general accident, liability, engineering, property, marine and protection insurance.</t>
  </si>
  <si>
    <t>comprehensive insurance, hull insurance, third party liability inurance, transport and aviation, vehicle insurance</t>
  </si>
  <si>
    <t>2011: 29, 2012: 29, 2016: 328, 2023: 413</t>
  </si>
  <si>
    <t>8120</t>
  </si>
  <si>
    <t>340367-50P</t>
  </si>
  <si>
    <t>Mesheal Bin Ibrahim Al Shayea</t>
  </si>
  <si>
    <t>malshayea@gulfunion.com.sa</t>
  </si>
  <si>
    <t>+966 (0)0 304 0077</t>
  </si>
  <si>
    <t>Salman Al Farisi Street, Al Khalidiyyah</t>
  </si>
  <si>
    <t>Al Janubiyyah</t>
  </si>
  <si>
    <t>32221</t>
  </si>
  <si>
    <t>164710-99</t>
  </si>
  <si>
    <t>Saudi Arabian Cooperative Insurance (SAU: 8100)</t>
  </si>
  <si>
    <t>SAICO</t>
  </si>
  <si>
    <t>Saudi Arabian Cooperative Insurance Co</t>
  </si>
  <si>
    <t>Saudi Arabian Cooperative Insurance Co provides various insurance and reinsurance services. It offers insurance services in the fields of vehicles, medical, sea shipment, fire, engineering, aviation, power, group life insurance and accidents. The objective of the Company is to transact cooperative insurance operations and related activities in the Kingdom of Saudi Arabia. The Company's lines of business include all classes of general and medical insurance.</t>
  </si>
  <si>
    <t>Life and Health Insurance*, Multi-line Insurance</t>
  </si>
  <si>
    <t>general accident, general insurance, insurance, insurance bonds, motor insurance, vehicle insurance</t>
  </si>
  <si>
    <t>2011: 88, 2012: 16, 2020: 23</t>
  </si>
  <si>
    <t>8100</t>
  </si>
  <si>
    <t>287871-58P</t>
  </si>
  <si>
    <t>Abdulrahman Saleh Al-Obrah</t>
  </si>
  <si>
    <t>aalobrah@saico.com.sa</t>
  </si>
  <si>
    <t>+966 (0)11 874 9666</t>
  </si>
  <si>
    <t>Platinum Center, Salahuddin Street</t>
  </si>
  <si>
    <t>PO Box 58073</t>
  </si>
  <si>
    <t>11594</t>
  </si>
  <si>
    <t>+966 (0)11 475 1197</t>
  </si>
  <si>
    <t>info@saico.com.sa</t>
  </si>
  <si>
    <t>164376-91</t>
  </si>
  <si>
    <t>Budget RentaCar (SAU: 4260)</t>
  </si>
  <si>
    <t>United International Transportation Co Ltd</t>
  </si>
  <si>
    <t>United International Transportation Co Ltd operates as a car rental company engaged in leasing, renting vehicles, and selling used cars under the commercial name Budget Rent a Car. The services offered by the company include short- and long-term car rentals, chauffeur-driven car rental services, corporate rentals, cross-border rentals, limousine rentals, and other related services. Its reportable segments are Lease, Rental, Used car sales, and Others. A majority of its revenue is generated from the Lease segment, which represents income generated from cars leased out to customers under medium to longer-term rental arrangements. The group operates exclusively in the Kingdom of Saudi Arabia.</t>
  </si>
  <si>
    <t>Automotive, Other Services (B2C Non-Financial), Road*</t>
  </si>
  <si>
    <t>automotive rental, vehicle, vehicle leasing, vehicle rental, vehicle rental service, vehicle service</t>
  </si>
  <si>
    <t>2011: 1050, 2012: 1050, 2023: 1100</t>
  </si>
  <si>
    <t>4260</t>
  </si>
  <si>
    <t>300627-46P</t>
  </si>
  <si>
    <t>Ahmed AlBarrak</t>
  </si>
  <si>
    <t>+966 (0)92 000 4124</t>
  </si>
  <si>
    <t>Building No. 6695 - King Abdul Aziz Road</t>
  </si>
  <si>
    <t>Al Basatin District 3 Unit 92</t>
  </si>
  <si>
    <t>+966 (0)12 692 7171</t>
  </si>
  <si>
    <t>info@budgetsaudi.com</t>
  </si>
  <si>
    <t>164402-83</t>
  </si>
  <si>
    <t>Allied Cooperative Insurance Group (SAU: 8150)</t>
  </si>
  <si>
    <t>ACIG</t>
  </si>
  <si>
    <t>Allied Cooperative Insurance Group EC</t>
  </si>
  <si>
    <t>Allied Cooperative Insurance Group is a Saudi Arabia-based insurance company. The activities of the company are to transact cooperative insurance operations and related activities in the Kingdom of Saudi Arabia. The reportable operating segments of the company are Medical Insurance, Motor Insurance, Property Insurance, Engineering Insurance, and Other Insurance. Maximum revenue for the company is generated from the Motor Insurance segment, which offers various insurance plans providing coverage for vehicle insurance.</t>
  </si>
  <si>
    <t>Life and Health Insurance*, Multi-line Insurance, Property and Casualty Insurance</t>
  </si>
  <si>
    <t>casualty insurance service, insurance, medical insurance, motor insurance, multi line insurance, vehicle insurance</t>
  </si>
  <si>
    <t>2011: 126, 2012: 126, 2023: 258</t>
  </si>
  <si>
    <t>8150</t>
  </si>
  <si>
    <t>273670-66P</t>
  </si>
  <si>
    <t>Mohammed Gadhi</t>
  </si>
  <si>
    <t>Co-Chief Executive Officer</t>
  </si>
  <si>
    <t>+966 (0)92 001 2331</t>
  </si>
  <si>
    <t>Hteen district Prince Turki bin Abdulaziz first road PO Box 40523</t>
  </si>
  <si>
    <t>+966 (0)12 661 7421</t>
  </si>
  <si>
    <t>164384-92</t>
  </si>
  <si>
    <t>Walaa Cooperative Insurance (SAU: 8060)</t>
  </si>
  <si>
    <t>Saudi United Cooperative Insurance Company, Walaa</t>
  </si>
  <si>
    <t>Walaa Cooperative Insurance Co.</t>
  </si>
  <si>
    <t>Walaa Cooperative Insurance Co is a general insurance company. It is engaged in providing insurance coverage in the areas of medical, motor, marine, fire, engineering, aviation, and casualty, among others. The company classifies its reportable segments based on various types of insurance products it offers, which include Medical, Motor, Property, Engineering, Energy, Protection and savings, and Others. Maximum revenue is generated from its Motor insurance segment, which provides coverage for vehicle insurance. Geographically, the company principally operates in the Kingdom of Saudi Arabia.</t>
  </si>
  <si>
    <t>computer insurance, insurance products provider, insurance seller, medical insurance, medical insurance sales, property and casualty insurance</t>
  </si>
  <si>
    <t>2011: 150, 2012: 62, 2023: 10</t>
  </si>
  <si>
    <t>8060</t>
  </si>
  <si>
    <t>342023-77P</t>
  </si>
  <si>
    <t>Mohannad Al Desouki</t>
  </si>
  <si>
    <t>mohannad.d@walaa.com</t>
  </si>
  <si>
    <t>+966 (0)13 865 2200</t>
  </si>
  <si>
    <t>Adel Khashoggi Building, Custodian of the Two Holy Mosques Road</t>
  </si>
  <si>
    <t>PO Box 31616</t>
  </si>
  <si>
    <t>+966 (0)13 865 2255</t>
  </si>
  <si>
    <t>walaa@walaa.com</t>
  </si>
  <si>
    <t>164702-53</t>
  </si>
  <si>
    <t>Saudi Kayan Petrochemical (SAU: 2350)</t>
  </si>
  <si>
    <t>Saudi Kayan Petrochemical Co</t>
  </si>
  <si>
    <t>Saudi Kayan Petrochemical Co is engaged in manufacturing a wide range of petrochemicals products. Its product portfolio consists of polypropylene, propylene, acetone, polyethene, ethoxylate, ethylene, ethylene glycol, bisphenol, ethanolamine, industrial fatty alcohol, polycarbonate and other petrochemical products. The Company generates revenue from the sale of petrochemical products.</t>
  </si>
  <si>
    <t>chemicals industry, ethoxylates, ethylene glycol, manufacturing, petrochemicals investment, propylene product</t>
  </si>
  <si>
    <t>2011: 1415, 2012: 1415</t>
  </si>
  <si>
    <t>2350</t>
  </si>
  <si>
    <t>341797-42P</t>
  </si>
  <si>
    <t>Aiman Khayat</t>
  </si>
  <si>
    <t>Co-Chief Financial Officer</t>
  </si>
  <si>
    <t>akhayat@saudikayan.com</t>
  </si>
  <si>
    <t>+966 (0)13 356 3300</t>
  </si>
  <si>
    <t>P.O.Box 10302</t>
  </si>
  <si>
    <t>31969</t>
  </si>
  <si>
    <t>+966 (0)13 359 3111</t>
  </si>
  <si>
    <t>164708-83</t>
  </si>
  <si>
    <t>Saudi Vitrified Clay Pipes (SAU: 2360)</t>
  </si>
  <si>
    <t>Saudi Vitrified Clay Pipes Co</t>
  </si>
  <si>
    <t>Saudi Vitrified Clay Pipes Co is engaged in the manufacturing and sale of clay pipes and fittings in the Kingdom of Saudi Arabia and internationally. The company's product categories include Pipes with jointing system (F) and (C); Perforated Pipes; Flexible joints and Connectors for manholes; Junctions; Bends with the jointing system (F) and (C); Special Fittings and Accessories.</t>
  </si>
  <si>
    <t>clay pipe, clay pipe fittings, clay pipe fixtures, manhole, manufacturing, pipes and fittings</t>
  </si>
  <si>
    <t>2011: 765, 2012: 732, 2016: 765</t>
  </si>
  <si>
    <t>2360</t>
  </si>
  <si>
    <t>409747-42P</t>
  </si>
  <si>
    <t>Abdelkhalig Babkeir</t>
  </si>
  <si>
    <t>+966 (0)11 476 9192</t>
  </si>
  <si>
    <t>P.O.Box 6415</t>
  </si>
  <si>
    <t>+966 (0)11 478 2458</t>
  </si>
  <si>
    <t>svcp@svcp-sa.com</t>
  </si>
  <si>
    <t>122282-38</t>
  </si>
  <si>
    <t>The Mediterranean and Gulf Cooperative Insurance and Reinsurance (SAU: 8030)</t>
  </si>
  <si>
    <t>Medgulf KSA, Medgulf</t>
  </si>
  <si>
    <t>The Mediterranean and Gulf Cooperative Insurance and Reinsurance Co.</t>
  </si>
  <si>
    <t>The Mediterranean and Gulf Insurance and Reinsurance Co is a Saudi Arabian insurance company with objectives to transact in cooperative insurance and reinsurance business and related activities. Its principal lines of business include medical, motor and other general insurance. It has three reportable operating segments: Medical insurance, which is the key revenue driver, and covers medical costs, medicines, and all other medical services and supplies; Motor Insurance, which provides coverage against losses and liability related to motor vehicles; and Property and Casualty insurance segment.</t>
  </si>
  <si>
    <t>insurance product, reinsurance, reinsurance firm, reinsurance group, reinsurance services, reinsurance services provider</t>
  </si>
  <si>
    <t>2011: 748, 2012: 748</t>
  </si>
  <si>
    <t>8030</t>
  </si>
  <si>
    <t>262912-15P</t>
  </si>
  <si>
    <t>Suhail Hayan</t>
  </si>
  <si>
    <t>Chief Investment Officer</t>
  </si>
  <si>
    <t>suhail.hayan@medgulf.com.sa</t>
  </si>
  <si>
    <t>+966 (0)11 254 7666</t>
  </si>
  <si>
    <t>7731 King Saud Road</t>
  </si>
  <si>
    <t>Al Murabba</t>
  </si>
  <si>
    <t>12624</t>
  </si>
  <si>
    <t>info@medgulf.com.sa</t>
  </si>
  <si>
    <t>164710-00</t>
  </si>
  <si>
    <t>Al Abdullatif Industrial Investments (SAU: 2340)</t>
  </si>
  <si>
    <t>Saudi Carpet Factory</t>
  </si>
  <si>
    <t>AIIC</t>
  </si>
  <si>
    <t>Al Abdullatif Industrial Investment Co</t>
  </si>
  <si>
    <t>Al Abdullatif Industrial Investment Co manufactures and sells carpets. The company offers tufted carpets, including polyester tufted carpets, nylon tufted carpets, polypropylene tufted carpets, acrylic tufted carpets, and others. The operating segment of the company is Carpets, Rugs, and Other Related Products and Blankets.</t>
  </si>
  <si>
    <t>Textiles</t>
  </si>
  <si>
    <t>Other Textiles</t>
  </si>
  <si>
    <t>Other Textiles*</t>
  </si>
  <si>
    <t>carpet, nylon tufted carpet, textile, tufted carpet, tufted carpet industry, tufted carpet manufacturer</t>
  </si>
  <si>
    <t>2012: 3700</t>
  </si>
  <si>
    <t>2340</t>
  </si>
  <si>
    <t>339358-06P</t>
  </si>
  <si>
    <t>Helal Ewada</t>
  </si>
  <si>
    <t>+966 (0)11 265 8888</t>
  </si>
  <si>
    <t>Post Box 859</t>
  </si>
  <si>
    <t>2nd Industrial City New Al Kharj Road</t>
  </si>
  <si>
    <t>+966 (0)11 265 9999</t>
  </si>
  <si>
    <t>contact@carpets.com</t>
  </si>
  <si>
    <t>111346-12</t>
  </si>
  <si>
    <t>Advanced Petrochemical (SAU: 2330)</t>
  </si>
  <si>
    <t>Advanced Petrochemical Co.</t>
  </si>
  <si>
    <t>Hi-Tech Chemicals, Marlyn Chemicals, Tata Chemicals</t>
  </si>
  <si>
    <t>Advanced Petrochemical Co produces and sells polypropylene, polysilicon, and polysilicon downstream products that include Photovoltaic cells and Photovoltaic. The company invests in industrial projects including petrochemical, chemical, basic and conversion industries and industries relating to renewable energy domestically and outside the Kingdom of Saudi Arabia. Its business is spread across the Middle East and North Africa region. Its products manufacture various basic goods including personal care products, fresh food packaging, lightweight plastics, and various others.</t>
  </si>
  <si>
    <t>petrochemical company, polyethylene, polypropylene, saturated polymer, thermoplastic polymer</t>
  </si>
  <si>
    <t>2011: 261, 2012: 261</t>
  </si>
  <si>
    <t>2330</t>
  </si>
  <si>
    <t>116332-39P</t>
  </si>
  <si>
    <t>Khalifa Abdullatif Al Mulhim</t>
  </si>
  <si>
    <t>+966 (0)13 356 6000</t>
  </si>
  <si>
    <t>P.O.Box 11022</t>
  </si>
  <si>
    <t>+966 (0)13 356 6096</t>
  </si>
  <si>
    <t>info@advancedpetrochem.com</t>
  </si>
  <si>
    <t>163548-46</t>
  </si>
  <si>
    <t>Al Babtain Power and Telecommunications (SAU: 2320)</t>
  </si>
  <si>
    <t>Abdulaziz &amp; Mansour Ibrahim AlBabtain Co.</t>
  </si>
  <si>
    <t>Al Babtain Power and Telecommunications Co.</t>
  </si>
  <si>
    <t>Al-Babtain Power &amp; Telecommunication Co provides solutions for power and telecommunications infrastructure. The company's activity involves establishing and repairing stations and towers of wired and wireless communication and radars. Its operating segment involves the Towers and metal structures sector which includes the production of power transmission towers, galvanized communication towers and their tests, and galvanized steel structures; Poles and lighting which include the production and galvanization of electricity and lighting poles, masts, and their accessories; Design, supply, and installation sector which includes the work of supplying, installing, and maintaining communication systems; Solar energy sector and Headquarters.</t>
  </si>
  <si>
    <t>Electrical Equipment*, Energy Infrastructure, Other Commercial Products</t>
  </si>
  <si>
    <t>antenna system, electrical distribution, galvanizing services, outdoor lighting, overheads lines, power solutions</t>
  </si>
  <si>
    <t>2023: 1502</t>
  </si>
  <si>
    <t>2320</t>
  </si>
  <si>
    <t>327945-16P</t>
  </si>
  <si>
    <t>Jawad Shehadeh</t>
  </si>
  <si>
    <t>jawad@al-babtain.com.sa</t>
  </si>
  <si>
    <t>+966 (0)11 241 1222</t>
  </si>
  <si>
    <t>PO Box 88373</t>
  </si>
  <si>
    <t>11662</t>
  </si>
  <si>
    <t>+966 (0)11 241 3395</t>
  </si>
  <si>
    <t>info@al-babtain.com.sa</t>
  </si>
  <si>
    <t>164710-81</t>
  </si>
  <si>
    <t>Red Sea International (SAU: 4230)</t>
  </si>
  <si>
    <t>RSHS</t>
  </si>
  <si>
    <t>Red Sea International Co</t>
  </si>
  <si>
    <t>Red Sea International Co provides modular living and working environments for industrial and residential communities. It provides civil contracting for commercial and residential buildings; offers real estate property investment and development; production of paints, coatings, construction machinery, and equipment; repair and maintenance services. The company's reportable segments include: Non-concrete residential and commercial buildings being the highest revenue driver; General construction Rentals from investment properties; Paints and related services. It has a presence in Saudi Arabia, and Internationally.</t>
  </si>
  <si>
    <t>accommodation, industrial, modular living, property, real estate, residential, residential building</t>
  </si>
  <si>
    <t>2005: 968, 2011: 3314, 2012: 2800, 2023: 15000</t>
  </si>
  <si>
    <t>4230</t>
  </si>
  <si>
    <t>341580-70P</t>
  </si>
  <si>
    <t>Mahmood Siddiqui</t>
  </si>
  <si>
    <t>mahmood.siddiqui@redseaintl.com</t>
  </si>
  <si>
    <t>164703-07</t>
  </si>
  <si>
    <t>ALDREES Petroleum &amp; Transport Services (SAU: 4200)</t>
  </si>
  <si>
    <t>Mohammed Saad Aldrees and Sons Company, Mohammed Saad Aldrees and Sons Company Limited</t>
  </si>
  <si>
    <t>ALDREES Petroleum &amp; Transport, ALDREES</t>
  </si>
  <si>
    <t>Aldrees Petroleum &amp;Transport Services Co.</t>
  </si>
  <si>
    <t>ALDREES Petroleum &amp; Transport Services Co is predominantly engaged in the petroleum and transport services businesses. It is involved in various business activities such as; the wholesale and retail trading of fuel, gasoline, oil, and lubricants; providing transportation services for liquid and dry materials; establishing vehicle workshops and carwashes; acquisition of land to construct buildings for sale or lease; and the development, operation, and renting of take away centers for beverages and food. The company has two reportable segments; Petroleum Services and Transport Services. A majority of its revenue is derived from the Petroleum Services segment which includes income generated from the sale of fuel on its fuel stations. Geographically, it operates in the Kingdom of Saudi Arabia.</t>
  </si>
  <si>
    <t>Energy Marketing, Energy Production*</t>
  </si>
  <si>
    <t>distributor, petroleum, petroleum retail, petroleum wholesale</t>
  </si>
  <si>
    <t>2005: 1805, 2011: 3700, 2012: 3700, 2021: 5815</t>
  </si>
  <si>
    <t>4200</t>
  </si>
  <si>
    <t>339591-25P</t>
  </si>
  <si>
    <t>Abdulilah Aldrees</t>
  </si>
  <si>
    <t>+966 (0)11 235 5555</t>
  </si>
  <si>
    <t>PO Box 609</t>
  </si>
  <si>
    <t>14231</t>
  </si>
  <si>
    <t>+966 (0)11 236 6666</t>
  </si>
  <si>
    <t>info@aldrees.com</t>
  </si>
  <si>
    <t>164707-84</t>
  </si>
  <si>
    <t>Yanbu National Petrochemicals (SAU: 2290)</t>
  </si>
  <si>
    <t>Yansab</t>
  </si>
  <si>
    <t>Yanbu National Petrochemical Company JSC</t>
  </si>
  <si>
    <t>Yanbu National Petrochemicals Co is a Saudi Arabian manufacturer of petrochemical products such as Ethylene, Propylene, Mono Ethylene Glycol, Di Ethylene Glycol, Tri Ethylene Glycol, Polypropylene, Low Linear Density Polyethylene, High Density Polyethylene, Butene 1, Butene, MTBE, Benzene and TX.</t>
  </si>
  <si>
    <t>chemical processing, ethylene glycol, fine chemicals, petrochemical manufacturer, polymer production, polypropylene production</t>
  </si>
  <si>
    <t>2011: 1099, 2012: 1138</t>
  </si>
  <si>
    <t>2290</t>
  </si>
  <si>
    <t>282413-71P</t>
  </si>
  <si>
    <t>+966 (0)4 325 9000</t>
  </si>
  <si>
    <t>Yanbu Industrial, Saudi Arabia</t>
  </si>
  <si>
    <t>P.O. Box 31396</t>
  </si>
  <si>
    <t>Yanbu Industrial</t>
  </si>
  <si>
    <t>41912</t>
  </si>
  <si>
    <t>+966 (0)4 325 9502</t>
  </si>
  <si>
    <t>shares@yansab.sabic.com</t>
  </si>
  <si>
    <t>55847-17</t>
  </si>
  <si>
    <t>Saudi Arabian Amiantit (SAU: 2160)</t>
  </si>
  <si>
    <t>Amiantit</t>
  </si>
  <si>
    <t>Saudi Arabian Amiantit Co.</t>
  </si>
  <si>
    <t>Saudi Arabian Amiantit Co is engaged in the operation of pipes and its related products. It serves two market segments; Pipe manufacturing and technology and Water management. The group's core business activities comprise of manufacturing of various pipe systems, developing and licensing of related pipe technologies and offering water solutions, a provider of water management consultancy and engineering operations. Geographically the business of the firm is expanded across Saudi Arabia, Europe and in other regions. It derives maximum revenue from Saudi Arabia.</t>
  </si>
  <si>
    <t>CleanTech, Manufacturing, TMT</t>
  </si>
  <si>
    <t>pipes technology, sewage pipes</t>
  </si>
  <si>
    <t>2011: 1786, 2012: 1786, 2017: 363</t>
  </si>
  <si>
    <t>2160</t>
  </si>
  <si>
    <t>293068-00P</t>
  </si>
  <si>
    <t>Feras Al-Harbi</t>
  </si>
  <si>
    <t>ferasbin-ghassab-al-harbi@amiantit.com</t>
  </si>
  <si>
    <t>+966 (0)3 847 1500</t>
  </si>
  <si>
    <t>4th Street, Industrial Area 1</t>
  </si>
  <si>
    <t>31421</t>
  </si>
  <si>
    <t>+966 (0)3 847 1645</t>
  </si>
  <si>
    <t>info@amiantit.com</t>
  </si>
  <si>
    <t>164711-44</t>
  </si>
  <si>
    <t>Saudia Dairy &amp; Foodstuff (SAU: 2270)</t>
  </si>
  <si>
    <t>SADAFCO</t>
  </si>
  <si>
    <t>Saudia Dairy &amp; Foodstuff Co</t>
  </si>
  <si>
    <t>Almarai, National Agriculture Development, Parmalat, Agthia Group, Centrale Danone, Valsoia, Lactalis (Dairy Products), Kwality Walls India, Al-Rawabi Dairy Company, Synlait Milk, Osam, Saputo Dairy UK, Dean Foods, Pepsico, Danone, Lactalis Australia, Groupe Lactalis, Parag Milk Foods, PepsiCo Brazil, First Milk, Open Country Dairy, Lakeland Dairies Co-operative Society, Danone Chile, Lactalis Česko, Danone Russia, Prabhat Dairy, Kellogg Rus, Kent Gida Maddeleri Sanayii Ve Ticaret, Miraka, Pepsico Mexico, Coca-Cola, Adityaa Milk, Britannia Industries, Burra Foods, Oceania Dairy, Tillamook, General Mills (Food Products), Campbell's, Al Ain Farms, Pepsico Canada, Danone Türkiye, Arla Foods, The Hershey, Kellanova, Ornua, Danone Japan, Lactalis Canada, Davisco Foods International, Lactalis Switzerland &amp; Austria, Dairygold, IFFCO, Dodla Dairy, United Natural Foods, Agropur, Saputo, Royal FrieslandCampina, Junlebao Dairy Group</t>
  </si>
  <si>
    <t>Saudia Dairy and Foodstuff Co is engaged in the production and distribution of dairy products, beverages, and various foodstuffs in the Kingdom of Saudi Arabia, Poland, and certain other Gulf and Arab countries. It operates in two segments: Drinks, which include milk and juice products; and Non- drinks, which include ice creams, tomato paste, cheese and snacks.</t>
  </si>
  <si>
    <t>butter, cheese, dairy food product, dairy milk, foodstuffs, french fries, ice cream, milk, tomato paste</t>
  </si>
  <si>
    <t>2012: 1500, 2023: 2424</t>
  </si>
  <si>
    <t>2270</t>
  </si>
  <si>
    <t>295038-01P</t>
  </si>
  <si>
    <t>Patrick Stillhart</t>
  </si>
  <si>
    <t>pstillhart@sadafco.com</t>
  </si>
  <si>
    <t>S.S.C. Building, Ibrahim Al Malki Street, Al Nakheel District</t>
  </si>
  <si>
    <t>PO Box 5043</t>
  </si>
  <si>
    <t>164701-63</t>
  </si>
  <si>
    <t>Bank Albilad (SAU: 1140)</t>
  </si>
  <si>
    <t>Allied Irish Banks, National Bank of Canada (Montreall), Blue Valley Ban</t>
  </si>
  <si>
    <t>Bank Albilad is a banking corporation conducting business mainly in the Kingdom of Saudi Arabia. It is divided into four operating segments: Retail banking provides services and products to individuals, including deposits, financing, remittances, and currency exchange, Corporate banking provides services and products to corporate customers including deposits, financing, and trade services, Treasury provides money market and treasury services and Investment banking and brokerage provides investment management services and asset management activities related to dealing, managing, arranging, advising and custody of securities. Key revenue is generated from the Retail banking segment.</t>
  </si>
  <si>
    <t>banking, banking products, financial, financial and investment, islamic banking, retail banking service</t>
  </si>
  <si>
    <t>2011: 125, 2012: 2840, 2013: 3207, 2014: 3443, 2015: 3884, 2016: 3441, 2017: 3850, 2018: 4232, 2019: 4380, 2020: 4291, 2021: 4472, 2022: 4494, 2023: 4636, 2024: 4615</t>
  </si>
  <si>
    <t>1140</t>
  </si>
  <si>
    <t>252961-39P</t>
  </si>
  <si>
    <t>Nasser Al-Subeaei</t>
  </si>
  <si>
    <t>na@bankalbilad.com</t>
  </si>
  <si>
    <t>+966 (0)11 479 8888</t>
  </si>
  <si>
    <t>Salahuddin Street</t>
  </si>
  <si>
    <t>Al Malaz District, 140</t>
  </si>
  <si>
    <t>+966 (0)11 479 8898</t>
  </si>
  <si>
    <t>info@bankalbilad.com.sa</t>
  </si>
  <si>
    <t>164706-13</t>
  </si>
  <si>
    <t>The Company for Cooperative Insurance (SAU: 8010)</t>
  </si>
  <si>
    <t>Tawuniya, Company for Cooperative Insurance</t>
  </si>
  <si>
    <t>The Company for Cooperative Insurance SJSC</t>
  </si>
  <si>
    <t>The Company For Cooperative Insurance is an insurance company. The company provides its customers with more than 60 types of insurance including medical, motor, fire, property, engineering, casualty, marine, aviation, Takaful, liability insurance and many other types of insurance. The purpose of the company is to transact cooperative insurance operations and all related activities including reinsurance and agency activities. The company is organized into business units based on its products and services and has seven reportable segments as follows, Medical, Medical Umrah, Motor insurance, Property and Casualty, General accidents- Hajj &amp; Umrah insurance, Travel and COVID-19, Protection &amp; Savings.</t>
  </si>
  <si>
    <t>casualty insurance, engineering insurance, insurance, insurance cover, insurance service, reinsurance</t>
  </si>
  <si>
    <t>2011: 722, 2012: 722</t>
  </si>
  <si>
    <t>8010</t>
  </si>
  <si>
    <t>364822-84P</t>
  </si>
  <si>
    <t>Othman Alkassabi</t>
  </si>
  <si>
    <t>oalkassabi@tawuniya.com</t>
  </si>
  <si>
    <t>+966 (0)11 252 5800</t>
  </si>
  <si>
    <t>6507 Thomamah Road (Takhassusi)</t>
  </si>
  <si>
    <t>11632</t>
  </si>
  <si>
    <t>+966 (0)11 400 0844</t>
  </si>
  <si>
    <t>info@tawuniya.com</t>
  </si>
  <si>
    <t>164707-39</t>
  </si>
  <si>
    <t>Saudi Industrial Investment Group (SAU: 2250)</t>
  </si>
  <si>
    <t>SIIG</t>
  </si>
  <si>
    <t>Saudi Industrial Investment Group SJSC</t>
  </si>
  <si>
    <t>Saudi Industrial Investment Group is engaged in the ownership of real estate, investing the funds of its subsidiary, and the management of its subsidiary. All activities and operations of the company comprise two operating segments which are within the petrochemical sector i.e. the polymers and aromatics product envelopes. Company operates both envelopes at Domestic and Middle East as well as International level like Asia, Europe, Africa. Majority of revenue is from aromatics from Saudi Arabia, followed by polymers in Asia.</t>
  </si>
  <si>
    <t>crude benzene, motor gasoline, petrochemical gas, specialty chemicals, specialty chemicals company, specialty chemicals seller</t>
  </si>
  <si>
    <t>2010: 250, 2012: 250</t>
  </si>
  <si>
    <t>2250</t>
  </si>
  <si>
    <t>276635-17P</t>
  </si>
  <si>
    <t>Abdulrahman Alismail</t>
  </si>
  <si>
    <t>+966 (0)1 279 2522</t>
  </si>
  <si>
    <t>PO Box 99833</t>
  </si>
  <si>
    <t>+966 (0)1 279 2523</t>
  </si>
  <si>
    <t>info@siig.com.sa</t>
  </si>
  <si>
    <t>168733-36</t>
  </si>
  <si>
    <t>Arabian Cement (Saudi Arabia) (SAU: 3010)</t>
  </si>
  <si>
    <t>Arabian Cement Company SJSC</t>
  </si>
  <si>
    <t>Najran Cement, Saudi Cement</t>
  </si>
  <si>
    <t>Arabian Cement Co Ltd is a Saudi Arabia-based company engaged in the production of cement, building materials, trading of clinker, cement, construction materials, and other related materials and derivatives. The company's geographical segments include Inside KSA and the Outside Kingdom of Saudi Arabia. It derives a majority of its revenue from Inside KSA.</t>
  </si>
  <si>
    <t>building materials, cement, construction materials, derivatives, portland cement, raw materials</t>
  </si>
  <si>
    <t>2011: 870, 2012: 870</t>
  </si>
  <si>
    <t>3010</t>
  </si>
  <si>
    <t>386729-20P</t>
  </si>
  <si>
    <t>Moataz Mortada</t>
  </si>
  <si>
    <t>mmortada@arabiancement.com.sa</t>
  </si>
  <si>
    <t>+966 (0)12 694 9700</t>
  </si>
  <si>
    <t>8605 King Abdulaziz Road</t>
  </si>
  <si>
    <t>23523</t>
  </si>
  <si>
    <t>+966 (0)12 694 8197</t>
  </si>
  <si>
    <t>164708-02</t>
  </si>
  <si>
    <t>Jarir Bookstore (SAU: 4190)</t>
  </si>
  <si>
    <t>Jarir Marketing Co</t>
  </si>
  <si>
    <t>Al-Habib Business Systems</t>
  </si>
  <si>
    <t>Jarir Marketing Company operates retail and wholesale showrooms. The company activity includes; retail and wholesale trading in office and school supplies, children toys, books, educational aids, office furniture, engineering equipment, computers and computer systems, electronic and electrical devices, maintenance of computers and electronic and electrical devices, sports and scout equipment and paper. It also includes, purchase of residential and commercial buildings and the acquisition of land to construct buildings for sale or lease for the interest of the company. The company segments include Retail Outlets, Wholesale, E-commerce, and Others. It generates maximum revenue from the Retail Outlets segment.</t>
  </si>
  <si>
    <t>Business Equipment and Supplies</t>
  </si>
  <si>
    <t>Business Equipment and Supplies*</t>
  </si>
  <si>
    <t>art, art supplies, computer, electronic product supplies, office supplies, school supplies</t>
  </si>
  <si>
    <t>2011: 698, 2012: 698</t>
  </si>
  <si>
    <t>4190</t>
  </si>
  <si>
    <t>340447-69P</t>
  </si>
  <si>
    <t>Abdulkarim Bin Abdulrahman Alagil</t>
  </si>
  <si>
    <t>Chief Executive Officer, Board Member and Vice President</t>
  </si>
  <si>
    <t>aalagil@jarir.com</t>
  </si>
  <si>
    <t>+966 (0)92 000 0089</t>
  </si>
  <si>
    <t>Post Office Box 3196</t>
  </si>
  <si>
    <t>11471</t>
  </si>
  <si>
    <t>+966 (0)11 465 6363</t>
  </si>
  <si>
    <t>jarir@jarirbookstore.com</t>
  </si>
  <si>
    <t>164703-34</t>
  </si>
  <si>
    <t>Saudi Industrial Export (SAU: 4140)</t>
  </si>
  <si>
    <t>Saudi Industrial Export Co</t>
  </si>
  <si>
    <t>Saudi Industrial Export Co is a Saudi Arabia-based conglomerate company. It is engaged in fertilizers; wholesale of lubricants and refined petroleum products, wholesale of cement and plaster; wholesale of primary plastic materials, rubbers, and synthetic fibers; retail sale of plants, seeds, and fertilizers (nurseries), and Storage in ports and customs or free zones. It operates in two segments: Exports from inside and outside Saudi Arabia; and the Production and sale of medical supplies. The majority of its revenue comes from its export segment.</t>
  </si>
  <si>
    <t>Conglomerates*, Other Commercial Services</t>
  </si>
  <si>
    <t>conglomerate, conglomerate company, fertilizer export, import export, lubricants, petroleum, petroleum gas</t>
  </si>
  <si>
    <t>2011: 32, 2012: 32</t>
  </si>
  <si>
    <t>4140</t>
  </si>
  <si>
    <t>330091-21P</t>
  </si>
  <si>
    <t>Sulaiman Al Jedaie</t>
  </si>
  <si>
    <t>s.jedaie@siec.com</t>
  </si>
  <si>
    <t>+966 (0)11 200 2939</t>
  </si>
  <si>
    <t>P.O.Box 21977</t>
  </si>
  <si>
    <t>11485</t>
  </si>
  <si>
    <t>+966 (0)1 402 2854</t>
  </si>
  <si>
    <t>164701-72</t>
  </si>
  <si>
    <t>SENAAT (SAU: 2240)</t>
  </si>
  <si>
    <t>Zamil Industrial Investment Company</t>
  </si>
  <si>
    <t>SENAAT Company</t>
  </si>
  <si>
    <t>Advanced Building Industries Co Formerly Zamil Industrial Investment Co is engaged in the development of design and engineering solutions for use in the construction industry. It designs and manufactures pre-engineered steel buildings, steel structures, air conditioning and climate control systems, telecom and transmission towers, process equipment, precast concrete building products, rock wool, fiberglass, and engineered plastic foam insulations, and solar power projects. Its operating segments are the Air conditioners industry, the Steel industry, the Insulation industry, and Corporate and others. Maximum revenue is derived from the Steel industry. The company has a business presence in Saudi Arabia, Egypt, and Other Asian countries, of which key revenue is derived from Saudi Arabia.</t>
  </si>
  <si>
    <t>building parts, engineering, engineering solutions, engineering solutions provider, pre-engineered steel buildings, solar</t>
  </si>
  <si>
    <t>2011: 10000, 2012: 8379, 2014: 14000, 2015: 11000, 2016: 11292</t>
  </si>
  <si>
    <t>2240</t>
  </si>
  <si>
    <t>335703-79P</t>
  </si>
  <si>
    <t>George Eapen</t>
  </si>
  <si>
    <t>Acting Chief Financial Officer</t>
  </si>
  <si>
    <t>george@zamilindustrial.com</t>
  </si>
  <si>
    <t>+966 (0)3 810 8111</t>
  </si>
  <si>
    <t>PO Box 14441</t>
  </si>
  <si>
    <t>31424</t>
  </si>
  <si>
    <t>+966 (0)13 810 8199</t>
  </si>
  <si>
    <t>info@zamilindustrial.com</t>
  </si>
  <si>
    <t>164705-41</t>
  </si>
  <si>
    <t>National Metal Manufacturing And Casting (SAU: 2220)</t>
  </si>
  <si>
    <t>National Metal Manufacturing And Casting Co</t>
  </si>
  <si>
    <t>National Metal Manufacturing And Casting Co manufactures and sells metal engineering products and services. It holds interests in the manufacturing of iron and steel castings, steel wires, spring and welding wires, strands, axles, pumps, fasteners, nails, bolts, valves, pipe fittings, and automotive spare parts; provides maintenance services. Its operating segments include: Transformation industries, Engineering and metal forming industries, and Industrial valves. Geographically, all the operations are functioned through the regions of Saudi Arabia, however, it also has a presence across Asia, the Middle East, and Europe.</t>
  </si>
  <si>
    <t>axles and brake, engineering products, engineering products manufacturer, manufacturing, steel casting, truck spare</t>
  </si>
  <si>
    <t>2011: 600, 2012: 600</t>
  </si>
  <si>
    <t>2220</t>
  </si>
  <si>
    <t>381219-94P</t>
  </si>
  <si>
    <t>Fathalrahman Othman</t>
  </si>
  <si>
    <t>f.othman@maadaniyah.com</t>
  </si>
  <si>
    <t>+966 (0)13 358 8000</t>
  </si>
  <si>
    <t>PO Box 10882</t>
  </si>
  <si>
    <t>Street 198, Jubail Industrial City</t>
  </si>
  <si>
    <t>+966 (0)13 358 3831</t>
  </si>
  <si>
    <t>info@maadaniyah.com</t>
  </si>
  <si>
    <t>164711-08</t>
  </si>
  <si>
    <t>Saudi Fisheries (SAU: 6050)</t>
  </si>
  <si>
    <t>Saudi Fisheries Company</t>
  </si>
  <si>
    <t>Saudi Fisheries Co specializes in its field and has accumulated expertise and infrastructure in the marine fishing, aquaculture, logistics, food, and seafood industries, commercial and wholesale sectors, and the operation and management of a number of seafood restaurants. It is involved in fishing in international waters, fish farming in the seas, and other activities for the processing and preservation of shrimps and aquatic organisms, shrimps, and seafood grilling shops.</t>
  </si>
  <si>
    <t>Aquaculture</t>
  </si>
  <si>
    <t>Aquaculture*, Food Products</t>
  </si>
  <si>
    <t>aquaculture services, cooked seafood, fisheries, frozen fish, marine resources, operations</t>
  </si>
  <si>
    <t>2011: 1552, 2012: 930</t>
  </si>
  <si>
    <t>6050</t>
  </si>
  <si>
    <t>445810-15P</t>
  </si>
  <si>
    <t>Rayan Al-Mansour</t>
  </si>
  <si>
    <t>+966 (0)92 000 0527</t>
  </si>
  <si>
    <t>Saudi Fish Company 8705 Nasr Bin Ghanem</t>
  </si>
  <si>
    <t>Al Malaz</t>
  </si>
  <si>
    <t>26401-2641</t>
  </si>
  <si>
    <t>+966 (0)3 859 3090</t>
  </si>
  <si>
    <t>info@alasmak.com.sa</t>
  </si>
  <si>
    <t>164705-05</t>
  </si>
  <si>
    <t>Fitaihi Holding (SAU: 4180)</t>
  </si>
  <si>
    <t>Ahmed H.Fitaihi Company</t>
  </si>
  <si>
    <t>Fitaihi</t>
  </si>
  <si>
    <t>Fitaihi Holding Group SJSC</t>
  </si>
  <si>
    <t>Fitaihi Holding Group is engaged in the Investment and Retail sectors. The investment sector is concentrated in the healthcare sector, the agricultural production sector, and the industrial sector. Its retail sector is active in the trade of luxury goods, gold, jewelry, watches, antiques, gifts, Chinese and crystal sets, silver mantels, accessories, chocolate, and parchment tables. The group has a focus on commercial and investing activities and the majority of the revenue is derived from commercial activities.</t>
  </si>
  <si>
    <t>Accessories, Luxury Goods, Specialty Retail*</t>
  </si>
  <si>
    <t>accessories, apparel, chinaware, consumer durables, crystal sets, diamond pendants, gold jewelry, jewelry, jewelry items</t>
  </si>
  <si>
    <t>2011: 460, 2012: 460</t>
  </si>
  <si>
    <t>4180</t>
  </si>
  <si>
    <t>258343-48P</t>
  </si>
  <si>
    <t>Yasser Abdelhamid</t>
  </si>
  <si>
    <t>Chief Executive Officer &amp; Chief Financial Officer</t>
  </si>
  <si>
    <t>yasser.yehia@fitaihi.com.sa</t>
  </si>
  <si>
    <t>+966 (0)12 260 4200</t>
  </si>
  <si>
    <t>Al Madinah Al Munawarah</t>
  </si>
  <si>
    <t>Al-Sharafeya</t>
  </si>
  <si>
    <t>22234</t>
  </si>
  <si>
    <t>info@fitaihi.com.sa</t>
  </si>
  <si>
    <t>164707-30</t>
  </si>
  <si>
    <t>Arriyadh Development (SAU: 4150)</t>
  </si>
  <si>
    <t>Arriyadh Development Co</t>
  </si>
  <si>
    <t>Panasonic Homes</t>
  </si>
  <si>
    <t>Arriyadh Development Co is functional in the Saudi Arabian real estate sector. The principal activities of the Company are the purchase and sale of lands and real estate, its division, off-plan sales activities, management and leasing of owned or leased out residential and non-residential properties, in addition to real estate development of residential and commercial buildings using modern construction methods, as well as the wholesale and retail sale of new and used private cars, including ambulances, minibuses and four-wheel drive vehicles.</t>
  </si>
  <si>
    <t>construction and engineering, construction and engineering company, construction and engineering sector, construction and engineering service, real estate, real estate services, residential complex</t>
  </si>
  <si>
    <t>2011: 153, 2012: 153, 2013: 145</t>
  </si>
  <si>
    <t>4150</t>
  </si>
  <si>
    <t>296590-87P</t>
  </si>
  <si>
    <t>Jehad Alkadi</t>
  </si>
  <si>
    <t>jehad@riyadh.dev</t>
  </si>
  <si>
    <t>+966 (0)11 411 0333</t>
  </si>
  <si>
    <t>P.O.Box 7442</t>
  </si>
  <si>
    <t>Attameer Center, 3rd Floor Ruling Palace Area</t>
  </si>
  <si>
    <t>11462</t>
  </si>
  <si>
    <t>+966 (0)11 411 8333</t>
  </si>
  <si>
    <t>164710-72</t>
  </si>
  <si>
    <t>Nama Chemicals (SAU: 2210)</t>
  </si>
  <si>
    <t>Nama Chemicals Co</t>
  </si>
  <si>
    <t>Nama Chemicals Co are to own, establish , operate and manage industrial projects in the petrochemical and chemical fields and engaged in real estate operations.</t>
  </si>
  <si>
    <t>Other Chemicals and Gases, Specialty Chemicals*</t>
  </si>
  <si>
    <t>ethanol chemicals, petrochemical sector, petrochemicals investment, specialty chemicals, specialty chemicals company, specialty chemicals firm</t>
  </si>
  <si>
    <t>2011: 267, 2012: 375</t>
  </si>
  <si>
    <t>2210</t>
  </si>
  <si>
    <t>341249-59P</t>
  </si>
  <si>
    <t>Rayan Baaqil</t>
  </si>
  <si>
    <t>rayan.baaqil@nama.com.sa</t>
  </si>
  <si>
    <t>+966 (0)13 347 8888</t>
  </si>
  <si>
    <t>112- Industrial Area Unit No 4</t>
  </si>
  <si>
    <t>6851Road</t>
  </si>
  <si>
    <t>35727-5051</t>
  </si>
  <si>
    <t>+966 (0)13 347 8666</t>
  </si>
  <si>
    <t>ali.qahtani@nama.com.sa</t>
  </si>
  <si>
    <t>164706-22</t>
  </si>
  <si>
    <t>Tihama Advertising &amp; Public Relations (SAU: 4070)</t>
  </si>
  <si>
    <t>Tihama Advertising and Public Relations and Marketing Holding SJSC</t>
  </si>
  <si>
    <t>Tihama Advertising &amp; Public Relations Co is engaged in advertising, public relations, marketing, media and telecommunications services, publishing, bookshops, and video business. The company's activity is based on road advertisements. The group operates in seven main sectors, which include Advertising, Production, Distribution, Bookstores and Retail, Parent Company and Investments.</t>
  </si>
  <si>
    <t>advertising, marketing, marketing service, marketing services, public relation, sales promotion, telecommunications-service</t>
  </si>
  <si>
    <t>2011: 148, 2012: 148</t>
  </si>
  <si>
    <t>4070</t>
  </si>
  <si>
    <t>385832-80P</t>
  </si>
  <si>
    <t>Ayman Soliman</t>
  </si>
  <si>
    <t>+966 (0)1 120 7976</t>
  </si>
  <si>
    <t>Riyadh - Al Muhamadiah - King Fahad Road</t>
  </si>
  <si>
    <t>Al oula building 4th floor, PO Box 4681</t>
  </si>
  <si>
    <t>+966 (0)2 651 5121</t>
  </si>
  <si>
    <t>investor-relations@tihama.com</t>
  </si>
  <si>
    <t>164707-21</t>
  </si>
  <si>
    <t>Anaam International Holding Group (SAU: 4061)</t>
  </si>
  <si>
    <t>Al-Mawashi Al-Mukairish United Co.</t>
  </si>
  <si>
    <t>Anaam International Holding Group Co SJSC</t>
  </si>
  <si>
    <t>Anaam International Holding Group is engaged in imports of frozen and dry food products and distribution throughout Saudi Arabia, growing alfalfa, corn, wheat and some fruits and vegetables. It is also involved in the management and leasing of cold and dry storage facilities, building, managing and maintenance of commercial centres, building, managing and operating industrial projects. The company has also established ownership, leasing and rental contracts of properties, hangars, repair shops, import and export of marine equipment and the right to engage in commercial and industrial activities to produce meat, livestock, wool, and leather trade within the Kingdom.</t>
  </si>
  <si>
    <t>Cultivation, Other Commercial Services*, Real Estate Services (B2C)</t>
  </si>
  <si>
    <t>dry food products, drying storage management, food import, fruits, vegetables, wheat cultivation</t>
  </si>
  <si>
    <t>2011: 78, 2012: 250, 2018: 194</t>
  </si>
  <si>
    <t>4061</t>
  </si>
  <si>
    <t>339798-61P</t>
  </si>
  <si>
    <t>Hassan Al Yamani</t>
  </si>
  <si>
    <t>Vice Chairman of the Board of Directors &amp; Chief Executive Officer</t>
  </si>
  <si>
    <t>+966 (0)12 662 3000</t>
  </si>
  <si>
    <t>Anaam Building</t>
  </si>
  <si>
    <t>23431</t>
  </si>
  <si>
    <t>+966 (0)12 635 7006</t>
  </si>
  <si>
    <t>info@anaamgroup.com</t>
  </si>
  <si>
    <t>112725-46</t>
  </si>
  <si>
    <t>Saudi Pharmaceutical Industries &amp; Medical Appliances (SAU: 2070)</t>
  </si>
  <si>
    <t>SPIMACO</t>
  </si>
  <si>
    <t>Saudi Pharmaceutical Industries &amp; Medical Appliances Corporation</t>
  </si>
  <si>
    <t>Sun Pharmaceutical Industries, GSK, Gulf Pharmaceutical Industries, Jamjoompharma, Cipla, Apollo Pharmaceuticals, Wockhardt, Biocon, Novartis, GlaxoSmithKline Pakistan, Teva Pharmaceutical Industries, Takeda Pharmaceutical, Abbott India, Roche, Sandoz Group, Hoechst Pakistan Limited, Novartis India</t>
  </si>
  <si>
    <t>Saudi Pharmaceutical Industries &amp; Medical Appliances Corp is involved in the manufacturing of basic chemical substances and products; medicines for human use, including cosmetics; pharmaceutical production and wholesale and retail of medicines and related products; development and marketing of medicinal and pharmaceutical products; research and development in medical science activities; operating and maintaining the healthcare facilities and any investments in related industries. The segments of the company are Pharmaceutical Manufacturing, Trading and Distribution services, and Healthcare Services, out of which the company derives maximum revenue from the Pharmaceutical Manufacturing segment. Its geographical segments are Saudi Arabia, Egypt, the Middle East, Morocco, and Algeria.</t>
  </si>
  <si>
    <t>Diagnostic Equipment</t>
  </si>
  <si>
    <t>Diagnostic Equipment*, Medical Supplies, Pharmaceuticals</t>
  </si>
  <si>
    <t>medical appliance, medical supplies, pharmaceutical, pharmaceutical data, pharmaceutical plant, respiratory product</t>
  </si>
  <si>
    <t>2011: 989, 2012: 309</t>
  </si>
  <si>
    <t>2070</t>
  </si>
  <si>
    <t>372422-98P</t>
  </si>
  <si>
    <t>Abdulaziz Aloud</t>
  </si>
  <si>
    <t>abdulaziz.aloud@spimaco.sa</t>
  </si>
  <si>
    <t>+966 (0)11 252 3333</t>
  </si>
  <si>
    <t>PO BOX 20001</t>
  </si>
  <si>
    <t>+966 (0)11 252 3300</t>
  </si>
  <si>
    <t>info@spimaco.sa</t>
  </si>
  <si>
    <t>164702-89</t>
  </si>
  <si>
    <t>Ayyan Investment (SAU: 2140)</t>
  </si>
  <si>
    <t>AYYAN Investment Co</t>
  </si>
  <si>
    <t>AYYAN Investment Co is engaged the main activity of general construction of non-residential buildings including schools, hospitals, hotels etc. The main activities of the Group are categorized into following main business sectors, the manufacturing sector, and Investment sector. The company generates majority of its revenue from the manufacturing sector which is specialized in the production and packaging of dates.</t>
  </si>
  <si>
    <t>Asset Management, Other Financial Services*</t>
  </si>
  <si>
    <t>industrial development, investment, investment company, services project</t>
  </si>
  <si>
    <t>2011: 10, 2012: 700</t>
  </si>
  <si>
    <t>2140</t>
  </si>
  <si>
    <t>228003-22P</t>
  </si>
  <si>
    <t>Raed al-Naeem</t>
  </si>
  <si>
    <t>ralnaeem@ahsa-dev.com.sa</t>
  </si>
  <si>
    <t>+966 (0)13 583 2526</t>
  </si>
  <si>
    <t>Al-Hasa, Saudi Arabia</t>
  </si>
  <si>
    <t>Post Office Box 2726, Office Number. 103, First Floor, Al-Mulhim Tower</t>
  </si>
  <si>
    <t>Al-Thuryat Road, Hufuf</t>
  </si>
  <si>
    <t>Al-Hasa</t>
  </si>
  <si>
    <t>31982</t>
  </si>
  <si>
    <t>+966 (0)13 583 2527</t>
  </si>
  <si>
    <t>info@ahsa-dev.com.sa</t>
  </si>
  <si>
    <t>164708-74</t>
  </si>
  <si>
    <t>The National Company For Glass Industries (SAU: 2150)</t>
  </si>
  <si>
    <t>Zoujaj</t>
  </si>
  <si>
    <t>The National Company For Glass Industries JSC</t>
  </si>
  <si>
    <t>National Co for Glass Industries is a company whose principal activity is the manufacture and sale of returnable and non-returnable glass bottles and float glass. It owns two factories in Riyadh and Dammam. The company also invests in the flat glass industry through its associate company.</t>
  </si>
  <si>
    <t>Other Containers and Packaging</t>
  </si>
  <si>
    <t>Other Containers and Packaging*</t>
  </si>
  <si>
    <t>floating glass, glass bottles, glass materials</t>
  </si>
  <si>
    <t>2011: 277, 2012: 290</t>
  </si>
  <si>
    <t>2150</t>
  </si>
  <si>
    <t>385613-11P</t>
  </si>
  <si>
    <t>Walid Afyouni</t>
  </si>
  <si>
    <t>wafyouni@zoujajglass.com</t>
  </si>
  <si>
    <t>+966 (0)11 265 2323</t>
  </si>
  <si>
    <t>PO Box 41619</t>
  </si>
  <si>
    <t>164702-98</t>
  </si>
  <si>
    <t>Saudi Advanced Industries (SAU: 2120)</t>
  </si>
  <si>
    <t>Saudi Advanced Industries Co</t>
  </si>
  <si>
    <t>Saudi Advanced Industries Co is a diversified investment holding company. The group invests its funds in stocks and other securities. It has a current investment in Masar Al-Numou Finance Group, Industrialization &amp; Energy Services Co (TAQA), and others.</t>
  </si>
  <si>
    <t>Holding Companies*, Other Financial Services</t>
  </si>
  <si>
    <t>diversified financials, financials, holdings, investment holding, public shell, shell investment company</t>
  </si>
  <si>
    <t>2011: 4, 2012: 4, 2018: 10</t>
  </si>
  <si>
    <t>2120</t>
  </si>
  <si>
    <t>341620-57P</t>
  </si>
  <si>
    <t>Muhannad Alshqar</t>
  </si>
  <si>
    <t>Chief Financial Officer &amp; Financial Manager</t>
  </si>
  <si>
    <t>Takhasusi Street with Othman bin Affan Road</t>
  </si>
  <si>
    <t>PO Box 51743 Al-Narjis district</t>
  </si>
  <si>
    <t>11553</t>
  </si>
  <si>
    <t>164709-64</t>
  </si>
  <si>
    <t>Saudi Industrial Development (SAU: 2130)</t>
  </si>
  <si>
    <t>SIDC</t>
  </si>
  <si>
    <t>Saudi Industrial Development Co.</t>
  </si>
  <si>
    <t>Saudi Industrial Development Co is engaged in the production of sanitary wares, including washing basins, showers, toilets, etc., and the manufacture of sponge products. The company operates in the following sectors such as Mattress and sponge sector, including the production and sale of sponges with various pressures and structures of mattresses, beds and all their accessories. Sanitary ware sector, includes the production and sale of sanitary ware, wall tiles, ceramic flooring and acrylic bathtubs. Transportations consist of transport goods and equipment. Financial investment in portfolio trading in the market and Other sectors. Mattresses and sponges generates key revenue for the company.</t>
  </si>
  <si>
    <t>Holding Companies*, Other Commercial Products</t>
  </si>
  <si>
    <t>acrylic bathtub, bed accessories, ceramic sanitaryware, mattress, mattress beds, sponges</t>
  </si>
  <si>
    <t>2010: 530, 2012: 530</t>
  </si>
  <si>
    <t>2130</t>
  </si>
  <si>
    <t>329941-72P</t>
  </si>
  <si>
    <t>Abdul-Ilah Al-Asaker</t>
  </si>
  <si>
    <t>+966 (0)12 610 2222</t>
  </si>
  <si>
    <t>Prince Mohammed Bin Abdulaziz Street</t>
  </si>
  <si>
    <t>PO Box 12105</t>
  </si>
  <si>
    <t>21473</t>
  </si>
  <si>
    <t>+966 (0)12 610 5555</t>
  </si>
  <si>
    <t>147510-82</t>
  </si>
  <si>
    <t>Saudi Ceramic (SAU: 2040)</t>
  </si>
  <si>
    <t>Saudi Ceramic Company</t>
  </si>
  <si>
    <t>Thomas &amp; Betts, Forsan Ceramics, MITA Holdings</t>
  </si>
  <si>
    <t>Saudi Ceramic Co is engaged in the production and sale of ceramic products, water heaters, and related components. The company is also into import of related machinery, equipment, and other accessories. It has three reporting segments; the Ceramic tiles and sanitary ware segment is into the manufacturing and distribution of ceramic and porcelain tiles and sanitary ware items, the Water heaters segment is into the manufacturing and distribution of electric water heaters, and the Ceramic pipes segment is into the manufacturing and distribution of clay pipes for sanitary ware and sewage networks.</t>
  </si>
  <si>
    <t>bathroom accessories, customer service, home furnishings, home furnishings services, sanitary unit, sanitaryware</t>
  </si>
  <si>
    <t>2011: 707, 2012: 786, 2013: 960, 2014: 1037, 2015: 1067, 2016: 1067</t>
  </si>
  <si>
    <t>2040</t>
  </si>
  <si>
    <t>297518-14P</t>
  </si>
  <si>
    <t>Yousuf Al- Khail</t>
  </si>
  <si>
    <t>+966 (0)11 829 8888</t>
  </si>
  <si>
    <t>King Fahad Road, Al Olaya</t>
  </si>
  <si>
    <t>PO Box 3893</t>
  </si>
  <si>
    <t>+966 (0)11 465 2124</t>
  </si>
  <si>
    <t>info@saudiceramics.com</t>
  </si>
  <si>
    <t>164701-81</t>
  </si>
  <si>
    <t>National Industralization (SAU: 2060)</t>
  </si>
  <si>
    <t>TASNEE</t>
  </si>
  <si>
    <t>National Industrialization Co</t>
  </si>
  <si>
    <t>Saudi International Petrochemical, Methanol Chemicals, Advanced Petrochemical, Saudi Basic Industries</t>
  </si>
  <si>
    <t>National Industrialization Co manufactures and sells petrochemical and chemical products. It produces ethylene, polyethylene, propylene and polypropylene, acrylics, titanium dioxide, dry and liquid vehicle batteries, plastic products, and acrylic sheets, and provides technical testing to equipment, and industrial, chemical, petrochemical, and metallurgical plants and water desalination and power generation plants. Its segment consists of Metallurgy, Petrochemicals, Downstream, and Others. The company generates maximum revenue from the Petrochemicals segment.</t>
  </si>
  <si>
    <t>Other Chemicals and Gases</t>
  </si>
  <si>
    <t>Other Chemicals and Gases*</t>
  </si>
  <si>
    <t>petrochemical gas, petrochemical plant, petrochemical product storage, petrochemical production, petrochemical products, titanium dioxide</t>
  </si>
  <si>
    <t>2011: 1096, 2012: 935, 2013: 1393, 2014: 1463, 2018: 7000</t>
  </si>
  <si>
    <t>2060</t>
  </si>
  <si>
    <t>415844-65P</t>
  </si>
  <si>
    <t>Emad Haji</t>
  </si>
  <si>
    <t>+966 (0)11 222 2205</t>
  </si>
  <si>
    <t>The Business Gate, Building No. C3</t>
  </si>
  <si>
    <t>Eastern Ring Road, Qurtuba Area</t>
  </si>
  <si>
    <t>+966 (0)11 400 2255</t>
  </si>
  <si>
    <t>info@tasnee.com</t>
  </si>
  <si>
    <t>164702-26</t>
  </si>
  <si>
    <t>Saudi Cement (SAU: 3030)</t>
  </si>
  <si>
    <t>Saudi Cement Co</t>
  </si>
  <si>
    <t>Umm Al Qura Cement Company, Tabuk Cement, Al Jouf Cement, Najran Cement, City Cement, Arabian Cement (Saudi Arabia)</t>
  </si>
  <si>
    <t>Saudi Cement Co is engaged in manufacturing and selling cement and its related products. Its products are Cement Clinker, Sulfate Resistant Cement, and Ordinary Portland Cement used for highways, bridges, airports, seaports, railways, metros, and numerous housing and commercial projects. It operates in two geographic segments Kingdom of Saudi Arabia and Kingdom of Bahrain. It generates the majority of its revenue from the Kingdom of Saudi Arabia.</t>
  </si>
  <si>
    <t>cement, cement bags, cement company, cement maker, cement manufacturer, cement product</t>
  </si>
  <si>
    <t>2010: 1800, 2012: 1800</t>
  </si>
  <si>
    <t>3030</t>
  </si>
  <si>
    <t>308640-34P</t>
  </si>
  <si>
    <t>Mansour Balghonaim</t>
  </si>
  <si>
    <t>+966 (0)13 835 8000</t>
  </si>
  <si>
    <t>Al-Amamrah Area - Unit 1</t>
  </si>
  <si>
    <t>3964 - King Saud</t>
  </si>
  <si>
    <t>32415-7102</t>
  </si>
  <si>
    <t>+966 (0)13 834 3091</t>
  </si>
  <si>
    <t>164702-35</t>
  </si>
  <si>
    <t>Southern Province Cement (SAU: 3050)</t>
  </si>
  <si>
    <t>Southern Province Cement Co</t>
  </si>
  <si>
    <t>Eastern Province Cement, Gulf Cement Company, Pioneer Cement Industries</t>
  </si>
  <si>
    <t>Southern Province Cement Co is engaged in the manufacture and production of cement, its derivatives, and related accessories. The company derives its revenue from selling cement and selling clinker. The company operates in Saudi Arabia, and its geographical area segments are Jazan, Bisha, and Tehama Emara.</t>
  </si>
  <si>
    <t>cement bags, raw materials, raw materials and goods, raw materials for industry, raw materials management, raw materials solution</t>
  </si>
  <si>
    <t>2011: 1555, 2012: 1555, 2023: 1602, 2024: 1614</t>
  </si>
  <si>
    <t>3050</t>
  </si>
  <si>
    <t>243076-69P</t>
  </si>
  <si>
    <t>Aqeel Kadasa</t>
  </si>
  <si>
    <t>+966 (0)17 227 1500</t>
  </si>
  <si>
    <t>Abha, Saudi Arabia</t>
  </si>
  <si>
    <t>King fahad Rood</t>
  </si>
  <si>
    <t>P.O.Box 548</t>
  </si>
  <si>
    <t>Abha</t>
  </si>
  <si>
    <t>61421</t>
  </si>
  <si>
    <t>+966 (0)17 227 1003</t>
  </si>
  <si>
    <t>ho@spcc.com.sa</t>
  </si>
  <si>
    <t>164706-04</t>
  </si>
  <si>
    <t>Tabuk Agricultural Development (SAU: 6040)</t>
  </si>
  <si>
    <t>TADCO</t>
  </si>
  <si>
    <t>Tabuk Agricultural Development Co.</t>
  </si>
  <si>
    <t>Tabuk Agricultural Development Co is a company that engages in the manufacture and marketing of agricultural products. It mainly markets fruit, vegetables, olive oil, wheat, barley, and cut flowers. The operating segment of the company are Feeds, Vegetables, Fruits, Grain, Other products and Frozen Meat.</t>
  </si>
  <si>
    <t>Cultivation*, Horticulture</t>
  </si>
  <si>
    <t>agricultural product, firewood, fruits, marketing, roses, trees, wheat</t>
  </si>
  <si>
    <t>2011: 1029, 2012: 1029, 2022: 554, 2024: 439</t>
  </si>
  <si>
    <t>6040</t>
  </si>
  <si>
    <t>341844-04P</t>
  </si>
  <si>
    <t>Mohamed Bakry</t>
  </si>
  <si>
    <t>mbakry@tadco.online</t>
  </si>
  <si>
    <t>+966 (0)14 450 0000</t>
  </si>
  <si>
    <t>Tabuk, Saudi Arabia</t>
  </si>
  <si>
    <t>PO Box 808</t>
  </si>
  <si>
    <t>Tabuk</t>
  </si>
  <si>
    <t>71421</t>
  </si>
  <si>
    <t>+966 (0)14 450 0025</t>
  </si>
  <si>
    <t>info@tadco-agri.com</t>
  </si>
  <si>
    <t>164705-14</t>
  </si>
  <si>
    <t>Wafrah for Industry and Development (SAU: 2100)</t>
  </si>
  <si>
    <t>Wafrah for Industry and Development SJSC</t>
  </si>
  <si>
    <t>Wafrah for Industry and Development is engaged in the manufacture, canning, preservation, processing, development, and marketing of food products for local and foreign markets. Its products include Pasta products, Frozen and cooked meat, Frozen potato chips, Peanut products, and Breakfast cereals, among others. The company's primary business activities consist of segments that include the manufacturing and sale of various types of pastries, the sale of vegetables, the manufacturing of breakfast cereals, and the manufacturing and sale of meat products. The company generates the majority of its revenue from the Vegetables sector. The company operates within the Kingdom of Saudi Arabia.</t>
  </si>
  <si>
    <t>agricultural crop, food product, food product marketing, food products, food products company, food products safety</t>
  </si>
  <si>
    <t>2011: 21522, 2012: 18010</t>
  </si>
  <si>
    <t>2100</t>
  </si>
  <si>
    <t>P.O.Box 131</t>
  </si>
  <si>
    <t>+966 (0)11 402 3456</t>
  </si>
  <si>
    <t>+966 (0)11 403 5888</t>
  </si>
  <si>
    <t>164709-28</t>
  </si>
  <si>
    <t>Al-Jouf Agriculture Development (SAU: 6070)</t>
  </si>
  <si>
    <t>Al-Jouf Agriculture Development Co</t>
  </si>
  <si>
    <t>Al-Jouf Agriculture Development Co is engaged in the production and sale of agricultural products in Saudi Arabia. The company's products include corns, potatoes, forage and fodder crops, watermelons, wheat, onions, barley, and maize; olives and olive oil products; fruits, such as dates, plums, peaches, apricots, grapes, and pears; honey products; and vegetables, including tomatoes, peppers, squashes, cucumbers, and eggplants, as well as operates nurseries to produce seedlings of fruits and olive trees. The company's segment includes Agricultural activity - Plants and Agricultural activity - Manufacturing. The company generates the majority of its revenue from Agricultural activity - Manufacturing.</t>
  </si>
  <si>
    <t>Cultivation*</t>
  </si>
  <si>
    <t>agricultural product, agricultural products, agricultural products provider, cultivation, cultivation crop, onion</t>
  </si>
  <si>
    <t>2011: 1300, 2012: 1300</t>
  </si>
  <si>
    <t>6070</t>
  </si>
  <si>
    <t>293563-90P</t>
  </si>
  <si>
    <t>Mazrou Al-Mazrou</t>
  </si>
  <si>
    <t>+966 (0)14 646 6664</t>
  </si>
  <si>
    <t>Al-Jouf Skaka, Saudi Arabia</t>
  </si>
  <si>
    <t>PO Box 321</t>
  </si>
  <si>
    <t>Aljaouf Province - Buseta Center</t>
  </si>
  <si>
    <t>Al-Jouf Skaka</t>
  </si>
  <si>
    <t>72394</t>
  </si>
  <si>
    <t>+966 (0)4 654 0233</t>
  </si>
  <si>
    <t>info@aljouf.com.sa</t>
  </si>
  <si>
    <t>148993-66</t>
  </si>
  <si>
    <t>Saudi Darb Investment Co (SAU: 4130)</t>
  </si>
  <si>
    <t>Al-Baha Investment &amp; Development Company</t>
  </si>
  <si>
    <t>Baha, Al-Baha</t>
  </si>
  <si>
    <t>Saudi Darb Investment Co SJSC</t>
  </si>
  <si>
    <t>Saudi Darb Investment Co is engaged in establishing, managing, operating and maintaining the central markets, commercial and residential complexes, hotels, furnished apartments, restaurants, cafes, buffets, bakeries, sweets, cooked and uncooked subsistence services, fuels stations, wholesale and retail sale of food stuff, and building materials and iron, general contracting of buildings, electrical, electronic and mechanical works, management, maintenance of real estate, maintenance contracting, operation, cleaning and purchase and renting lands for constructing buildings on them and investing them by sale or rent for the benefit of the company.</t>
  </si>
  <si>
    <t>Animal Husbandry, Construction and Engineering*</t>
  </si>
  <si>
    <t>egg poultry, industrial construction service, industrial projects, industrial projects management, maintenance task, tourist facilities</t>
  </si>
  <si>
    <t>2010: 23, 2012: 55</t>
  </si>
  <si>
    <t>4130</t>
  </si>
  <si>
    <t>291133-81P</t>
  </si>
  <si>
    <t>Ibrahim Kulaib</t>
  </si>
  <si>
    <t>Chief Executive Officer &amp; Deputy Chairman</t>
  </si>
  <si>
    <t>+966 (0)17 722 3333</t>
  </si>
  <si>
    <t>Al Izdihar</t>
  </si>
  <si>
    <t>22888</t>
  </si>
  <si>
    <t>+966 (0)17 722 4445</t>
  </si>
  <si>
    <t>info@albahacompany.com</t>
  </si>
  <si>
    <t>164704-96</t>
  </si>
  <si>
    <t>Filing &amp; Packing Materials Manufacturing (SAU: 2180)</t>
  </si>
  <si>
    <t>Filing &amp; Packing Materials Manufacturing Co.</t>
  </si>
  <si>
    <t>Filing &amp; Packing Materials Manufacturing Co produces polypropylene bags with coated and uncoated low-density polyethylene for heavy duty purposes as well as cable filler, Valve Cement bags, Leno bags, Rachel bags, Strapping bands, and Serving thread. Its products include Jumbo Bags, Small Bags, Fabrics, etc. The company's segment includes the Packing and packaging segment and Technical textiles segment. The company generates the majority of its revenue from Packing and Packaging segment.</t>
  </si>
  <si>
    <t>jumbo bags, polypropylene bags, polypropylene bags industry, polypropylene gas, polypropylene rugs, small bags</t>
  </si>
  <si>
    <t>2011: 115, 2012: 312</t>
  </si>
  <si>
    <t>2180</t>
  </si>
  <si>
    <t>368596-36P</t>
  </si>
  <si>
    <t>Abdullah Alharbi</t>
  </si>
  <si>
    <t>abdullah.alharbi@fipco.com.sa</t>
  </si>
  <si>
    <t>+966 (0)11 265 2299</t>
  </si>
  <si>
    <t>Second Industrial City in Riyadh</t>
  </si>
  <si>
    <t>14335</t>
  </si>
  <si>
    <t>+966 (0)11 265 1275</t>
  </si>
  <si>
    <t>info@fipco.com.sa</t>
  </si>
  <si>
    <t>164381-05</t>
  </si>
  <si>
    <t>Batic Investments and Logistics (SAU: 4110)</t>
  </si>
  <si>
    <t>Saudi Transport and Investment Co SJSC</t>
  </si>
  <si>
    <t>Mubarrad</t>
  </si>
  <si>
    <t>Batic Investments and Logistics Co</t>
  </si>
  <si>
    <t>Batic Investments and Logistics Co is engaged in the general construction of residential buildings and general construction of non-residential buildings including schools, hospitals, and hotels, restoration of residential and non-residential buildings, construction and repair of roads, streets, sidewalks, and road accessories, and finishing buildings. It has the following sectors: Investment property, Transportation segment, Security guard sector, ATM feeding sector, Secured money transfer and correspondence sector, Maintenance and operation, Smart parking solutions, Supply of medical equipment, and Others. The majority of the company's revenue is derived from the Transportation segment.</t>
  </si>
  <si>
    <t>Logistics*, Road</t>
  </si>
  <si>
    <t>commercial services, freight transportation, land freight transportation, logistics, logistics service, road transport</t>
  </si>
  <si>
    <t>2011: 410, 2012: 560</t>
  </si>
  <si>
    <t>4110</t>
  </si>
  <si>
    <t>339957-64P</t>
  </si>
  <si>
    <t>Mohammed Tantawi</t>
  </si>
  <si>
    <t>+966 (0)11 418 7879</t>
  </si>
  <si>
    <t>Al Arz Street Rhoc</t>
  </si>
  <si>
    <t>Batic Building - 2nd Floor</t>
  </si>
  <si>
    <t>+966 (0)11 418 7801</t>
  </si>
  <si>
    <t>info@batic.com.sa</t>
  </si>
  <si>
    <t>164710-45</t>
  </si>
  <si>
    <t>Makkah Construction and Development Company (SAU: 4100)</t>
  </si>
  <si>
    <t>MCDC</t>
  </si>
  <si>
    <t>Makkah Construction and Development Co SJSC</t>
  </si>
  <si>
    <t>Makkah Construction &amp; Development Co is engaged in developing construction projects such as developing facilities near the Holy Mosque of Makkah. The company's objectives are to Build up the areas around Makkah Holy mosque, own, develop, operate, and invest in the real estate around Makkah Holy mosque, and carry out all engineering works, survey, demolishing &amp; construction works for the company projects.</t>
  </si>
  <si>
    <t>construction, construction sand, real estate, real estate construction, real estate development, site survey</t>
  </si>
  <si>
    <t>2012: 1125</t>
  </si>
  <si>
    <t>4100</t>
  </si>
  <si>
    <t>341060-23P</t>
  </si>
  <si>
    <t>Amro Fatah Hussain</t>
  </si>
  <si>
    <t>+966 (0)92 002 2111</t>
  </si>
  <si>
    <t>Third Ring Road Branch</t>
  </si>
  <si>
    <t>Building Number 2779 - Al-Shawqiyah District</t>
  </si>
  <si>
    <t>info@mcdc.com.sa</t>
  </si>
  <si>
    <t>81920-26</t>
  </si>
  <si>
    <t>Al Rajhi Banking and Investment (SAU: 1120)</t>
  </si>
  <si>
    <t>Al-Rajhi Bank, Rize</t>
  </si>
  <si>
    <t>Al Rajhi Banking and Investment Corporation</t>
  </si>
  <si>
    <t>Bank of India, The Federal Bank, IDBI Bank, Indian Overseas Bank, Canara Bank, Indian Bank, Punjab National Bank, Andhra Bank, Union Bank of India, Central Bank of India, RBL Bank, IDFC First Bank, Tamilnad Mercantile Bank, Dhanlaxmi Bank, City Union Bank, The Royal Bank of Scotland (Malaysia), ICBC Turkey Bank, Wells Fargo, Bank of Maharashtra, Bandhan Bank, AU Small Finance Bank, Dena Bank, Allahabad Bank, Suryoday Small finance Bank, Home Credit Bank, ICBC Peru Bank, Williams &amp; Glyn Bank, YES Bank, Karur Vysya Bank, Bank of America, Standard Chartered Bank Kenya, DBS Bank, HSBC Holdings, Corporation Bank, Axis Bank, UCO Bank, Lakshmi Vilas Bank, Bank of India ( Botswana ), Deutsche Bank, Standard Chartered, Industrial and Commercial Bank of China Limited, Singapore Branch, IndusInd Bank, HDFC Bank, Easypaisa Bank, Bank of Baroda, ICBC (EUROPE) S.A. Amsterdam Branch, Capital One Financial, Kotak Mahindra Bank</t>
  </si>
  <si>
    <t>Al Rajhi Bank is an Islamic bank with a network of over 500 branches. Its segments include the Retail segment which includes accepting individual customer deposits, providing credit facilities, customer debit current accounts, fees from banking services, and remittance business; the Corporate segment which incorporates deposits of VIP, corporate customer deposits, credit facilities, and debit current accounts, Treasury segment through which it offers treasury services, Murabaha with SAMA and international Mutajara portfolio; and Investment services and brokerage and other that incorporates investments of individuals and corporate in mutual funds, local and international share trading services and investment portfolios.</t>
  </si>
  <si>
    <t>banking, banking services, debit card, directing investment, investment risk, personal accident</t>
  </si>
  <si>
    <t>2011: 8299, 2012: 8307, 2013: 10603, 2014: 11761, 2015: 12374, 2016: 13684, 2017: 13077, 2018: 13532, 2019: 13439, 2020: 13716, 2021: 15078, 2022: 19964, 2023: 20878, 2024: 23437</t>
  </si>
  <si>
    <t>1120</t>
  </si>
  <si>
    <t>96007-42P</t>
  </si>
  <si>
    <t>Sulaiman Al Rajhi</t>
  </si>
  <si>
    <t>alrajhis@alrajhibank.com.sa</t>
  </si>
  <si>
    <t>8467 King Fahd Road - Al Muruj District</t>
  </si>
  <si>
    <t>Unit Number 1</t>
  </si>
  <si>
    <t>12263-2743</t>
  </si>
  <si>
    <t>61480-09</t>
  </si>
  <si>
    <t>Saudi Cable (SAU: 2110)</t>
  </si>
  <si>
    <t>SCC</t>
  </si>
  <si>
    <t>Saudi Cable Co.</t>
  </si>
  <si>
    <t>Superior Essex, Nexans Hellas, Major Custom Cable, NKT (Connectivity Products), Encore Wire, AmerCable, Amphenol, Fujitsu Consulting, HMN Technologies, Prysmian, Belden, General Cable, Nexans</t>
  </si>
  <si>
    <t>Saudi Cable Co and its subsidiaries are engaged in manufacturing and supplying electrical and telecommunication cables, copper rod, PVC compounds, wooden reels and related products. It is also engaged in the contracting, trading, distribution and supply of cables, electronic products, information technology products, and related accessories. The company has the following main business segments: Sale of manufactured goods, which derives key revenue; and Turnkey power and telecommunication projects. Geographically, the company operations are carried out in the Kingdom of Saudi Arabia, Turkey, and others, of which Saudi Arabia generates maximum revenue to the company.</t>
  </si>
  <si>
    <t>Cable Service Providers</t>
  </si>
  <si>
    <t>Cable Service Providers*, Connectivity Products</t>
  </si>
  <si>
    <t>aluminium cable, cable product, cable system design, cable system operators, cable system provider, cable system service, communication cable, copper cable, manufacturing, telecommunication cables, telecommunication cables manufacturer, telecommunication cables service</t>
  </si>
  <si>
    <t>2011: 799, 2012: 976, 2014: 1759</t>
  </si>
  <si>
    <t>2110</t>
  </si>
  <si>
    <t>Xenel Industries</t>
  </si>
  <si>
    <t>400119-67P</t>
  </si>
  <si>
    <t>Ashfaq Al-Syed</t>
  </si>
  <si>
    <t>+966 (0)12 608 7666</t>
  </si>
  <si>
    <t>P O Box 4403</t>
  </si>
  <si>
    <t>Industrial Area Phase 2</t>
  </si>
  <si>
    <t>+966 (0)12 637 9877</t>
  </si>
  <si>
    <t>info@saudicable.com</t>
  </si>
  <si>
    <t>164703-52</t>
  </si>
  <si>
    <t>Ash-Sharqiyah (SAU: 6060)</t>
  </si>
  <si>
    <t>Ash-Sharqiyah Development Co</t>
  </si>
  <si>
    <t>Ash-Sharqiyah Development Co operates in investment activities, development activities, and logistic services. Through its subsidiaries, its activities include agriculture, forestry and fishing; construction; wholesale and retail trade and repair of motor vehicles and motorcycles; transportation and storage; accommodation and food service activities; real estate activities; arts, entertainment and leisure; other service activities. Its segments include Al-Sharqiya Development Group, Sado Al Arab Trading Group, and Al Waset Al Beri Logistics Group.</t>
  </si>
  <si>
    <t>Animal Husbandry*</t>
  </si>
  <si>
    <t>AgTech, TMT</t>
  </si>
  <si>
    <t>ag biotech, agriculture technology, animal husbandry, animal products, biofertilizers, biofertilizers produce, breeding, calf breeding, plant biotech, plant biotechnology</t>
  </si>
  <si>
    <t>2011: 222, 2012: 222</t>
  </si>
  <si>
    <t>6060</t>
  </si>
  <si>
    <t>266344-84P</t>
  </si>
  <si>
    <t>Abdullah Hujailan</t>
  </si>
  <si>
    <t>abdullah@asharqiyah.com.sa</t>
  </si>
  <si>
    <t>+966 (0)13 809 9439</t>
  </si>
  <si>
    <t>P.O.Box 7118</t>
  </si>
  <si>
    <t>Ash Shati Sharqi Unit No 10 3469 Kaab Ibn Jammar</t>
  </si>
  <si>
    <t>+966 (0)13 809 9438</t>
  </si>
  <si>
    <t>164706-40</t>
  </si>
  <si>
    <t>Arab National Bank (SAU: 1080)</t>
  </si>
  <si>
    <t>ANB</t>
  </si>
  <si>
    <t>Arab National Bank JSC</t>
  </si>
  <si>
    <t>Riyad Bank, Bank Albilad, Saudi Awwal Bank, Banque Saudi Fransi, Saudi National Bank, Bank AlJazira, Al Rajhi Banking and Investment, Emirates NBD Bank, Samba Financial Group, Saigon - Hanoi Commercial Bank, Arab Bank</t>
  </si>
  <si>
    <t>Arab National Bank is a commercial banking service provider based in Saudi Arabia. Its core business activities comprise of commercial, Islamic, and investment banking services. The company's business is divided into business segments; the Retail Banking segment; Corporate banking segment; Treasury segment; Investment and brokerage services segment; and Other. Geographically, it operates in Saudi Arabia, Other GCC &amp; Middle East, Europe, North America, Latin America, South East Asia and Other Countries.</t>
  </si>
  <si>
    <t>bank deposits, banking services, commercial banking firm, commercial banking service, financial service bank, financial service group, financial services, national bank, retail banking</t>
  </si>
  <si>
    <t>2011: 3416, 2012: 4627, 2013: 4586, 2014: 4554, 2015: 4846, 2016: 4403, 2017: 4170, 2018: 4132, 2019: 4170, 2020: 3959, 2021: 4059, 2022: 4029, 2023: 4206, 2024: 4474</t>
  </si>
  <si>
    <t>1080</t>
  </si>
  <si>
    <t>284139-82P</t>
  </si>
  <si>
    <t>Thamer Al-Wadai</t>
  </si>
  <si>
    <t>+966 (0)11 402 9000</t>
  </si>
  <si>
    <t>PO Box 56921</t>
  </si>
  <si>
    <t>+966 (0)11 405 0244</t>
  </si>
  <si>
    <t>info@anb.com.sa</t>
  </si>
  <si>
    <t>164707-57</t>
  </si>
  <si>
    <t>Saudi Public Transport (SAU: 4040)</t>
  </si>
  <si>
    <t>SAPTCO</t>
  </si>
  <si>
    <t>Saudi Public Transport Co</t>
  </si>
  <si>
    <t>Saudi Public Transport Co provides transportation services. It offers passenger land transport in both intra- and inter-city routes throughout the Kingdom and beyond. The Group is also involved in transferring non-postal parcels, cargo, school transport, teacher transport, car rentals, and sand and gravel transport. The segments include passenger transport, specialized services, technical shared services, digital mobility solutions, and the concession for the Abdul-Aziz Project for public transport in Riyadh, with the majority of its revenue coming from this concession segment. Business activities operate through Saudi.</t>
  </si>
  <si>
    <t>cargo services, charter service, transportation services, urban transport service</t>
  </si>
  <si>
    <t>2011: 5178, 2012: 5647</t>
  </si>
  <si>
    <t>4040</t>
  </si>
  <si>
    <t>224127-73P</t>
  </si>
  <si>
    <t>Khaled Al-Haqil</t>
  </si>
  <si>
    <t>+966 (0)11 288 4400</t>
  </si>
  <si>
    <t>Prince AbdulAziz bin Mosaid bin Jalawi Street</t>
  </si>
  <si>
    <t>Sulaymaniyah District</t>
  </si>
  <si>
    <t>11443</t>
  </si>
  <si>
    <t>+966 (0)11 288 4411</t>
  </si>
  <si>
    <t>164706-76</t>
  </si>
  <si>
    <t>Sinad Holding (SAU: 4080)</t>
  </si>
  <si>
    <t>Sinad Holding Co</t>
  </si>
  <si>
    <t>Sinad Holding Co is a Saudi Arabia-based company engaged in diversified investment activities such as trade, tourism, real estate development, and construction. It is engaged in two business segments, including the Investment and Industrial segments. Geographically, it has a presence in the Kingdom of Saudi Arabia, Egypt, and Other Arab and foreign countries in which key revenue is generated from the Kingdom of Saudi Arabia.</t>
  </si>
  <si>
    <t>Holding Companies*, Specialized Finance</t>
  </si>
  <si>
    <t>financial investment services, holding company, holding firm, investment, investment company, investment company service</t>
  </si>
  <si>
    <t>2011: 3493, 2012: 3493</t>
  </si>
  <si>
    <t>4080</t>
  </si>
  <si>
    <t>379212-13P</t>
  </si>
  <si>
    <t>Muhammad Suleiman</t>
  </si>
  <si>
    <t>+966 (0)11 235 3399</t>
  </si>
  <si>
    <t>Kingdom of Saudi Arabia, Riyadh, CMC Tower, King Fahd Road, Al Malqa District</t>
  </si>
  <si>
    <t>Building number 7702</t>
  </si>
  <si>
    <t>+966 (0)11 235 3388</t>
  </si>
  <si>
    <t>info@sinadholding.com</t>
  </si>
  <si>
    <t>164703-61</t>
  </si>
  <si>
    <t>Bank AlJazira (SAU: 1020)</t>
  </si>
  <si>
    <t>BAJ</t>
  </si>
  <si>
    <t>Bank AlJazira JSC</t>
  </si>
  <si>
    <t>Saudi National Bank, Bank Albilad, Arab National Bank, Riyad Bank, Banque Saudi Fransi, Al Rajhi Banking and Investment, Saudi Awwal Bank, Commercial Bank of Dubai, Emirates NBD Bank, Indian Overseas Bank, IDBI Bank, Samba Financial Group, Saigon - Hanoi Commercial Bank, YES Bank, Axis Bank, State Bank of India, IndusInd Bank, Arab Bank</t>
  </si>
  <si>
    <t>Bank AlJazira provides banking services. The group is organized into the following main operating segments: Personal banking deposits include credit and investment products for individuals. Corporate banking includes Financing, deposits, and other credit products for corporate, small to medium-sized businesses, and institutional customers. Treasury includes money market, foreign exchange, trading, and treasury services. Brokerage and asset management provides shares brokerage services to customers (this segment includes the activities of the Bank's subsidiary AlJazira Capital Company). All of the group's operations are based in the Kingdom of Saudi Arabia, GCC and Middle East, Europe, North America, South East Asia and Other countries.</t>
  </si>
  <si>
    <t>banking services, commercial banking, corporate banking, deposit, financing, loans</t>
  </si>
  <si>
    <t>2011: 1616, 2012: 1620, 2013: 1779, 2014: 2015, 2015: 2176, 2016: 2219, 2017: 2256, 2018: 3149, 2019: 3226, 2020: 3121, 2021: 3177, 2022: 3188, 2023: 3179, 2024: 3208</t>
  </si>
  <si>
    <t>1020</t>
  </si>
  <si>
    <t>339947-47P</t>
  </si>
  <si>
    <t>Hani bin Salah Nouri</t>
  </si>
  <si>
    <t>Chief Financial Officer &amp; Senior Vice President</t>
  </si>
  <si>
    <t>nouri.h@bankaljazira.com</t>
  </si>
  <si>
    <t>+966 (0)12 609 8888</t>
  </si>
  <si>
    <t>P.O. Box 6277</t>
  </si>
  <si>
    <t>Al Nahda Center, Al King Abdulaziz Road</t>
  </si>
  <si>
    <t>+966 (0)12 609 8881</t>
  </si>
  <si>
    <t>896012-38</t>
  </si>
  <si>
    <t>Akada (Household Products)</t>
  </si>
  <si>
    <t>Akada Trading Company, LLC.</t>
  </si>
  <si>
    <t>Manufacturer of architectural hardware products intended for residential and commercial buildings. The company offers a comprehensive range of products, including mechanical and electronic locking mechanisms, door handles, hinges, exit devices, and related accessories, featuring high-quality materials, weather resistance, and customizable design options, enabling markets to access secure and durable hardware solutions suitable for diverse building needs.</t>
  </si>
  <si>
    <t>Household Products*</t>
  </si>
  <si>
    <t>architectural hardware, architectural hardware product, architectural hardware supplier, door handles, door handles manufacturer, electronic locking, electronic locking solution, electronic locking system</t>
  </si>
  <si>
    <t>467360-02P</t>
  </si>
  <si>
    <t>Marwan Hafez</t>
  </si>
  <si>
    <t>marwan@akada.com.sa</t>
  </si>
  <si>
    <t>+966 (0)54 059 5507</t>
  </si>
  <si>
    <t>6254 Al Farooq District</t>
  </si>
  <si>
    <t>12864</t>
  </si>
  <si>
    <t>info@akada.com.sa</t>
  </si>
  <si>
    <t>164708-92</t>
  </si>
  <si>
    <t>Alujain (SAU: 2170)</t>
  </si>
  <si>
    <t>Alujain Holding</t>
  </si>
  <si>
    <t>Alujain Corporation</t>
  </si>
  <si>
    <t>Alujain Corp along with its subsidiaries is engaged in the production and sale of propylene, polypropylene, and its derivatives, establishment, operation, and investment in industrial projects, including projects related to the petrochemical and chemical industries, basic and transformational industries, plastic industries (plastics), industries related to renewable energy and other vital industries inside and outside the Kingdom of Saudi Arabia. The company has two operating segments: Manufacturing of petrochemical products, which generates key revenue, and Manufacturing of home-care products. Geographically, the company generates a majority of its revenue from Asia and the rest from Africa, Europe, North America, South America, and Oceania.</t>
  </si>
  <si>
    <t>investment service, investment service provider, investment services, investment services firm, manufacturing, project investment</t>
  </si>
  <si>
    <t>2011: 1921, 2012: 1921</t>
  </si>
  <si>
    <t>2170</t>
  </si>
  <si>
    <t>287417-08P</t>
  </si>
  <si>
    <t>Khalid Al Dawood</t>
  </si>
  <si>
    <t>kdawood@alujaincorp.com</t>
  </si>
  <si>
    <t>+966 (0)11 234 6515</t>
  </si>
  <si>
    <t>Al Abbas Ibn Abd Al Mouttaleb</t>
  </si>
  <si>
    <t>12485</t>
  </si>
  <si>
    <t>+966 (0)11 229 0994</t>
  </si>
  <si>
    <t>info@alujain.sa</t>
  </si>
  <si>
    <t>62519-59</t>
  </si>
  <si>
    <t>Bahri (SAU: 4030)</t>
  </si>
  <si>
    <t>National Shipping Company of Saudi Arabia</t>
  </si>
  <si>
    <t>Bahri SA</t>
  </si>
  <si>
    <t>Stolt-Nielsen, Cyan Offshore, COSCO Shipping (North America), Zim Integrated Shipping Services, Kawasaki Kisen Kaisha, COSCO SHIPPING International, International Shipholding, Pacific International Lines, HMM, Eagle Bulk Shipping, Marine Transportation Services, Pioneer Marine, Hapag-Lloyd, COSCO SHIPPING International (Singapore), MOL Nordic Tankers, Ocean Network Express, QTerminals, CMA CGM, Cosco Shipping Lines (Netherlands), GulfMark, Harvey Gulf International Marine, A.P. Moller - Maersk, MISC, Cosco Shipping Development Company, China Southern Air Logistics, Savino Del Bene, Saga Welco, Norbulk Shipping Uk Ltd, Yang Ming Marine Transport Corporation, Interlog USA, Cosco Shipping Specialized Carriers Company, Tuscor Lloyds (Uk), Torm, Hamburg Süd, Thome Ship Management, COSCO Shipping, Cosco Shipping Lines (Romania) Company, ANL Container Line, Logistics Plus, United Arab Shipping, Regional Container Lines, Ottomattic Marine Transport, Panalpina World Transport, Milaha, Freedom Marine Services, Team Tankers International, Grieg Star, SBM Offshore, Gearbulk, Wilh. Wilhelmsen Holding, COSCO Shipping Holdings, MSC Mediterranean Shipping Company</t>
  </si>
  <si>
    <t>National Shipping Company of Saudi Arabia engaged in purchasing, selling and operating vessels for the coordination of transport &amp; storage on board vessels, transportation of cargo, cargo clearance, agencies for maritime shipping companies and all marine transport activities. The Group performs its operations through four segments which are Transportation of oil, Transportation of chemicals, Logistics and Transportation of dry bulk. The company earns maximum revenue from the Transportation of oil segment which is provider of crude oil transportation services.</t>
  </si>
  <si>
    <t>Logistics*, Marine</t>
  </si>
  <si>
    <t>Industrials, Oil &amp; Gas</t>
  </si>
  <si>
    <t>cargo transportation, logistics app, marine, marine lifting, marinel logistic, oil and gas transport</t>
  </si>
  <si>
    <t>2011: 354, 2012: 354, 2013: 1345, 2016: 2400</t>
  </si>
  <si>
    <t>4030</t>
  </si>
  <si>
    <t>392727-79P</t>
  </si>
  <si>
    <t>Basil Abulhamayel</t>
  </si>
  <si>
    <t>babulhamayel@bahri.sa</t>
  </si>
  <si>
    <t>+966 (0)11 478 5454</t>
  </si>
  <si>
    <t>Olaya Towers (Tower B), Floors 12-15</t>
  </si>
  <si>
    <t>Olaya District, Olaya Street</t>
  </si>
  <si>
    <t>+966 (0)11 477 8036</t>
  </si>
  <si>
    <t>info@bahri.sa</t>
  </si>
  <si>
    <t>164702-71</t>
  </si>
  <si>
    <t>Eastern Province Cement (SAU: 3080)</t>
  </si>
  <si>
    <t>Eastern Province Cement Co</t>
  </si>
  <si>
    <t>Southern Province Cement</t>
  </si>
  <si>
    <t>Eastern Province Cement Co is engaged in producing different kinds of Building materials. It operates in two segments: Cement, which is into manufacturing and wholesale of ordinary cement, salt-resistant cement, and clinker cement; and the Precast segment is into manufacturing of partitions, frames &amp; prefabricated buildings from prefabricated concrete. The cement segment accounts for the majority revenue of the company. Geographically, it generates nearly all of its revenue from Saudi Arabia.</t>
  </si>
  <si>
    <t>cement market, cement product, clinker, raw cement, raw material, raw materials site</t>
  </si>
  <si>
    <t>2011: 641, 2012: 261, 2016: 282</t>
  </si>
  <si>
    <t>3080</t>
  </si>
  <si>
    <t>329802-13P</t>
  </si>
  <si>
    <t>Fahad Al Otaibi</t>
  </si>
  <si>
    <t>falotaibi@epcco.com.sa</t>
  </si>
  <si>
    <t>+966 (0)3 881 2222</t>
  </si>
  <si>
    <t>PO Box 4536</t>
  </si>
  <si>
    <t>+966 (0)13 881 2000</t>
  </si>
  <si>
    <t>164710-36</t>
  </si>
  <si>
    <t>Jazan Development and Investment (SAU: 6090)</t>
  </si>
  <si>
    <t>Jazan Energy and Development Company</t>
  </si>
  <si>
    <t>Jazadco</t>
  </si>
  <si>
    <t>Jazan Development and Investment Company</t>
  </si>
  <si>
    <t>Jazan Development and Investment Co is involved in mango cultivation, marine shrimp farming, preservation of fish products by cooling or freezing, cooling and freezing of fruits, production and bottling of pure filtered water, hotels and heritage hotels, purchase and sale of land and real estate and their division, and off-plan sales activities. It also owns the land and real estate and conducts off-plan sales activities.</t>
  </si>
  <si>
    <t>Animal Husbandry*, Cultivation</t>
  </si>
  <si>
    <t>cattle farming, cultivation, fish farming, fish preservation, livestock production, real estate, real estate land</t>
  </si>
  <si>
    <t>2011: 800, 2012: 229</t>
  </si>
  <si>
    <t>6090</t>
  </si>
  <si>
    <t>350141-32P</t>
  </si>
  <si>
    <t>Mohammed Al-Resheid</t>
  </si>
  <si>
    <t>Chief Executive Officer &amp; Manager</t>
  </si>
  <si>
    <t>+966 (0)17 322 2162</t>
  </si>
  <si>
    <t>Jazan, Saudi Arabia</t>
  </si>
  <si>
    <t>Kournaish Street</t>
  </si>
  <si>
    <t>PO Box 127</t>
  </si>
  <si>
    <t>Jazan</t>
  </si>
  <si>
    <t>+966 (0)17 322 2357</t>
  </si>
  <si>
    <t>info@jazadco.com.sa</t>
  </si>
  <si>
    <t>164708-65</t>
  </si>
  <si>
    <t>Saudi Arabia Refineries (SAU: 2030)</t>
  </si>
  <si>
    <t>SARCO</t>
  </si>
  <si>
    <t>Saudi Arabia Refineries Co</t>
  </si>
  <si>
    <t>Saudi Arabian Refineries Co is engaged in a diversified line of business. The company's activities include the Extraction of crude oil and construction of refineries, petrochemical plants, and refineries; Dealing in securities in an authentic manner; Buying and selling lands and real estate, dividing them and selling activities on the map and Management and leasing of real estate owned or leased.</t>
  </si>
  <si>
    <t>Energy Marketing, Energy Refining*</t>
  </si>
  <si>
    <t>crude oil refining, energy marketing, energy marketing company, energy refining service provider, oil and gas marketing, petroleum refining, real estate</t>
  </si>
  <si>
    <t>2011: 54798</t>
  </si>
  <si>
    <t>2030</t>
  </si>
  <si>
    <t>383431-69P</t>
  </si>
  <si>
    <t>Abdulrahman Al-Mufarreh</t>
  </si>
  <si>
    <t>+966 (0)12 653 0289</t>
  </si>
  <si>
    <t>Adham Center, Al-Ruwais</t>
  </si>
  <si>
    <t>23215</t>
  </si>
  <si>
    <t>+966 (0)12 651 8050</t>
  </si>
  <si>
    <t>info@almasafi.com.sa</t>
  </si>
  <si>
    <t>164705-59</t>
  </si>
  <si>
    <t>Saudi Automotive Services (SAU: 4050)</t>
  </si>
  <si>
    <t>SASCO</t>
  </si>
  <si>
    <t>Saudi Automotive Services Co</t>
  </si>
  <si>
    <t>Saudi Automotive Services Co owns and manages fuel stations, auto and travelers services centers, motels, restaurants, C-stores inside cities and on highways, and an auto club which issues customs traffic documents (TripTik), international driving licenses, and organizes sports activities. In addition, the group also provides road transportation services for liquid and dry materials. Along with its subsidiaries, it operates in the following segments: Retail and operations, Saudi Club, SASCO Palm, Transportation Fleet, and Others. Maximum revenue is derived from the Retail and operations segment, which represents income generated from its fuel station operations and the operation of residential and commercial buildings. Geographically, the group operates only in the Kingdom of Saudi Arabia.</t>
  </si>
  <si>
    <t>automobile rental service, car rental, car service center, rental services, rental services company, rental services firm</t>
  </si>
  <si>
    <t>2011: 553, 2012: 679, 2017: 1498</t>
  </si>
  <si>
    <t>4050</t>
  </si>
  <si>
    <t>385685-20P</t>
  </si>
  <si>
    <t>Riyadh AlMalik</t>
  </si>
  <si>
    <t>Chief Executive Officer, Executive Committee Member &amp; Board Member</t>
  </si>
  <si>
    <t>Makkah Al Mukarramah Road (Khurais), Building Number 4870</t>
  </si>
  <si>
    <t>7277 King Abdulaziz District</t>
  </si>
  <si>
    <t>12411</t>
  </si>
  <si>
    <t>+966 (0)92 000 0581</t>
  </si>
  <si>
    <t>164709-19</t>
  </si>
  <si>
    <t>Saudi Chemical Company (SAU: 2230)</t>
  </si>
  <si>
    <t>Saudi Chemical Co SJSC</t>
  </si>
  <si>
    <t>Saudi Chemical Co, along with its subsidiaries, is engaged in the manufacturing and distribution of explosives and their derivatives. Its other business operations include providing technical support services in explosions, wholesale and retail trading in medicines, medical materials and syrups, pharmaceutical preparations, medical and surgical tools, and equipment, supplies of hospitals and medical centers, and manufacture of ammonium nitrate. The company operates in three segments: Explosives, Medicines &amp; medical supplies, and Production of Ammonium Nitrate. It generates the majority of its revenue from Medicines &amp; medical supplies.</t>
  </si>
  <si>
    <t>chemicals, chemicals explosives, chemicals powder, civil explosives, pharmaceutical, toxic chemicals</t>
  </si>
  <si>
    <t>2011: 300, 2012: 300</t>
  </si>
  <si>
    <t>2230</t>
  </si>
  <si>
    <t>343198-90P</t>
  </si>
  <si>
    <t>Sultan Al-Humaidi</t>
  </si>
  <si>
    <t>+966 (0)1 476 7432</t>
  </si>
  <si>
    <t>PO Box 2665</t>
  </si>
  <si>
    <t>+966 (0)1 476 1275</t>
  </si>
  <si>
    <t>info@saudichemical.com</t>
  </si>
  <si>
    <t>164517-22</t>
  </si>
  <si>
    <t>Saudi Enaya Cooperative Insurance (SAU: 8311)</t>
  </si>
  <si>
    <t>Enaya</t>
  </si>
  <si>
    <t>Saudi Enaya Cooperative Insurance, Co.</t>
  </si>
  <si>
    <t>Saudi Enaya Cooperative Insurance Co operates in the insurance industry. It provides insurance contracts for providing health care services. All the insurance operations of the company are carried out in the Kingdom of Saudi Arabia. The company's segments include: Corporate and SME's and Others.</t>
  </si>
  <si>
    <t>Life and Health Insurance*</t>
  </si>
  <si>
    <t>cooperative insurance, health insurance, health insurance service, healthcare insurance, insurance, insurance provider, insurance services</t>
  </si>
  <si>
    <t>2012: 1179</t>
  </si>
  <si>
    <t>8311</t>
  </si>
  <si>
    <t>326523-79P</t>
  </si>
  <si>
    <t>Abdullah Puri</t>
  </si>
  <si>
    <t>Head of Finance</t>
  </si>
  <si>
    <t>abdullah.puri@saudienaya.com</t>
  </si>
  <si>
    <t>+966 (0)92 000 4121</t>
  </si>
  <si>
    <t>7521 Al Fakher</t>
  </si>
  <si>
    <t>Al Khalidiya</t>
  </si>
  <si>
    <t>23423</t>
  </si>
  <si>
    <t>info@saudienaya.com</t>
  </si>
  <si>
    <t>11728-36</t>
  </si>
  <si>
    <t>Saudi International Petrochemical (SAU: 2310)</t>
  </si>
  <si>
    <t>Sipchem</t>
  </si>
  <si>
    <t>Saudi International Petrochemical Co.</t>
  </si>
  <si>
    <t>Clariant International, Saudi Basic Industries, Rabigh Refining &amp; Petrochemical, Chevron Phillips Chemical Company, Solvay, LyondellBasell Industries</t>
  </si>
  <si>
    <t>Sahara International Petrochemical Co owns, operates and manages industrial projects relating to chemical and petrochemical industries. The company operating segments include Basic Chemicals, Intermediate Chemicals, Polymers, Marketing and Corporate and others. It generates maximum revenue from the Marketing segment. Its product portfolio consists of Methanol, Butanediol, Tetrahydrofuran, Acetic Acid, Acetic Anhydride, LDPE, EVA, Cross-Linkable LDPE, Semi Conductive LDPE, and PBT.</t>
  </si>
  <si>
    <t>Industrial Chemicals*, Multi-line Chemicals</t>
  </si>
  <si>
    <t>chemical manufacture, crude product, petrochemical product, petroleum producer, polymer production, trading firm</t>
  </si>
  <si>
    <t>2011: 494, 2012: 854, 2013: 882, 2014: 1076, 2015: 1112, 2016: 1047, 2017: 1011, 2024: 1736</t>
  </si>
  <si>
    <t>2310</t>
  </si>
  <si>
    <t>162550-63P</t>
  </si>
  <si>
    <t>Abdullah Al-Saadoon</t>
  </si>
  <si>
    <t>aal-saadoon@sipchem.com</t>
  </si>
  <si>
    <t>+966 (0)13 801 9392</t>
  </si>
  <si>
    <t>SABIC Building, King Saud Road</t>
  </si>
  <si>
    <t>Al Hada District</t>
  </si>
  <si>
    <t>info@sipchem.com</t>
  </si>
  <si>
    <t>164707-48</t>
  </si>
  <si>
    <t>Sustained Infrastructure Holding Company (SAU: 2190)</t>
  </si>
  <si>
    <t>Saudi Industrial Services Company (SISCO)</t>
  </si>
  <si>
    <t>SISCO</t>
  </si>
  <si>
    <t>Saudi Industrial Services Co</t>
  </si>
  <si>
    <t>Sustained Infrastructure Holding Co is engaged in the business of development and management of port terminal operations, maritime services, warehouse services, supply chain solutions, logistics services, associated development, and water desalination and treatment plant and sale of water. The reportable segments of the company are Port development and operations, Logistics parks and support services, and Water desalination and distribution. The company derives a majority of its revenue from the Port development and operations segment.</t>
  </si>
  <si>
    <t>investment holding co, investment holding company, investment holding firm, investment holding group, investment holding service, port management</t>
  </si>
  <si>
    <t>2011: 167, 2012: 178, 2015: 2559</t>
  </si>
  <si>
    <t>2190</t>
  </si>
  <si>
    <t>322893-64P</t>
  </si>
  <si>
    <t>Khalid Suleimani</t>
  </si>
  <si>
    <t>+966 (0)12 661 9500</t>
  </si>
  <si>
    <t>Hira Street, King Abdulaziz Road</t>
  </si>
  <si>
    <t>Az Zahra District, PO Box 14221</t>
  </si>
  <si>
    <t>23522</t>
  </si>
  <si>
    <t>164708-38</t>
  </si>
  <si>
    <t>Tabuk Cement (SAU: 3090)</t>
  </si>
  <si>
    <t>Tabuk Cement Company SJSC</t>
  </si>
  <si>
    <t>Tabuk Cement Co engages in the production and sale of cement and related products in Saudi Arabia. It offers ordinary Portland cement, cement resistant to sulfur salts, and butlanda bozzolana cement, as well as Portland bosolani cement. The company also engages in the establishment of factories and plants for manufacturing cement-related products and construction materials, and the export of cement and related products.</t>
  </si>
  <si>
    <t>building material, building materials, building materials store, cement, cement bags, construction materials, manufacturing</t>
  </si>
  <si>
    <t>2011: 455, 2012: 455, 2024: 410</t>
  </si>
  <si>
    <t>3090</t>
  </si>
  <si>
    <t>321335-29P</t>
  </si>
  <si>
    <t>Masad Alshathri</t>
  </si>
  <si>
    <t>+966 (0)14 432 4100</t>
  </si>
  <si>
    <t>Duba North, PO Box 122</t>
  </si>
  <si>
    <t>71911</t>
  </si>
  <si>
    <t>+966 (0)1 432 4111</t>
  </si>
  <si>
    <t>tcc.tadawul@tcc-sa.com</t>
  </si>
  <si>
    <t>164702-44</t>
  </si>
  <si>
    <t>Taiba Investments (SAU: 4090)</t>
  </si>
  <si>
    <t>Taiba Holding Co, Taiba Saudi Arabia, Taiba Holding Company, Taiba Hldngs, Taiba Holding</t>
  </si>
  <si>
    <t>Taiba Investments Co.</t>
  </si>
  <si>
    <t>Taiba Investments Co is engaged in buying, selling, leasing, operating, and managing real estate, hotels, commercial centers, hospitals, recreational and other residential, non-residential and tourism facilities. It also include construction, development and maintenance of commercial, residential and other real estate facilities as well as contracting in architectural, civil, mechanical, electrical, agricultural, industrial, mining, credit and mortgage service. The company in engaged in four segments: Real estate sector, Tourism sector, Property management sector and Head office and others. Key revenue is generated from Tourism which includes the operation and accommodation of hotels, hotel suites and tourist resorts.</t>
  </si>
  <si>
    <t>real estate, real estate development, real estate development company, real estate owner, real estate property development, real estate property leasing</t>
  </si>
  <si>
    <t>2010: 898, 2012: 898, 2021: 382, 2022: 406</t>
  </si>
  <si>
    <t>4090</t>
  </si>
  <si>
    <t>379076-41P</t>
  </si>
  <si>
    <t>Sultan bin Badr Al-Otaibi</t>
  </si>
  <si>
    <t>s.binbadral-otaibi@taiba.com.sa</t>
  </si>
  <si>
    <t>+966 (0)14 837 7777</t>
  </si>
  <si>
    <t>PO Box 7777</t>
  </si>
  <si>
    <t>41472</t>
  </si>
  <si>
    <t>+966 (0)14 836 7777</t>
  </si>
  <si>
    <t>info@taiba.com.sa</t>
  </si>
  <si>
    <t>168734-35</t>
  </si>
  <si>
    <t>Thimar Development Holding Company (SAU: 4160)</t>
  </si>
  <si>
    <t>National Agricultural Marketing</t>
  </si>
  <si>
    <t>Thimar Development Holding Co is engaged in marketing, wholesale and retail trade of agricultural products, foodstuffs, and all kinds of meat, fresh, chilled, and frozen. Also providing services in marketing, maintenance, and management of agricultural projects, management, and operation of central wholesale markets. The company has activities only in the kingdom of Saudi Arabia.</t>
  </si>
  <si>
    <t>Distributors/Wholesale*, Food Products</t>
  </si>
  <si>
    <t>agricultural produce materials, agricultural product, food, food trade, retail service, retail trade, retail trading</t>
  </si>
  <si>
    <t>2010: 345, 2012: 345</t>
  </si>
  <si>
    <t>4160</t>
  </si>
  <si>
    <t>National Agriculture Marketing Co Bdg Omar Bin Abdul Aziz Street Exit 14</t>
  </si>
  <si>
    <t>Al Rabwa Area, P.O.Box 88618</t>
  </si>
  <si>
    <t>11672</t>
  </si>
  <si>
    <t>+966 (0)11 478 9206</t>
  </si>
  <si>
    <t>+966 (0)11 497 0247</t>
  </si>
  <si>
    <t>© PitchBook Data, Inc.  2026</t>
  </si>
  <si>
    <t>All data copyright PitchBook Data, Inc.</t>
  </si>
  <si>
    <t>For customized data reports and analyses, contact us at:</t>
  </si>
  <si>
    <t>support@pitchbook.com</t>
  </si>
  <si>
    <t xml:space="preserve">This document and its contents may only be used or shared as permitted in </t>
  </si>
  <si>
    <t>the PitchBook subscription agreement.</t>
  </si>
  <si>
    <t>Subject to limited exceptions, this document may not be used or stored following the termination of your agreement with PitchBook.</t>
  </si>
  <si>
    <t>If you have any further questions or concerns, please contact client services at:</t>
  </si>
  <si>
    <t>US</t>
  </si>
  <si>
    <t>+1 (206) 257-7775</t>
  </si>
  <si>
    <t>UK</t>
  </si>
  <si>
    <t>+44 (0)203 875 3504</t>
  </si>
  <si>
    <t>SG</t>
  </si>
  <si>
    <t>+65 6016 4771</t>
  </si>
  <si>
    <t>Or by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</si>
</sst>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dd\-mmm\-yyyy"/>
    <numFmt numFmtId="165" formatCode="#,##0.00;[Red]\(#,##0.00\)"/>
    <numFmt numFmtId="166" formatCode="#,##0;[Red]\(#,##0\)"/>
    <numFmt numFmtId="167" formatCode="0000"/>
    <numFmt numFmtId="168" formatCode="#,##0.00;[Red]\-#,##0.00"/>
    <numFmt numFmtId="169" formatCode="#,##0.00&quot;%&quot;;[Red]\-#,##0.00&quot;%&quot;"/>
    <numFmt numFmtId="170" formatCode="#,###"/>
    <numFmt numFmtId="171" formatCode="#,##0;"/>
    <numFmt numFmtId="172" formatCode="#,##0.00\x;[Red]\-#,##0.00\x"/>
    <numFmt numFmtId="173" formatCode="#,##0;[Red]\-#,##0"/>
  </numFmts>
  <fonts count="13" x14ac:knownFonts="1">
    <font>
      <sz val="11"/>
      <color theme="1"/>
      <name val="Calibri"/>
      <family val="2"/>
      <scheme val="minor"/>
    </font>
    <font>
      <sz val="8"/>
      <color rgb="FF000000"/>
      <name val="Open Sans"/>
      <family val="2"/>
    </font>
    <font>
      <b/>
      <sz val="8"/>
      <color rgb="FF000000"/>
      <name val="Open Sans"/>
      <family val="2"/>
    </font>
    <font>
      <b/>
      <sz val="8"/>
      <color rgb="FF26649E"/>
      <name val="Open Sans"/>
      <family val="2"/>
    </font>
    <font>
      <b/>
      <sz val="16"/>
      <color rgb="FF000000"/>
      <name val="Open Sans"/>
      <family val="2"/>
    </font>
    <font>
      <b/>
      <sz val="8"/>
      <color rgb="FFFFFFFF"/>
      <name val="Open Sans"/>
      <family val="2"/>
    </font>
    <font>
      <sz val="8"/>
      <color rgb="FF000000"/>
      <name val="Open Sans"/>
      <family val="2"/>
    </font>
    <font>
      <sz val="8"/>
      <color rgb="FF26649E"/>
      <name val="Open Sans"/>
      <family val="2"/>
    </font>
    <font>
      <b/>
      <sz val="8"/>
      <color rgb="FF000000"/>
      <name val="Open Sans"/>
      <family val="2"/>
    </font>
    <font>
      <b/>
      <sz val="8"/>
      <color rgb="FF26649E"/>
      <name val="Open Sans"/>
      <family val="2"/>
    </font>
    <font>
      <b/>
      <sz val="14"/>
      <color rgb="FF000000"/>
      <name val="Open Sans"/>
      <family val="2"/>
    </font>
    <font>
      <i/>
      <sz val="10"/>
      <color rgb="FF000000"/>
      <name val="Open Sans"/>
      <family val="2"/>
    </font>
    <font>
      <i/>
      <sz val="10"/>
      <color rgb="FF26649E"/>
      <name val="Open Sans"/>
      <family val="2"/>
    </font>
  </fonts>
  <fills count="6">
    <fill>
      <patternFill patternType="none"/>
    </fill>
    <fill>
      <patternFill patternType="gray125"/>
    </fill>
    <fill>
      <patternFill patternType="solid">
        <fgColor rgb="FF051C38"/>
        <bgColor rgb="FF051C38"/>
      </patternFill>
    </fill>
    <fill>
      <patternFill patternType="solid">
        <fgColor rgb="FFF8F5EF"/>
      </patternFill>
    </fill>
    <fill>
      <patternFill patternType="solid">
        <fgColor rgb="FFF0EBDE"/>
      </patternFill>
    </fill>
    <fill>
      <patternFill patternType="solid">
        <fgColor rgb="FFFFFFFF"/>
      </patternFill>
    </fill>
  </fills>
  <borders count="4">
    <border>
      <left/>
      <right/>
      <top/>
      <bottom/>
      <diagonal/>
    </border>
    <border>
      <left/>
      <right style="thin">
        <color rgb="FFD3D3D3"/>
      </right>
      <top/>
      <bottom/>
      <diagonal/>
    </border>
    <border>
      <left/>
      <right style="thin">
        <color rgb="FFD3D3D3"/>
      </right>
      <top/>
      <bottom/>
      <diagonal/>
    </border>
    <border>
      <left/>
      <right style="thin">
        <color rgb="FFD3D3D3"/>
      </right>
      <top style="thin">
        <color rgb="FF78766F"/>
      </top>
      <bottom/>
      <diagonal/>
    </border>
  </borders>
  <cellStyleXfs count="25">
    <xf numFmtId="0" fontId="0" fillId="0" borderId="0"/>
    <xf numFmtId="0" fontId="1" fillId="0" borderId="0">
      <alignment horizontal="right" vertical="center"/>
    </xf>
    <xf numFmtId="0" fontId="2" fillId="0" borderId="0">
      <alignment horizontal="left" vertical="center"/>
    </xf>
    <xf numFmtId="0" fontId="1" fillId="0" borderId="0">
      <alignment horizontal="right" vertical="top"/>
    </xf>
    <xf numFmtId="0" fontId="3" fillId="0" borderId="0">
      <alignment horizontal="left" vertical="top"/>
    </xf>
    <xf numFmtId="0" fontId="2" fillId="0" borderId="0">
      <alignment horizontal="left" vertical="top" wrapText="1"/>
    </xf>
    <xf numFmtId="0" fontId="4" fillId="0" borderId="0">
      <alignment horizontal="left" vertical="center"/>
    </xf>
    <xf numFmtId="0" fontId="5" fillId="0" borderId="0">
      <alignment horizontal="center" vertical="center" wrapText="1"/>
    </xf>
    <xf numFmtId="0" fontId="1" fillId="0" borderId="1">
      <alignment horizontal="left" vertical="center" indent="1"/>
    </xf>
    <xf numFmtId="0" fontId="1" fillId="3" borderId="1">
      <alignment horizontal="left" vertical="center" indent="1"/>
    </xf>
    <xf numFmtId="0" fontId="1" fillId="0" borderId="1">
      <alignment horizontal="right" vertical="center" indent="1"/>
    </xf>
    <xf numFmtId="0" fontId="6" fillId="3" borderId="1">
      <alignment horizontal="right" vertical="center" indent="1"/>
    </xf>
    <xf numFmtId="0" fontId="6" fillId="0" borderId="1">
      <alignment horizontal="center" vertical="center"/>
    </xf>
    <xf numFmtId="0" fontId="6" fillId="3" borderId="1">
      <alignment horizontal="center" vertical="center"/>
    </xf>
    <xf numFmtId="0" fontId="7" fillId="0" borderId="1">
      <alignment horizontal="left" vertical="center" indent="1"/>
    </xf>
    <xf numFmtId="0" fontId="7" fillId="3" borderId="1">
      <alignment horizontal="left" vertical="center" indent="1"/>
    </xf>
    <xf numFmtId="0" fontId="7" fillId="0" borderId="1">
      <alignment horizontal="right" vertical="center" indent="1"/>
    </xf>
    <xf numFmtId="0" fontId="7" fillId="3" borderId="2">
      <alignment horizontal="right" vertical="center" indent="1"/>
    </xf>
    <xf numFmtId="0" fontId="8" fillId="4" borderId="3">
      <alignment horizontal="left" vertical="center" indent="1"/>
    </xf>
    <xf numFmtId="0" fontId="9" fillId="4" borderId="3">
      <alignment horizontal="left" vertical="center" indent="1"/>
    </xf>
    <xf numFmtId="0" fontId="6" fillId="0" borderId="0">
      <alignment horizontal="left" vertical="center"/>
    </xf>
    <xf numFmtId="0" fontId="10" fillId="0" borderId="0">
      <alignment horizontal="left" vertical="center"/>
    </xf>
    <xf numFmtId="0" fontId="11" fillId="5" borderId="0">
      <alignment horizontal="left" vertical="center"/>
    </xf>
    <xf numFmtId="0" fontId="12" fillId="5" borderId="0">
      <alignment horizontal="left" vertical="center"/>
    </xf>
    <xf numFmtId="0" fontId="11" fillId="5" borderId="0">
      <alignment horizontal="right" vertical="center"/>
    </xf>
  </cellStyleXfs>
  <cellXfs count="139">
    <xf numFmtId="0" fontId="0" fillId="0" borderId="0" xfId="0"/>
    <xf numFmtId="0" fontId="5" fillId="2" borderId="0" xfId="7" applyFill="1">
      <alignment horizontal="center" vertical="center" wrapText="1"/>
    </xf>
    <xf numFmtId="0" fontId="1" fillId="0" borderId="1" xfId="8">
      <alignment horizontal="left" vertical="center" indent="1"/>
    </xf>
    <xf numFmtId="0" fontId="1" fillId="3" borderId="1" xfId="9">
      <alignment horizontal="left" vertical="center" indent="1"/>
    </xf>
    <xf numFmtId="0" fontId="1" fillId="0" borderId="1" xfId="10">
      <alignment horizontal="right" vertical="center" indent="1"/>
    </xf>
    <xf numFmtId="0" fontId="6" fillId="3" borderId="1" xfId="11">
      <alignment horizontal="right" vertical="center" indent="1"/>
    </xf>
    <xf numFmtId="0" fontId="6" fillId="0" borderId="1" xfId="12">
      <alignment horizontal="center" vertical="center"/>
    </xf>
    <xf numFmtId="0" fontId="6" fillId="3" borderId="1" xfId="13">
      <alignment horizontal="center" vertical="center"/>
    </xf>
    <xf numFmtId="0" fontId="7" fillId="0" borderId="1" xfId="14">
      <alignment horizontal="left" vertical="center" indent="1"/>
    </xf>
    <xf numFmtId="0" fontId="7" fillId="3" borderId="1" xfId="15">
      <alignment horizontal="left" vertical="center" indent="1"/>
    </xf>
    <xf numFmtId="0" fontId="7" fillId="0" borderId="1" xfId="16">
      <alignment horizontal="right" vertical="center" indent="1"/>
    </xf>
    <xf numFmtId="0" fontId="7" fillId="3" borderId="2" xfId="17">
      <alignment horizontal="right" vertical="center" indent="1"/>
    </xf>
    <xf numFmtId="0" fontId="8" fillId="4" borderId="3" xfId="18">
      <alignment horizontal="left" vertical="center" indent="1"/>
    </xf>
    <xf numFmtId="0" fontId="9" fillId="4" borderId="3" xfId="19">
      <alignment horizontal="left" vertical="center" indent="1"/>
    </xf>
    <xf numFmtId="165" fontId="1" fillId="0" borderId="1" xfId="8" applyNumberFormat="1">
      <alignment horizontal="left" vertical="center" indent="1"/>
    </xf>
    <xf numFmtId="165" fontId="1" fillId="3" borderId="1" xfId="9" applyNumberFormat="1">
      <alignment horizontal="left" vertical="center" indent="1"/>
    </xf>
    <xf numFmtId="165" fontId="1" fillId="0" borderId="1" xfId="10" applyNumberFormat="1">
      <alignment horizontal="right" vertical="center" indent="1"/>
    </xf>
    <xf numFmtId="165" fontId="6" fillId="3" borderId="1" xfId="11" applyNumberFormat="1">
      <alignment horizontal="right" vertical="center" indent="1"/>
    </xf>
    <xf numFmtId="165" fontId="6" fillId="0" borderId="1" xfId="12" applyNumberFormat="1">
      <alignment horizontal="center" vertical="center"/>
    </xf>
    <xf numFmtId="165" fontId="6" fillId="3" borderId="1" xfId="13" applyNumberFormat="1">
      <alignment horizontal="center" vertical="center"/>
    </xf>
    <xf numFmtId="165" fontId="7" fillId="0" borderId="1" xfId="14" applyNumberFormat="1">
      <alignment horizontal="left" vertical="center" indent="1"/>
    </xf>
    <xf numFmtId="165" fontId="7" fillId="3" borderId="1" xfId="15" applyNumberFormat="1">
      <alignment horizontal="left" vertical="center" indent="1"/>
    </xf>
    <xf numFmtId="165" fontId="7" fillId="0" borderId="1" xfId="16" applyNumberFormat="1">
      <alignment horizontal="right" vertical="center" indent="1"/>
    </xf>
    <xf numFmtId="165" fontId="7" fillId="3" borderId="2" xfId="17" applyNumberFormat="1">
      <alignment horizontal="right" vertical="center" indent="1"/>
    </xf>
    <xf numFmtId="165" fontId="8" fillId="4" borderId="3" xfId="18" applyNumberFormat="1">
      <alignment horizontal="left" vertical="center" indent="1"/>
    </xf>
    <xf numFmtId="165" fontId="9" fillId="4" borderId="3" xfId="19" applyNumberFormat="1">
      <alignment horizontal="left" vertical="center" indent="1"/>
    </xf>
    <xf numFmtId="166" fontId="1" fillId="0" borderId="1" xfId="8" applyNumberFormat="1">
      <alignment horizontal="left" vertical="center" indent="1"/>
    </xf>
    <xf numFmtId="166" fontId="1" fillId="3" borderId="1" xfId="9" applyNumberFormat="1">
      <alignment horizontal="left" vertical="center" indent="1"/>
    </xf>
    <xf numFmtId="166" fontId="1" fillId="0" borderId="1" xfId="10" applyNumberFormat="1">
      <alignment horizontal="right" vertical="center" indent="1"/>
    </xf>
    <xf numFmtId="166" fontId="6" fillId="3" borderId="1" xfId="11" applyNumberFormat="1">
      <alignment horizontal="right" vertical="center" indent="1"/>
    </xf>
    <xf numFmtId="166" fontId="6" fillId="0" borderId="1" xfId="12" applyNumberFormat="1">
      <alignment horizontal="center" vertical="center"/>
    </xf>
    <xf numFmtId="166" fontId="6" fillId="3" borderId="1" xfId="13" applyNumberFormat="1">
      <alignment horizontal="center" vertical="center"/>
    </xf>
    <xf numFmtId="166" fontId="7" fillId="0" borderId="1" xfId="14" applyNumberFormat="1">
      <alignment horizontal="left" vertical="center" indent="1"/>
    </xf>
    <xf numFmtId="166" fontId="7" fillId="3" borderId="1" xfId="15" applyNumberFormat="1">
      <alignment horizontal="left" vertical="center" indent="1"/>
    </xf>
    <xf numFmtId="166" fontId="7" fillId="0" borderId="1" xfId="16" applyNumberFormat="1">
      <alignment horizontal="right" vertical="center" indent="1"/>
    </xf>
    <xf numFmtId="166" fontId="7" fillId="3" borderId="2" xfId="17" applyNumberFormat="1">
      <alignment horizontal="right" vertical="center" indent="1"/>
    </xf>
    <xf numFmtId="166" fontId="8" fillId="4" borderId="3" xfId="18" applyNumberFormat="1">
      <alignment horizontal="left" vertical="center" indent="1"/>
    </xf>
    <xf numFmtId="166" fontId="9" fillId="4" borderId="3" xfId="19" applyNumberFormat="1">
      <alignment horizontal="left" vertical="center" indent="1"/>
    </xf>
    <xf numFmtId="167" fontId="1" fillId="0" borderId="1" xfId="8" applyNumberFormat="1">
      <alignment horizontal="left" vertical="center" indent="1"/>
    </xf>
    <xf numFmtId="167" fontId="1" fillId="3" borderId="1" xfId="9" applyNumberFormat="1">
      <alignment horizontal="left" vertical="center" indent="1"/>
    </xf>
    <xf numFmtId="167" fontId="1" fillId="0" borderId="1" xfId="10" applyNumberFormat="1">
      <alignment horizontal="right" vertical="center" indent="1"/>
    </xf>
    <xf numFmtId="167" fontId="6" fillId="3" borderId="1" xfId="11" applyNumberFormat="1">
      <alignment horizontal="right" vertical="center" indent="1"/>
    </xf>
    <xf numFmtId="167" fontId="6" fillId="0" borderId="1" xfId="12" applyNumberFormat="1">
      <alignment horizontal="center" vertical="center"/>
    </xf>
    <xf numFmtId="167" fontId="6" fillId="3" borderId="1" xfId="13" applyNumberFormat="1">
      <alignment horizontal="center" vertical="center"/>
    </xf>
    <xf numFmtId="167" fontId="7" fillId="0" borderId="1" xfId="14" applyNumberFormat="1">
      <alignment horizontal="left" vertical="center" indent="1"/>
    </xf>
    <xf numFmtId="167" fontId="7" fillId="3" borderId="1" xfId="15" applyNumberFormat="1">
      <alignment horizontal="left" vertical="center" indent="1"/>
    </xf>
    <xf numFmtId="167" fontId="7" fillId="0" borderId="1" xfId="16" applyNumberFormat="1">
      <alignment horizontal="right" vertical="center" indent="1"/>
    </xf>
    <xf numFmtId="167" fontId="7" fillId="3" borderId="2" xfId="17" applyNumberFormat="1">
      <alignment horizontal="right" vertical="center" indent="1"/>
    </xf>
    <xf numFmtId="167" fontId="8" fillId="4" borderId="3" xfId="18" applyNumberFormat="1">
      <alignment horizontal="left" vertical="center" indent="1"/>
    </xf>
    <xf numFmtId="167" fontId="9" fillId="4" borderId="3" xfId="19" applyNumberFormat="1">
      <alignment horizontal="left" vertical="center" indent="1"/>
    </xf>
    <xf numFmtId="168" fontId="1" fillId="0" borderId="1" xfId="8" applyNumberFormat="1">
      <alignment horizontal="left" vertical="center" indent="1"/>
    </xf>
    <xf numFmtId="168" fontId="1" fillId="3" borderId="1" xfId="9" applyNumberFormat="1">
      <alignment horizontal="left" vertical="center" indent="1"/>
    </xf>
    <xf numFmtId="168" fontId="1" fillId="0" borderId="1" xfId="10" applyNumberFormat="1">
      <alignment horizontal="right" vertical="center" indent="1"/>
    </xf>
    <xf numFmtId="168" fontId="6" fillId="3" borderId="1" xfId="11" applyNumberFormat="1">
      <alignment horizontal="right" vertical="center" indent="1"/>
    </xf>
    <xf numFmtId="168" fontId="6" fillId="0" borderId="1" xfId="12" applyNumberFormat="1">
      <alignment horizontal="center" vertical="center"/>
    </xf>
    <xf numFmtId="168" fontId="6" fillId="3" borderId="1" xfId="13" applyNumberFormat="1">
      <alignment horizontal="center" vertical="center"/>
    </xf>
    <xf numFmtId="168" fontId="7" fillId="0" borderId="1" xfId="14" applyNumberFormat="1">
      <alignment horizontal="left" vertical="center" indent="1"/>
    </xf>
    <xf numFmtId="168" fontId="7" fillId="3" borderId="1" xfId="15" applyNumberFormat="1">
      <alignment horizontal="left" vertical="center" indent="1"/>
    </xf>
    <xf numFmtId="168" fontId="7" fillId="0" borderId="1" xfId="16" applyNumberFormat="1">
      <alignment horizontal="right" vertical="center" indent="1"/>
    </xf>
    <xf numFmtId="168" fontId="7" fillId="3" borderId="2" xfId="17" applyNumberFormat="1">
      <alignment horizontal="right" vertical="center" indent="1"/>
    </xf>
    <xf numFmtId="168" fontId="8" fillId="4" borderId="3" xfId="18" applyNumberFormat="1">
      <alignment horizontal="left" vertical="center" indent="1"/>
    </xf>
    <xf numFmtId="168" fontId="9" fillId="4" borderId="3" xfId="19" applyNumberFormat="1">
      <alignment horizontal="left" vertical="center" indent="1"/>
    </xf>
    <xf numFmtId="169" fontId="1" fillId="0" borderId="1" xfId="8" applyNumberFormat="1">
      <alignment horizontal="left" vertical="center" indent="1"/>
    </xf>
    <xf numFmtId="169" fontId="1" fillId="3" borderId="1" xfId="9" applyNumberFormat="1">
      <alignment horizontal="left" vertical="center" indent="1"/>
    </xf>
    <xf numFmtId="169" fontId="1" fillId="0" borderId="1" xfId="10" applyNumberFormat="1">
      <alignment horizontal="right" vertical="center" indent="1"/>
    </xf>
    <xf numFmtId="169" fontId="6" fillId="3" borderId="1" xfId="11" applyNumberFormat="1">
      <alignment horizontal="right" vertical="center" indent="1"/>
    </xf>
    <xf numFmtId="169" fontId="6" fillId="0" borderId="1" xfId="12" applyNumberFormat="1">
      <alignment horizontal="center" vertical="center"/>
    </xf>
    <xf numFmtId="169" fontId="6" fillId="3" borderId="1" xfId="13" applyNumberFormat="1">
      <alignment horizontal="center" vertical="center"/>
    </xf>
    <xf numFmtId="169" fontId="7" fillId="0" borderId="1" xfId="14" applyNumberFormat="1">
      <alignment horizontal="left" vertical="center" indent="1"/>
    </xf>
    <xf numFmtId="169" fontId="7" fillId="3" borderId="1" xfId="15" applyNumberFormat="1">
      <alignment horizontal="left" vertical="center" indent="1"/>
    </xf>
    <xf numFmtId="169" fontId="7" fillId="0" borderId="1" xfId="16" applyNumberFormat="1">
      <alignment horizontal="right" vertical="center" indent="1"/>
    </xf>
    <xf numFmtId="169" fontId="7" fillId="3" borderId="2" xfId="17" applyNumberFormat="1">
      <alignment horizontal="right" vertical="center" indent="1"/>
    </xf>
    <xf numFmtId="169" fontId="8" fillId="4" borderId="3" xfId="18" applyNumberFormat="1">
      <alignment horizontal="left" vertical="center" indent="1"/>
    </xf>
    <xf numFmtId="169" fontId="9" fillId="4" borderId="3" xfId="19" applyNumberFormat="1">
      <alignment horizontal="left" vertical="center" indent="1"/>
    </xf>
    <xf numFmtId="170" fontId="1" fillId="0" borderId="1" xfId="8" applyNumberFormat="1">
      <alignment horizontal="left" vertical="center" indent="1"/>
    </xf>
    <xf numFmtId="170" fontId="1" fillId="3" borderId="1" xfId="9" applyNumberFormat="1">
      <alignment horizontal="left" vertical="center" indent="1"/>
    </xf>
    <xf numFmtId="170" fontId="1" fillId="0" borderId="1" xfId="10" applyNumberFormat="1">
      <alignment horizontal="right" vertical="center" indent="1"/>
    </xf>
    <xf numFmtId="170" fontId="6" fillId="3" borderId="1" xfId="11" applyNumberFormat="1">
      <alignment horizontal="right" vertical="center" indent="1"/>
    </xf>
    <xf numFmtId="170" fontId="6" fillId="0" borderId="1" xfId="12" applyNumberFormat="1">
      <alignment horizontal="center" vertical="center"/>
    </xf>
    <xf numFmtId="170" fontId="6" fillId="3" borderId="1" xfId="13" applyNumberFormat="1">
      <alignment horizontal="center" vertical="center"/>
    </xf>
    <xf numFmtId="170" fontId="7" fillId="0" borderId="1" xfId="14" applyNumberFormat="1">
      <alignment horizontal="left" vertical="center" indent="1"/>
    </xf>
    <xf numFmtId="170" fontId="7" fillId="3" borderId="1" xfId="15" applyNumberFormat="1">
      <alignment horizontal="left" vertical="center" indent="1"/>
    </xf>
    <xf numFmtId="170" fontId="7" fillId="0" borderId="1" xfId="16" applyNumberFormat="1">
      <alignment horizontal="right" vertical="center" indent="1"/>
    </xf>
    <xf numFmtId="170" fontId="7" fillId="3" borderId="2" xfId="17" applyNumberFormat="1">
      <alignment horizontal="right" vertical="center" indent="1"/>
    </xf>
    <xf numFmtId="170" fontId="8" fillId="4" borderId="3" xfId="18" applyNumberFormat="1">
      <alignment horizontal="left" vertical="center" indent="1"/>
    </xf>
    <xf numFmtId="170" fontId="9" fillId="4" borderId="3" xfId="19" applyNumberFormat="1">
      <alignment horizontal="left" vertical="center" indent="1"/>
    </xf>
    <xf numFmtId="164" fontId="1" fillId="0" borderId="1" xfId="8" applyNumberFormat="1">
      <alignment horizontal="left" vertical="center" indent="1"/>
    </xf>
    <xf numFmtId="164" fontId="1" fillId="3" borderId="1" xfId="9" applyNumberFormat="1">
      <alignment horizontal="left" vertical="center" indent="1"/>
    </xf>
    <xf numFmtId="164" fontId="1" fillId="0" borderId="1" xfId="10" applyNumberFormat="1">
      <alignment horizontal="right" vertical="center" indent="1"/>
    </xf>
    <xf numFmtId="164" fontId="6" fillId="3" borderId="1" xfId="11" applyNumberFormat="1">
      <alignment horizontal="right" vertical="center" indent="1"/>
    </xf>
    <xf numFmtId="164" fontId="6" fillId="0" borderId="1" xfId="12" applyNumberFormat="1">
      <alignment horizontal="center" vertical="center"/>
    </xf>
    <xf numFmtId="164" fontId="6" fillId="3" borderId="1" xfId="13" applyNumberFormat="1">
      <alignment horizontal="center" vertical="center"/>
    </xf>
    <xf numFmtId="164" fontId="7" fillId="0" borderId="1" xfId="14" applyNumberFormat="1">
      <alignment horizontal="left" vertical="center" indent="1"/>
    </xf>
    <xf numFmtId="164" fontId="7" fillId="3" borderId="1" xfId="15" applyNumberFormat="1">
      <alignment horizontal="left" vertical="center" indent="1"/>
    </xf>
    <xf numFmtId="164" fontId="7" fillId="0" borderId="1" xfId="16" applyNumberFormat="1">
      <alignment horizontal="right" vertical="center" indent="1"/>
    </xf>
    <xf numFmtId="164" fontId="7" fillId="3" borderId="2" xfId="17" applyNumberFormat="1">
      <alignment horizontal="right" vertical="center" indent="1"/>
    </xf>
    <xf numFmtId="164" fontId="8" fillId="4" borderId="3" xfId="18" applyNumberFormat="1">
      <alignment horizontal="left" vertical="center" indent="1"/>
    </xf>
    <xf numFmtId="164" fontId="9" fillId="4" borderId="3" xfId="19" applyNumberFormat="1">
      <alignment horizontal="left" vertical="center" indent="1"/>
    </xf>
    <xf numFmtId="171" fontId="1" fillId="0" borderId="1" xfId="8" applyNumberFormat="1">
      <alignment horizontal="left" vertical="center" indent="1"/>
    </xf>
    <xf numFmtId="171" fontId="1" fillId="3" borderId="1" xfId="9" applyNumberFormat="1">
      <alignment horizontal="left" vertical="center" indent="1"/>
    </xf>
    <xf numFmtId="171" fontId="1" fillId="0" borderId="1" xfId="10" applyNumberFormat="1">
      <alignment horizontal="right" vertical="center" indent="1"/>
    </xf>
    <xf numFmtId="171" fontId="6" fillId="3" borderId="1" xfId="11" applyNumberFormat="1">
      <alignment horizontal="right" vertical="center" indent="1"/>
    </xf>
    <xf numFmtId="171" fontId="6" fillId="0" borderId="1" xfId="12" applyNumberFormat="1">
      <alignment horizontal="center" vertical="center"/>
    </xf>
    <xf numFmtId="171" fontId="6" fillId="3" borderId="1" xfId="13" applyNumberFormat="1">
      <alignment horizontal="center" vertical="center"/>
    </xf>
    <xf numFmtId="171" fontId="7" fillId="0" borderId="1" xfId="14" applyNumberFormat="1">
      <alignment horizontal="left" vertical="center" indent="1"/>
    </xf>
    <xf numFmtId="171" fontId="7" fillId="3" borderId="1" xfId="15" applyNumberFormat="1">
      <alignment horizontal="left" vertical="center" indent="1"/>
    </xf>
    <xf numFmtId="171" fontId="7" fillId="0" borderId="1" xfId="16" applyNumberFormat="1">
      <alignment horizontal="right" vertical="center" indent="1"/>
    </xf>
    <xf numFmtId="171" fontId="7" fillId="3" borderId="2" xfId="17" applyNumberFormat="1">
      <alignment horizontal="right" vertical="center" indent="1"/>
    </xf>
    <xf numFmtId="171" fontId="8" fillId="4" borderId="3" xfId="18" applyNumberFormat="1">
      <alignment horizontal="left" vertical="center" indent="1"/>
    </xf>
    <xf numFmtId="171" fontId="9" fillId="4" borderId="3" xfId="19" applyNumberFormat="1">
      <alignment horizontal="left" vertical="center" indent="1"/>
    </xf>
    <xf numFmtId="172" fontId="1" fillId="0" borderId="1" xfId="8" applyNumberFormat="1">
      <alignment horizontal="left" vertical="center" indent="1"/>
    </xf>
    <xf numFmtId="172" fontId="1" fillId="3" borderId="1" xfId="9" applyNumberFormat="1">
      <alignment horizontal="left" vertical="center" indent="1"/>
    </xf>
    <xf numFmtId="172" fontId="1" fillId="0" borderId="1" xfId="10" applyNumberFormat="1">
      <alignment horizontal="right" vertical="center" indent="1"/>
    </xf>
    <xf numFmtId="172" fontId="6" fillId="3" borderId="1" xfId="11" applyNumberFormat="1">
      <alignment horizontal="right" vertical="center" indent="1"/>
    </xf>
    <xf numFmtId="172" fontId="6" fillId="0" borderId="1" xfId="12" applyNumberFormat="1">
      <alignment horizontal="center" vertical="center"/>
    </xf>
    <xf numFmtId="172" fontId="6" fillId="3" borderId="1" xfId="13" applyNumberFormat="1">
      <alignment horizontal="center" vertical="center"/>
    </xf>
    <xf numFmtId="172" fontId="7" fillId="0" borderId="1" xfId="14" applyNumberFormat="1">
      <alignment horizontal="left" vertical="center" indent="1"/>
    </xf>
    <xf numFmtId="172" fontId="7" fillId="3" borderId="1" xfId="15" applyNumberFormat="1">
      <alignment horizontal="left" vertical="center" indent="1"/>
    </xf>
    <xf numFmtId="172" fontId="7" fillId="0" borderId="1" xfId="16" applyNumberFormat="1">
      <alignment horizontal="right" vertical="center" indent="1"/>
    </xf>
    <xf numFmtId="172" fontId="7" fillId="3" borderId="2" xfId="17" applyNumberFormat="1">
      <alignment horizontal="right" vertical="center" indent="1"/>
    </xf>
    <xf numFmtId="172" fontId="8" fillId="4" borderId="3" xfId="18" applyNumberFormat="1">
      <alignment horizontal="left" vertical="center" indent="1"/>
    </xf>
    <xf numFmtId="172" fontId="9" fillId="4" borderId="3" xfId="19" applyNumberFormat="1">
      <alignment horizontal="left" vertical="center" indent="1"/>
    </xf>
    <xf numFmtId="173" fontId="1" fillId="0" borderId="1" xfId="8" applyNumberFormat="1">
      <alignment horizontal="left" vertical="center" indent="1"/>
    </xf>
    <xf numFmtId="173" fontId="1" fillId="3" borderId="1" xfId="9" applyNumberFormat="1">
      <alignment horizontal="left" vertical="center" indent="1"/>
    </xf>
    <xf numFmtId="173" fontId="1" fillId="0" borderId="1" xfId="10" applyNumberFormat="1">
      <alignment horizontal="right" vertical="center" indent="1"/>
    </xf>
    <xf numFmtId="173" fontId="6" fillId="3" borderId="1" xfId="11" applyNumberFormat="1">
      <alignment horizontal="right" vertical="center" indent="1"/>
    </xf>
    <xf numFmtId="173" fontId="6" fillId="0" borderId="1" xfId="12" applyNumberFormat="1">
      <alignment horizontal="center" vertical="center"/>
    </xf>
    <xf numFmtId="173" fontId="6" fillId="3" borderId="1" xfId="13" applyNumberFormat="1">
      <alignment horizontal="center" vertical="center"/>
    </xf>
    <xf numFmtId="173" fontId="7" fillId="0" borderId="1" xfId="14" applyNumberFormat="1">
      <alignment horizontal="left" vertical="center" indent="1"/>
    </xf>
    <xf numFmtId="173" fontId="7" fillId="3" borderId="1" xfId="15" applyNumberFormat="1">
      <alignment horizontal="left" vertical="center" indent="1"/>
    </xf>
    <xf numFmtId="173" fontId="7" fillId="0" borderId="1" xfId="16" applyNumberFormat="1">
      <alignment horizontal="right" vertical="center" indent="1"/>
    </xf>
    <xf numFmtId="173" fontId="7" fillId="3" borderId="2" xfId="17" applyNumberFormat="1">
      <alignment horizontal="right" vertical="center" indent="1"/>
    </xf>
    <xf numFmtId="173" fontId="8" fillId="4" borderId="3" xfId="18" applyNumberFormat="1">
      <alignment horizontal="left" vertical="center" indent="1"/>
    </xf>
    <xf numFmtId="173" fontId="9" fillId="4" borderId="3" xfId="19" applyNumberFormat="1">
      <alignment horizontal="left" vertical="center" indent="1"/>
    </xf>
    <xf numFmtId="0" fontId="6" fillId="0" borderId="0" xfId="20">
      <alignment horizontal="left" vertical="center"/>
    </xf>
    <xf numFmtId="0" fontId="10" fillId="0" borderId="0" xfId="21">
      <alignment horizontal="left" vertical="center"/>
    </xf>
    <xf numFmtId="0" fontId="11" fillId="5" borderId="0" xfId="22">
      <alignment horizontal="left" vertical="center"/>
    </xf>
    <xf numFmtId="0" fontId="12" fillId="5" borderId="0" xfId="23">
      <alignment horizontal="left" vertical="center"/>
    </xf>
    <xf numFmtId="0" fontId="11" fillId="5" borderId="0" xfId="24">
      <alignment horizontal="right" vertical="center"/>
    </xf>
  </cellXfs>
  <cellStyles count="25">
    <cellStyle name="bold" xfId="2" xr:uid="{00000000-0005-0000-0000-000002000000}"/>
    <cellStyle name="defaultStyle" xfId="20" xr:uid="{00000000-0005-0000-0000-000015000000}"/>
    <cellStyle name="fontSize10Italic" xfId="22" xr:uid="{00000000-0005-0000-0000-000017000000}"/>
    <cellStyle name="fontSize10ItalicHyperlink" xfId="23" xr:uid="{00000000-0005-0000-0000-000018000000}"/>
    <cellStyle name="fontSize10ItalicRight" xfId="24" xr:uid="{00000000-0005-0000-0000-000019000000}"/>
    <cellStyle name="fontSize14Bold" xfId="21" xr:uid="{00000000-0005-0000-0000-000016000000}"/>
    <cellStyle name="fontSize16Bold" xfId="6" xr:uid="{00000000-0005-0000-0000-000007000000}"/>
    <cellStyle name="horizontalCenterWrapWhiteBold" xfId="7" xr:uid="{00000000-0005-0000-0000-000008000000}"/>
    <cellStyle name="horizontalRight" xfId="1" xr:uid="{00000000-0005-0000-0000-000001000000}"/>
    <cellStyle name="hyperlinkTableCellStyleLeftGroupingColored" xfId="19" xr:uid="{00000000-0005-0000-0000-000014000000}"/>
    <cellStyle name="Normal" xfId="0" builtinId="0"/>
    <cellStyle name="tableCellStyleCenter" xfId="12" xr:uid="{00000000-0005-0000-0000-00000D000000}"/>
    <cellStyle name="tableCellStyleCenterColored" xfId="13" xr:uid="{00000000-0005-0000-0000-00000E000000}"/>
    <cellStyle name="tableCellStyleLeft" xfId="8" xr:uid="{00000000-0005-0000-0000-000009000000}"/>
    <cellStyle name="tableCellStyleLeftColored" xfId="9" xr:uid="{00000000-0005-0000-0000-00000A000000}"/>
    <cellStyle name="tableCellStyleLeftGroupingColored" xfId="18" xr:uid="{00000000-0005-0000-0000-000013000000}"/>
    <cellStyle name="tableCellStyleLeftHyperlink" xfId="14" xr:uid="{00000000-0005-0000-0000-00000F000000}"/>
    <cellStyle name="tableCellStyleLeftHyperlinkColored" xfId="15" xr:uid="{00000000-0005-0000-0000-000010000000}"/>
    <cellStyle name="tableCellStyleRight" xfId="10" xr:uid="{00000000-0005-0000-0000-00000B000000}"/>
    <cellStyle name="tableCellStyleRightColored" xfId="11" xr:uid="{00000000-0005-0000-0000-00000C000000}"/>
    <cellStyle name="tableCellStyleRightHyperlink" xfId="16" xr:uid="{00000000-0005-0000-0000-000011000000}"/>
    <cellStyle name="tableCellStyleRightHyperlinkColored" xfId="17" xr:uid="{00000000-0005-0000-0000-000012000000}"/>
    <cellStyle name="verticalTopBoldWrapBold" xfId="5" xr:uid="{00000000-0005-0000-0000-000006000000}"/>
    <cellStyle name="verticalTopHorizontalRight" xfId="3" xr:uid="{00000000-0005-0000-0000-000003000000}"/>
    <cellStyle name="verticalTopHyperlinkBold"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support@pitchbook.com" TargetMode="External"/><Relationship Id="rId2" Type="http://schemas.openxmlformats.org/officeDocument/2006/relationships/hyperlink" Target="https://pitchbook.com/subscription-agreement" TargetMode="External"/><Relationship Id="rId1" Type="http://schemas.openxmlformats.org/officeDocument/2006/relationships/hyperlink" Target="support@pitchb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84"/>
  <sheetViews>
    <sheetView showGridLines="0" tabSelected="1" topLeftCell="Z1" workbookViewId="0">
      <selection activeCell="AE21" sqref="AE21"/>
    </sheetView>
  </sheetViews>
  <sheetFormatPr baseColWidth="10" defaultColWidth="8.83203125" defaultRowHeight="15" x14ac:dyDescent="0.2"/>
  <cols>
    <col min="1" max="1" width="21.6640625" customWidth="1"/>
    <col min="2" max="2" width="58.5" customWidth="1"/>
    <col min="3" max="4" width="29.5" customWidth="1"/>
    <col min="5" max="5" width="31" customWidth="1"/>
    <col min="6" max="7" width="30" customWidth="1"/>
    <col min="8" max="9" width="25.33203125" customWidth="1"/>
    <col min="10" max="10" width="31.33203125" customWidth="1"/>
    <col min="11" max="11" width="15.1640625" customWidth="1"/>
    <col min="12" max="12" width="39.6640625" customWidth="1"/>
    <col min="13" max="14" width="31.33203125" customWidth="1"/>
    <col min="15" max="15" width="29.83203125" customWidth="1"/>
    <col min="16" max="16" width="34" customWidth="1"/>
    <col min="17" max="17" width="29.1640625" customWidth="1"/>
    <col min="18" max="18" width="29.5" customWidth="1"/>
    <col min="19" max="19" width="31.83203125" customWidth="1"/>
    <col min="20" max="20" width="23.33203125" customWidth="1"/>
    <col min="21" max="21" width="22.1640625" customWidth="1"/>
    <col min="22" max="22" width="24" customWidth="1"/>
    <col min="23" max="23" width="26.6640625" customWidth="1"/>
    <col min="24" max="24" width="22.5" customWidth="1"/>
    <col min="25" max="25" width="29.5" customWidth="1"/>
    <col min="26" max="26" width="18.6640625" customWidth="1"/>
    <col min="27" max="28" width="21.6640625" customWidth="1"/>
    <col min="29" max="29" width="15.1640625" customWidth="1"/>
    <col min="30" max="30" width="20.6640625" customWidth="1"/>
    <col min="31" max="31" width="23" customWidth="1"/>
    <col min="32" max="32" width="20.33203125" customWidth="1"/>
    <col min="33" max="33" width="18.6640625" customWidth="1"/>
    <col min="34" max="34" width="20.33203125" customWidth="1"/>
    <col min="35" max="35" width="23.1640625" customWidth="1"/>
    <col min="36" max="36" width="19.5" customWidth="1"/>
    <col min="37" max="37" width="15.83203125" customWidth="1"/>
    <col min="38" max="38" width="20.33203125" customWidth="1"/>
    <col min="39" max="39" width="15.83203125" customWidth="1"/>
    <col min="40" max="40" width="28.83203125" customWidth="1"/>
    <col min="41" max="41" width="19.5" customWidth="1"/>
    <col min="42" max="42" width="27.1640625" customWidth="1"/>
    <col min="43" max="43" width="22.6640625" customWidth="1"/>
    <col min="44" max="44" width="27.5" customWidth="1"/>
    <col min="45" max="45" width="28" customWidth="1"/>
    <col min="46" max="46" width="28.6640625" customWidth="1"/>
    <col min="47" max="47" width="23.83203125" customWidth="1"/>
    <col min="48" max="49" width="24.5" customWidth="1"/>
    <col min="50" max="50" width="16.5" customWidth="1"/>
    <col min="51" max="51" width="24.5" customWidth="1"/>
    <col min="52" max="52" width="20.5" customWidth="1"/>
    <col min="53" max="53" width="27.5" customWidth="1"/>
    <col min="54" max="54" width="17.1640625" customWidth="1"/>
    <col min="55" max="55" width="15.1640625" customWidth="1"/>
    <col min="56" max="56" width="24.6640625" customWidth="1"/>
    <col min="57" max="57" width="23.83203125" customWidth="1"/>
    <col min="58" max="58" width="27.5" customWidth="1"/>
  </cols>
  <sheetData>
    <row r="1" spans="1:58" ht="3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2">
      <c r="A2" s="3" t="s">
        <v>58</v>
      </c>
      <c r="B2" s="3" t="s">
        <v>59</v>
      </c>
      <c r="C2" s="3" t="s">
        <v>60</v>
      </c>
      <c r="D2" s="3" t="s">
        <v>60</v>
      </c>
      <c r="E2" s="3" t="s">
        <v>60</v>
      </c>
      <c r="F2" s="3" t="s">
        <v>60</v>
      </c>
      <c r="G2" s="3" t="s">
        <v>61</v>
      </c>
      <c r="H2" s="3" t="s">
        <v>60</v>
      </c>
      <c r="I2" s="3" t="s">
        <v>60</v>
      </c>
      <c r="J2" s="3" t="s">
        <v>60</v>
      </c>
      <c r="K2" s="3" t="s">
        <v>58</v>
      </c>
      <c r="L2" s="3" t="s">
        <v>62</v>
      </c>
      <c r="M2" s="3" t="s">
        <v>63</v>
      </c>
      <c r="N2" s="3" t="s">
        <v>64</v>
      </c>
      <c r="O2" s="3" t="s">
        <v>65</v>
      </c>
      <c r="P2" s="3" t="s">
        <v>66</v>
      </c>
      <c r="Q2" s="3" t="s">
        <v>67</v>
      </c>
      <c r="R2" s="3" t="s">
        <v>68</v>
      </c>
      <c r="S2" s="3" t="s">
        <v>69</v>
      </c>
      <c r="T2" s="17">
        <v>15.78</v>
      </c>
      <c r="U2" s="3" t="s">
        <v>70</v>
      </c>
      <c r="V2" s="3" t="s">
        <v>71</v>
      </c>
      <c r="W2" s="3" t="s">
        <v>72</v>
      </c>
      <c r="X2" s="9" t="str">
        <f>HYPERLINK("http://www.ugc.com.sa", "www.ugc.com.sa")</f>
        <v>www.ugc.com.sa</v>
      </c>
      <c r="Y2" s="9" t="str">
        <f>HYPERLINK("http://www.linkedin.com/company/united-mining-industries", "http://www.linkedin.com/company/united-mining-industries")</f>
        <v>http://www.linkedin.com/company/united-mining-industries</v>
      </c>
      <c r="Z2" s="29">
        <v>331</v>
      </c>
      <c r="AA2" s="3" t="s">
        <v>73</v>
      </c>
      <c r="AB2" s="3" t="s">
        <v>74</v>
      </c>
      <c r="AC2" s="3" t="s">
        <v>75</v>
      </c>
      <c r="AD2" s="41">
        <v>2006</v>
      </c>
      <c r="AE2" s="3" t="s">
        <v>60</v>
      </c>
      <c r="AF2" s="53">
        <v>54.49</v>
      </c>
      <c r="AG2" s="53">
        <v>15.02</v>
      </c>
      <c r="AH2" s="53">
        <v>6.53</v>
      </c>
      <c r="AI2" s="53">
        <v>175.36</v>
      </c>
      <c r="AJ2" s="53">
        <v>11.52</v>
      </c>
      <c r="AK2" s="53">
        <v>6.91</v>
      </c>
      <c r="AL2" s="53">
        <v>187.01</v>
      </c>
      <c r="AM2" s="53">
        <v>27.93</v>
      </c>
      <c r="AN2" s="65">
        <v>-17.010000000000002</v>
      </c>
      <c r="AO2" s="5" t="s">
        <v>76</v>
      </c>
      <c r="AP2" s="3" t="s">
        <v>77</v>
      </c>
      <c r="AQ2" s="3" t="s">
        <v>78</v>
      </c>
      <c r="AR2" s="3" t="s">
        <v>79</v>
      </c>
      <c r="AS2" s="3" t="s">
        <v>80</v>
      </c>
      <c r="AT2" s="3" t="s">
        <v>81</v>
      </c>
      <c r="AU2" s="3" t="s">
        <v>82</v>
      </c>
      <c r="AV2" s="3" t="s">
        <v>83</v>
      </c>
      <c r="AW2" s="3" t="s">
        <v>84</v>
      </c>
      <c r="AX2" s="3" t="s">
        <v>85</v>
      </c>
      <c r="AY2" s="3" t="s">
        <v>60</v>
      </c>
      <c r="AZ2" s="5" t="s">
        <v>86</v>
      </c>
      <c r="BA2" s="3" t="s">
        <v>87</v>
      </c>
      <c r="BB2" s="5" t="s">
        <v>81</v>
      </c>
      <c r="BC2" s="5" t="s">
        <v>60</v>
      </c>
      <c r="BD2" s="3" t="s">
        <v>60</v>
      </c>
      <c r="BE2" s="3" t="s">
        <v>88</v>
      </c>
      <c r="BF2" s="3" t="s">
        <v>88</v>
      </c>
    </row>
    <row r="3" spans="1:58" x14ac:dyDescent="0.2">
      <c r="A3" s="2" t="s">
        <v>89</v>
      </c>
      <c r="B3" s="2" t="s">
        <v>90</v>
      </c>
      <c r="C3" s="2" t="s">
        <v>60</v>
      </c>
      <c r="D3" s="2" t="s">
        <v>60</v>
      </c>
      <c r="E3" s="2" t="s">
        <v>60</v>
      </c>
      <c r="F3" s="2" t="s">
        <v>60</v>
      </c>
      <c r="G3" s="2" t="s">
        <v>91</v>
      </c>
      <c r="H3" s="2" t="s">
        <v>60</v>
      </c>
      <c r="I3" s="2" t="s">
        <v>60</v>
      </c>
      <c r="J3" s="2" t="s">
        <v>60</v>
      </c>
      <c r="K3" s="2" t="s">
        <v>89</v>
      </c>
      <c r="L3" s="2" t="s">
        <v>60</v>
      </c>
      <c r="M3" s="2" t="s">
        <v>63</v>
      </c>
      <c r="N3" s="2" t="s">
        <v>92</v>
      </c>
      <c r="O3" s="2" t="s">
        <v>93</v>
      </c>
      <c r="P3" s="2" t="s">
        <v>94</v>
      </c>
      <c r="Q3" s="2" t="s">
        <v>60</v>
      </c>
      <c r="R3" s="2" t="s">
        <v>95</v>
      </c>
      <c r="S3" s="2" t="s">
        <v>96</v>
      </c>
      <c r="T3" s="16">
        <v>4.29</v>
      </c>
      <c r="U3" s="2" t="s">
        <v>97</v>
      </c>
      <c r="V3" s="2" t="s">
        <v>71</v>
      </c>
      <c r="W3" s="2" t="s">
        <v>98</v>
      </c>
      <c r="X3" s="8" t="str">
        <f>HYPERLINK("http://www.kdl.com.sa", "www.kdl.com.sa")</f>
        <v>www.kdl.com.sa</v>
      </c>
      <c r="Y3" s="2" t="s">
        <v>60</v>
      </c>
      <c r="Z3" s="28" t="s">
        <v>60</v>
      </c>
      <c r="AA3" s="2" t="s">
        <v>60</v>
      </c>
      <c r="AB3" s="2" t="s">
        <v>74</v>
      </c>
      <c r="AC3" s="2" t="s">
        <v>99</v>
      </c>
      <c r="AD3" s="40">
        <v>1980</v>
      </c>
      <c r="AE3" s="2" t="s">
        <v>60</v>
      </c>
      <c r="AF3" s="52">
        <v>19.82</v>
      </c>
      <c r="AG3" s="52">
        <v>5.59</v>
      </c>
      <c r="AH3" s="52">
        <v>3.32</v>
      </c>
      <c r="AI3" s="52" t="s">
        <v>60</v>
      </c>
      <c r="AJ3" s="52" t="s">
        <v>60</v>
      </c>
      <c r="AK3" s="52" t="s">
        <v>60</v>
      </c>
      <c r="AL3" s="52">
        <v>17.190000000000001</v>
      </c>
      <c r="AM3" s="52" t="s">
        <v>60</v>
      </c>
      <c r="AN3" s="64" t="s">
        <v>60</v>
      </c>
      <c r="AO3" s="4" t="s">
        <v>100</v>
      </c>
      <c r="AP3" s="2" t="s">
        <v>101</v>
      </c>
      <c r="AQ3" s="2" t="s">
        <v>102</v>
      </c>
      <c r="AR3" s="2" t="s">
        <v>103</v>
      </c>
      <c r="AS3" s="2" t="s">
        <v>104</v>
      </c>
      <c r="AT3" s="2" t="s">
        <v>105</v>
      </c>
      <c r="AU3" s="2" t="s">
        <v>106</v>
      </c>
      <c r="AV3" s="2" t="s">
        <v>107</v>
      </c>
      <c r="AW3" s="2" t="s">
        <v>108</v>
      </c>
      <c r="AX3" s="2" t="s">
        <v>109</v>
      </c>
      <c r="AY3" s="2" t="s">
        <v>60</v>
      </c>
      <c r="AZ3" s="4" t="s">
        <v>60</v>
      </c>
      <c r="BA3" s="2" t="s">
        <v>87</v>
      </c>
      <c r="BB3" s="4" t="s">
        <v>105</v>
      </c>
      <c r="BC3" s="4" t="s">
        <v>60</v>
      </c>
      <c r="BD3" s="2" t="s">
        <v>110</v>
      </c>
      <c r="BE3" s="2" t="s">
        <v>88</v>
      </c>
      <c r="BF3" s="2" t="s">
        <v>88</v>
      </c>
    </row>
    <row r="4" spans="1:58" x14ac:dyDescent="0.2">
      <c r="A4" s="3" t="s">
        <v>111</v>
      </c>
      <c r="B4" s="3" t="s">
        <v>112</v>
      </c>
      <c r="C4" s="3" t="s">
        <v>60</v>
      </c>
      <c r="D4" s="3" t="s">
        <v>60</v>
      </c>
      <c r="E4" s="3" t="s">
        <v>60</v>
      </c>
      <c r="F4" s="3" t="s">
        <v>60</v>
      </c>
      <c r="G4" s="3" t="s">
        <v>113</v>
      </c>
      <c r="H4" s="3" t="s">
        <v>60</v>
      </c>
      <c r="I4" s="3" t="s">
        <v>60</v>
      </c>
      <c r="J4" s="3" t="s">
        <v>60</v>
      </c>
      <c r="K4" s="3" t="s">
        <v>111</v>
      </c>
      <c r="L4" s="3" t="s">
        <v>114</v>
      </c>
      <c r="M4" s="3" t="s">
        <v>115</v>
      </c>
      <c r="N4" s="3" t="s">
        <v>116</v>
      </c>
      <c r="O4" s="3" t="s">
        <v>117</v>
      </c>
      <c r="P4" s="3" t="s">
        <v>118</v>
      </c>
      <c r="Q4" s="3" t="s">
        <v>60</v>
      </c>
      <c r="R4" s="3" t="s">
        <v>119</v>
      </c>
      <c r="S4" s="3" t="s">
        <v>96</v>
      </c>
      <c r="T4" s="17">
        <v>239.85</v>
      </c>
      <c r="U4" s="3" t="s">
        <v>97</v>
      </c>
      <c r="V4" s="3" t="s">
        <v>71</v>
      </c>
      <c r="W4" s="3" t="s">
        <v>98</v>
      </c>
      <c r="X4" s="9" t="str">
        <f>HYPERLINK("http://www.alramzre.com", "www.alramzre.com")</f>
        <v>www.alramzre.com</v>
      </c>
      <c r="Y4" s="9" t="str">
        <f>HYPERLINK("http://www.linkedin.com/company/alramzre", "http://www.linkedin.com/company/alramzre")</f>
        <v>http://www.linkedin.com/company/alramzre</v>
      </c>
      <c r="Z4" s="29">
        <v>195</v>
      </c>
      <c r="AA4" s="3" t="s">
        <v>120</v>
      </c>
      <c r="AB4" s="3" t="s">
        <v>74</v>
      </c>
      <c r="AC4" s="3" t="s">
        <v>121</v>
      </c>
      <c r="AD4" s="41">
        <v>2016</v>
      </c>
      <c r="AE4" s="3" t="s">
        <v>60</v>
      </c>
      <c r="AF4" s="53">
        <v>253.07</v>
      </c>
      <c r="AG4" s="53">
        <v>44.31</v>
      </c>
      <c r="AH4" s="53">
        <v>42.1</v>
      </c>
      <c r="AI4" s="53" t="s">
        <v>60</v>
      </c>
      <c r="AJ4" s="53">
        <v>45.95</v>
      </c>
      <c r="AK4" s="53">
        <v>45.06</v>
      </c>
      <c r="AL4" s="53">
        <v>728.3</v>
      </c>
      <c r="AM4" s="53" t="s">
        <v>60</v>
      </c>
      <c r="AN4" s="65" t="s">
        <v>60</v>
      </c>
      <c r="AO4" s="5" t="s">
        <v>100</v>
      </c>
      <c r="AP4" s="3" t="s">
        <v>122</v>
      </c>
      <c r="AQ4" s="3" t="s">
        <v>123</v>
      </c>
      <c r="AR4" s="3" t="s">
        <v>124</v>
      </c>
      <c r="AS4" s="3" t="s">
        <v>60</v>
      </c>
      <c r="AT4" s="3" t="s">
        <v>125</v>
      </c>
      <c r="AU4" s="3" t="s">
        <v>106</v>
      </c>
      <c r="AV4" s="3" t="s">
        <v>126</v>
      </c>
      <c r="AW4" s="3" t="s">
        <v>127</v>
      </c>
      <c r="AX4" s="3" t="s">
        <v>109</v>
      </c>
      <c r="AY4" s="3" t="s">
        <v>60</v>
      </c>
      <c r="AZ4" s="5" t="s">
        <v>128</v>
      </c>
      <c r="BA4" s="3" t="s">
        <v>87</v>
      </c>
      <c r="BB4" s="5" t="s">
        <v>125</v>
      </c>
      <c r="BC4" s="5" t="s">
        <v>60</v>
      </c>
      <c r="BD4" s="3" t="s">
        <v>129</v>
      </c>
      <c r="BE4" s="3" t="s">
        <v>88</v>
      </c>
      <c r="BF4" s="3" t="s">
        <v>88</v>
      </c>
    </row>
    <row r="5" spans="1:58" x14ac:dyDescent="0.2">
      <c r="A5" s="2" t="s">
        <v>130</v>
      </c>
      <c r="B5" s="2" t="s">
        <v>131</v>
      </c>
      <c r="C5" s="2" t="s">
        <v>60</v>
      </c>
      <c r="D5" s="2" t="s">
        <v>60</v>
      </c>
      <c r="E5" s="2" t="s">
        <v>60</v>
      </c>
      <c r="F5" s="2" t="s">
        <v>60</v>
      </c>
      <c r="G5" s="2" t="s">
        <v>132</v>
      </c>
      <c r="H5" s="2" t="s">
        <v>60</v>
      </c>
      <c r="I5" s="2" t="s">
        <v>60</v>
      </c>
      <c r="J5" s="2" t="s">
        <v>60</v>
      </c>
      <c r="K5" s="2" t="s">
        <v>130</v>
      </c>
      <c r="L5" s="2" t="s">
        <v>133</v>
      </c>
      <c r="M5" s="2" t="s">
        <v>134</v>
      </c>
      <c r="N5" s="2" t="s">
        <v>135</v>
      </c>
      <c r="O5" s="2" t="s">
        <v>136</v>
      </c>
      <c r="P5" s="2" t="s">
        <v>137</v>
      </c>
      <c r="Q5" s="2" t="s">
        <v>60</v>
      </c>
      <c r="R5" s="2" t="s">
        <v>138</v>
      </c>
      <c r="S5" s="2" t="s">
        <v>96</v>
      </c>
      <c r="T5" s="16" t="s">
        <v>60</v>
      </c>
      <c r="U5" s="2" t="s">
        <v>97</v>
      </c>
      <c r="V5" s="2" t="s">
        <v>71</v>
      </c>
      <c r="W5" s="2" t="s">
        <v>98</v>
      </c>
      <c r="X5" s="8" t="str">
        <f>HYPERLINK("http://www.cgs.com.sa", "www.cgs.com.sa")</f>
        <v>www.cgs.com.sa</v>
      </c>
      <c r="Y5" s="8" t="str">
        <f>HYPERLINK("http://www.linkedin.com/company/cgsgroup", "http://www.linkedin.com/company/cgsgroup")</f>
        <v>http://www.linkedin.com/company/cgsgroup</v>
      </c>
      <c r="Z5" s="28">
        <v>498</v>
      </c>
      <c r="AA5" s="2" t="s">
        <v>139</v>
      </c>
      <c r="AB5" s="2" t="s">
        <v>74</v>
      </c>
      <c r="AC5" s="2" t="s">
        <v>140</v>
      </c>
      <c r="AD5" s="40">
        <v>1976</v>
      </c>
      <c r="AE5" s="2" t="s">
        <v>60</v>
      </c>
      <c r="AF5" s="52">
        <v>134.13</v>
      </c>
      <c r="AG5" s="52" t="s">
        <v>60</v>
      </c>
      <c r="AH5" s="52">
        <v>17.559999999999999</v>
      </c>
      <c r="AI5" s="52" t="s">
        <v>60</v>
      </c>
      <c r="AJ5" s="52" t="s">
        <v>60</v>
      </c>
      <c r="AK5" s="52" t="s">
        <v>60</v>
      </c>
      <c r="AL5" s="52">
        <v>253.31</v>
      </c>
      <c r="AM5" s="52" t="s">
        <v>60</v>
      </c>
      <c r="AN5" s="64" t="s">
        <v>60</v>
      </c>
      <c r="AO5" s="4" t="s">
        <v>141</v>
      </c>
      <c r="AP5" s="2" t="s">
        <v>142</v>
      </c>
      <c r="AQ5" s="2" t="s">
        <v>143</v>
      </c>
      <c r="AR5" s="2" t="s">
        <v>124</v>
      </c>
      <c r="AS5" s="2" t="s">
        <v>144</v>
      </c>
      <c r="AT5" s="2" t="s">
        <v>145</v>
      </c>
      <c r="AU5" s="2" t="s">
        <v>106</v>
      </c>
      <c r="AV5" s="2" t="s">
        <v>146</v>
      </c>
      <c r="AW5" s="2" t="s">
        <v>147</v>
      </c>
      <c r="AX5" s="2" t="s">
        <v>109</v>
      </c>
      <c r="AY5" s="2" t="s">
        <v>60</v>
      </c>
      <c r="AZ5" s="4" t="s">
        <v>148</v>
      </c>
      <c r="BA5" s="2" t="s">
        <v>87</v>
      </c>
      <c r="BB5" s="4" t="s">
        <v>145</v>
      </c>
      <c r="BC5" s="4" t="s">
        <v>149</v>
      </c>
      <c r="BD5" s="2" t="s">
        <v>150</v>
      </c>
      <c r="BE5" s="2" t="s">
        <v>88</v>
      </c>
      <c r="BF5" s="2" t="s">
        <v>88</v>
      </c>
    </row>
    <row r="6" spans="1:58" x14ac:dyDescent="0.2">
      <c r="A6" s="3" t="s">
        <v>151</v>
      </c>
      <c r="B6" s="3" t="s">
        <v>152</v>
      </c>
      <c r="C6" s="3" t="s">
        <v>60</v>
      </c>
      <c r="D6" s="3" t="s">
        <v>60</v>
      </c>
      <c r="E6" s="3" t="s">
        <v>60</v>
      </c>
      <c r="F6" s="3" t="s">
        <v>60</v>
      </c>
      <c r="G6" s="3" t="s">
        <v>153</v>
      </c>
      <c r="H6" s="3" t="s">
        <v>60</v>
      </c>
      <c r="I6" s="3" t="s">
        <v>60</v>
      </c>
      <c r="J6" s="3" t="s">
        <v>60</v>
      </c>
      <c r="K6" s="3" t="s">
        <v>151</v>
      </c>
      <c r="L6" s="3" t="s">
        <v>154</v>
      </c>
      <c r="M6" s="3" t="s">
        <v>115</v>
      </c>
      <c r="N6" s="3" t="s">
        <v>116</v>
      </c>
      <c r="O6" s="3" t="s">
        <v>155</v>
      </c>
      <c r="P6" s="3" t="s">
        <v>156</v>
      </c>
      <c r="Q6" s="3" t="s">
        <v>60</v>
      </c>
      <c r="R6" s="3" t="s">
        <v>157</v>
      </c>
      <c r="S6" s="3" t="s">
        <v>96</v>
      </c>
      <c r="T6" s="17" t="s">
        <v>60</v>
      </c>
      <c r="U6" s="3" t="s">
        <v>97</v>
      </c>
      <c r="V6" s="3" t="s">
        <v>71</v>
      </c>
      <c r="W6" s="3" t="s">
        <v>98</v>
      </c>
      <c r="X6" s="9" t="str">
        <f>HYPERLINK("http://www.masareducation.com", "www.masareducation.com")</f>
        <v>www.masareducation.com</v>
      </c>
      <c r="Y6" s="9" t="str">
        <f>HYPERLINK("http://www.linkedin.com/company/almasareducation", "http://www.linkedin.com/company/almasareducation")</f>
        <v>http://www.linkedin.com/company/almasareducation</v>
      </c>
      <c r="Z6" s="29">
        <v>3717</v>
      </c>
      <c r="AA6" s="3" t="s">
        <v>158</v>
      </c>
      <c r="AB6" s="3" t="s">
        <v>74</v>
      </c>
      <c r="AC6" s="3" t="s">
        <v>159</v>
      </c>
      <c r="AD6" s="41" t="s">
        <v>60</v>
      </c>
      <c r="AE6" s="3" t="s">
        <v>60</v>
      </c>
      <c r="AF6" s="53">
        <v>116.21</v>
      </c>
      <c r="AG6" s="53">
        <v>53.99</v>
      </c>
      <c r="AH6" s="53">
        <v>39.380000000000003</v>
      </c>
      <c r="AI6" s="53" t="s">
        <v>60</v>
      </c>
      <c r="AJ6" s="53">
        <v>57.33</v>
      </c>
      <c r="AK6" s="53">
        <v>44.59</v>
      </c>
      <c r="AL6" s="53">
        <v>618.61</v>
      </c>
      <c r="AM6" s="53">
        <v>0</v>
      </c>
      <c r="AN6" s="65" t="s">
        <v>60</v>
      </c>
      <c r="AO6" s="5" t="s">
        <v>100</v>
      </c>
      <c r="AP6" s="3" t="s">
        <v>160</v>
      </c>
      <c r="AQ6" s="3" t="s">
        <v>161</v>
      </c>
      <c r="AR6" s="3" t="s">
        <v>124</v>
      </c>
      <c r="AS6" s="3" t="s">
        <v>162</v>
      </c>
      <c r="AT6" s="3" t="s">
        <v>163</v>
      </c>
      <c r="AU6" s="3" t="s">
        <v>106</v>
      </c>
      <c r="AV6" s="3" t="s">
        <v>164</v>
      </c>
      <c r="AW6" s="3" t="s">
        <v>165</v>
      </c>
      <c r="AX6" s="3" t="s">
        <v>109</v>
      </c>
      <c r="AY6" s="3" t="s">
        <v>60</v>
      </c>
      <c r="AZ6" s="5" t="s">
        <v>166</v>
      </c>
      <c r="BA6" s="3" t="s">
        <v>87</v>
      </c>
      <c r="BB6" s="5" t="s">
        <v>163</v>
      </c>
      <c r="BC6" s="5" t="s">
        <v>60</v>
      </c>
      <c r="BD6" s="3" t="s">
        <v>167</v>
      </c>
      <c r="BE6" s="3" t="s">
        <v>88</v>
      </c>
      <c r="BF6" s="3" t="s">
        <v>88</v>
      </c>
    </row>
    <row r="7" spans="1:58" x14ac:dyDescent="0.2">
      <c r="A7" s="2" t="s">
        <v>168</v>
      </c>
      <c r="B7" s="2" t="s">
        <v>169</v>
      </c>
      <c r="C7" s="2" t="s">
        <v>60</v>
      </c>
      <c r="D7" s="2" t="s">
        <v>60</v>
      </c>
      <c r="E7" s="2" t="s">
        <v>60</v>
      </c>
      <c r="F7" s="2" t="s">
        <v>60</v>
      </c>
      <c r="G7" s="2" t="s">
        <v>60</v>
      </c>
      <c r="H7" s="2" t="s">
        <v>60</v>
      </c>
      <c r="I7" s="2" t="s">
        <v>60</v>
      </c>
      <c r="J7" s="2" t="s">
        <v>60</v>
      </c>
      <c r="K7" s="2" t="s">
        <v>168</v>
      </c>
      <c r="L7" s="2" t="s">
        <v>170</v>
      </c>
      <c r="M7" s="2" t="s">
        <v>63</v>
      </c>
      <c r="N7" s="2" t="s">
        <v>92</v>
      </c>
      <c r="O7" s="2" t="s">
        <v>171</v>
      </c>
      <c r="P7" s="2" t="s">
        <v>172</v>
      </c>
      <c r="Q7" s="2" t="s">
        <v>60</v>
      </c>
      <c r="R7" s="2" t="s">
        <v>173</v>
      </c>
      <c r="S7" s="2" t="s">
        <v>174</v>
      </c>
      <c r="T7" s="16" t="s">
        <v>60</v>
      </c>
      <c r="U7" s="2" t="s">
        <v>97</v>
      </c>
      <c r="V7" s="2" t="s">
        <v>71</v>
      </c>
      <c r="W7" s="2" t="s">
        <v>175</v>
      </c>
      <c r="X7" s="8" t="str">
        <f>HYPERLINK("http://www.miahona.com", "www.miahona.com")</f>
        <v>www.miahona.com</v>
      </c>
      <c r="Y7" s="8" t="str">
        <f>HYPERLINK("http://www.linkedin.com/company/miahona", "http://www.linkedin.com/company/miahona")</f>
        <v>http://www.linkedin.com/company/miahona</v>
      </c>
      <c r="Z7" s="28">
        <v>46</v>
      </c>
      <c r="AA7" s="2" t="s">
        <v>176</v>
      </c>
      <c r="AB7" s="2" t="s">
        <v>74</v>
      </c>
      <c r="AC7" s="2" t="s">
        <v>177</v>
      </c>
      <c r="AD7" s="40">
        <v>2008</v>
      </c>
      <c r="AE7" s="2" t="s">
        <v>178</v>
      </c>
      <c r="AF7" s="52">
        <v>179.42</v>
      </c>
      <c r="AG7" s="52">
        <v>33.99</v>
      </c>
      <c r="AH7" s="52">
        <v>18.62</v>
      </c>
      <c r="AI7" s="52">
        <v>1174.03</v>
      </c>
      <c r="AJ7" s="52">
        <v>36.229999999999997</v>
      </c>
      <c r="AK7" s="52">
        <v>23.77</v>
      </c>
      <c r="AL7" s="52">
        <v>750.12</v>
      </c>
      <c r="AM7" s="52">
        <v>111.93</v>
      </c>
      <c r="AN7" s="64">
        <v>94.24</v>
      </c>
      <c r="AO7" s="4" t="s">
        <v>179</v>
      </c>
      <c r="AP7" s="2" t="s">
        <v>180</v>
      </c>
      <c r="AQ7" s="2" t="s">
        <v>181</v>
      </c>
      <c r="AR7" s="2" t="s">
        <v>124</v>
      </c>
      <c r="AS7" s="2" t="s">
        <v>60</v>
      </c>
      <c r="AT7" s="2" t="s">
        <v>182</v>
      </c>
      <c r="AU7" s="2" t="s">
        <v>106</v>
      </c>
      <c r="AV7" s="2" t="s">
        <v>183</v>
      </c>
      <c r="AW7" s="2" t="s">
        <v>60</v>
      </c>
      <c r="AX7" s="2" t="s">
        <v>109</v>
      </c>
      <c r="AY7" s="2" t="s">
        <v>60</v>
      </c>
      <c r="AZ7" s="4" t="s">
        <v>184</v>
      </c>
      <c r="BA7" s="2" t="s">
        <v>87</v>
      </c>
      <c r="BB7" s="4" t="s">
        <v>182</v>
      </c>
      <c r="BC7" s="4" t="s">
        <v>185</v>
      </c>
      <c r="BD7" s="2" t="s">
        <v>186</v>
      </c>
      <c r="BE7" s="2" t="s">
        <v>88</v>
      </c>
      <c r="BF7" s="2" t="s">
        <v>88</v>
      </c>
    </row>
    <row r="8" spans="1:58" x14ac:dyDescent="0.2">
      <c r="A8" s="3" t="s">
        <v>187</v>
      </c>
      <c r="B8" s="3" t="s">
        <v>188</v>
      </c>
      <c r="C8" s="3" t="s">
        <v>60</v>
      </c>
      <c r="D8" s="3" t="s">
        <v>60</v>
      </c>
      <c r="E8" s="3" t="s">
        <v>189</v>
      </c>
      <c r="F8" s="3" t="s">
        <v>60</v>
      </c>
      <c r="G8" s="3" t="s">
        <v>190</v>
      </c>
      <c r="H8" s="3" t="s">
        <v>60</v>
      </c>
      <c r="I8" s="3" t="s">
        <v>60</v>
      </c>
      <c r="J8" s="3" t="s">
        <v>60</v>
      </c>
      <c r="K8" s="3" t="s">
        <v>187</v>
      </c>
      <c r="L8" s="3" t="s">
        <v>191</v>
      </c>
      <c r="M8" s="3" t="s">
        <v>115</v>
      </c>
      <c r="N8" s="3" t="s">
        <v>192</v>
      </c>
      <c r="O8" s="3" t="s">
        <v>193</v>
      </c>
      <c r="P8" s="3" t="s">
        <v>194</v>
      </c>
      <c r="Q8" s="3" t="s">
        <v>60</v>
      </c>
      <c r="R8" s="3" t="s">
        <v>195</v>
      </c>
      <c r="S8" s="3" t="s">
        <v>96</v>
      </c>
      <c r="T8" s="17">
        <v>67.2</v>
      </c>
      <c r="U8" s="3" t="s">
        <v>97</v>
      </c>
      <c r="V8" s="3" t="s">
        <v>71</v>
      </c>
      <c r="W8" s="3" t="s">
        <v>98</v>
      </c>
      <c r="X8" s="9" t="str">
        <f>HYPERLINK("http://www.cherry.com.sa", "www.cherry.com.sa")</f>
        <v>www.cherry.com.sa</v>
      </c>
      <c r="Y8" s="9" t="str">
        <f>HYPERLINK("http://www.linkedin.com/company/cherry-rent-a-car-شري", "http://www.linkedin.com/company/cherry-rent-a-car-شري")</f>
        <v>http://www.linkedin.com/company/cherry-rent-a-car-شري</v>
      </c>
      <c r="Z8" s="29" t="s">
        <v>60</v>
      </c>
      <c r="AA8" s="3" t="s">
        <v>60</v>
      </c>
      <c r="AB8" s="3" t="s">
        <v>74</v>
      </c>
      <c r="AC8" s="3" t="s">
        <v>196</v>
      </c>
      <c r="AD8" s="41">
        <v>1978</v>
      </c>
      <c r="AE8" s="3" t="s">
        <v>60</v>
      </c>
      <c r="AF8" s="53">
        <v>120.89</v>
      </c>
      <c r="AG8" s="53">
        <v>38.74</v>
      </c>
      <c r="AH8" s="53">
        <v>16.77</v>
      </c>
      <c r="AI8" s="53" t="s">
        <v>60</v>
      </c>
      <c r="AJ8" s="53" t="s">
        <v>60</v>
      </c>
      <c r="AK8" s="53">
        <v>29.92</v>
      </c>
      <c r="AL8" s="53">
        <v>246.12</v>
      </c>
      <c r="AM8" s="53">
        <v>0</v>
      </c>
      <c r="AN8" s="65" t="s">
        <v>60</v>
      </c>
      <c r="AO8" s="5" t="s">
        <v>100</v>
      </c>
      <c r="AP8" s="3" t="s">
        <v>197</v>
      </c>
      <c r="AQ8" s="3" t="s">
        <v>198</v>
      </c>
      <c r="AR8" s="3" t="s">
        <v>124</v>
      </c>
      <c r="AS8" s="3" t="s">
        <v>199</v>
      </c>
      <c r="AT8" s="3" t="s">
        <v>200</v>
      </c>
      <c r="AU8" s="3" t="s">
        <v>106</v>
      </c>
      <c r="AV8" s="3" t="s">
        <v>201</v>
      </c>
      <c r="AW8" s="3" t="s">
        <v>202</v>
      </c>
      <c r="AX8" s="3" t="s">
        <v>109</v>
      </c>
      <c r="AY8" s="3" t="s">
        <v>60</v>
      </c>
      <c r="AZ8" s="5" t="s">
        <v>203</v>
      </c>
      <c r="BA8" s="3" t="s">
        <v>87</v>
      </c>
      <c r="BB8" s="5" t="s">
        <v>200</v>
      </c>
      <c r="BC8" s="5" t="s">
        <v>60</v>
      </c>
      <c r="BD8" s="3" t="s">
        <v>60</v>
      </c>
      <c r="BE8" s="3" t="s">
        <v>88</v>
      </c>
      <c r="BF8" s="3" t="s">
        <v>88</v>
      </c>
    </row>
    <row r="9" spans="1:58" x14ac:dyDescent="0.2">
      <c r="A9" s="2" t="s">
        <v>204</v>
      </c>
      <c r="B9" s="2" t="s">
        <v>205</v>
      </c>
      <c r="C9" s="2" t="s">
        <v>60</v>
      </c>
      <c r="D9" s="2" t="s">
        <v>60</v>
      </c>
      <c r="E9" s="2" t="s">
        <v>60</v>
      </c>
      <c r="F9" s="2" t="s">
        <v>60</v>
      </c>
      <c r="G9" s="2" t="s">
        <v>206</v>
      </c>
      <c r="H9" s="2" t="s">
        <v>60</v>
      </c>
      <c r="I9" s="2" t="s">
        <v>60</v>
      </c>
      <c r="J9" s="2" t="s">
        <v>60</v>
      </c>
      <c r="K9" s="2" t="s">
        <v>204</v>
      </c>
      <c r="L9" s="2" t="s">
        <v>207</v>
      </c>
      <c r="M9" s="2" t="s">
        <v>115</v>
      </c>
      <c r="N9" s="2" t="s">
        <v>208</v>
      </c>
      <c r="O9" s="2" t="s">
        <v>209</v>
      </c>
      <c r="P9" s="2" t="s">
        <v>210</v>
      </c>
      <c r="Q9" s="2" t="s">
        <v>60</v>
      </c>
      <c r="R9" s="2" t="s">
        <v>211</v>
      </c>
      <c r="S9" s="2" t="s">
        <v>96</v>
      </c>
      <c r="T9" s="16">
        <v>6.67</v>
      </c>
      <c r="U9" s="2" t="s">
        <v>70</v>
      </c>
      <c r="V9" s="2" t="s">
        <v>71</v>
      </c>
      <c r="W9" s="2" t="s">
        <v>98</v>
      </c>
      <c r="X9" s="8" t="str">
        <f>HYPERLINK("http://www.altwijri.com", "www.altwijri.com")</f>
        <v>www.altwijri.com</v>
      </c>
      <c r="Y9" s="8" t="str">
        <f>HYPERLINK("http://www.linkedin.com/company/abdul-aziz-al-tuwaijri-group", "http://www.linkedin.com/company/abdul-aziz-al-tuwaijri-group")</f>
        <v>http://www.linkedin.com/company/abdul-aziz-al-tuwaijri-group</v>
      </c>
      <c r="Z9" s="28" t="s">
        <v>60</v>
      </c>
      <c r="AA9" s="2" t="s">
        <v>60</v>
      </c>
      <c r="AB9" s="2" t="s">
        <v>74</v>
      </c>
      <c r="AC9" s="2" t="s">
        <v>212</v>
      </c>
      <c r="AD9" s="40">
        <v>1957</v>
      </c>
      <c r="AE9" s="2" t="s">
        <v>60</v>
      </c>
      <c r="AF9" s="52" t="s">
        <v>60</v>
      </c>
      <c r="AG9" s="52" t="s">
        <v>60</v>
      </c>
      <c r="AH9" s="52" t="s">
        <v>60</v>
      </c>
      <c r="AI9" s="52" t="s">
        <v>60</v>
      </c>
      <c r="AJ9" s="52" t="s">
        <v>60</v>
      </c>
      <c r="AK9" s="52" t="s">
        <v>60</v>
      </c>
      <c r="AL9" s="52">
        <v>29.14</v>
      </c>
      <c r="AM9" s="52" t="s">
        <v>60</v>
      </c>
      <c r="AN9" s="64" t="s">
        <v>60</v>
      </c>
      <c r="AO9" s="4" t="s">
        <v>60</v>
      </c>
      <c r="AP9" s="2" t="s">
        <v>213</v>
      </c>
      <c r="AQ9" s="2" t="s">
        <v>214</v>
      </c>
      <c r="AR9" s="2" t="s">
        <v>215</v>
      </c>
      <c r="AS9" s="2" t="s">
        <v>216</v>
      </c>
      <c r="AT9" s="2" t="s">
        <v>217</v>
      </c>
      <c r="AU9" s="2" t="s">
        <v>106</v>
      </c>
      <c r="AV9" s="2" t="s">
        <v>218</v>
      </c>
      <c r="AW9" s="2" t="s">
        <v>219</v>
      </c>
      <c r="AX9" s="2" t="s">
        <v>109</v>
      </c>
      <c r="AY9" s="2" t="s">
        <v>60</v>
      </c>
      <c r="AZ9" s="4" t="s">
        <v>60</v>
      </c>
      <c r="BA9" s="2" t="s">
        <v>87</v>
      </c>
      <c r="BB9" s="4" t="s">
        <v>217</v>
      </c>
      <c r="BC9" s="4" t="s">
        <v>220</v>
      </c>
      <c r="BD9" s="2" t="s">
        <v>221</v>
      </c>
      <c r="BE9" s="2" t="s">
        <v>88</v>
      </c>
      <c r="BF9" s="2" t="s">
        <v>88</v>
      </c>
    </row>
    <row r="10" spans="1:58" x14ac:dyDescent="0.2">
      <c r="A10" s="3" t="s">
        <v>222</v>
      </c>
      <c r="B10" s="3" t="s">
        <v>223</v>
      </c>
      <c r="C10" s="3" t="s">
        <v>60</v>
      </c>
      <c r="D10" s="3" t="s">
        <v>60</v>
      </c>
      <c r="E10" s="3" t="s">
        <v>60</v>
      </c>
      <c r="F10" s="3" t="s">
        <v>60</v>
      </c>
      <c r="G10" s="3" t="s">
        <v>224</v>
      </c>
      <c r="H10" s="3" t="s">
        <v>60</v>
      </c>
      <c r="I10" s="3" t="s">
        <v>60</v>
      </c>
      <c r="J10" s="3" t="s">
        <v>60</v>
      </c>
      <c r="K10" s="3" t="s">
        <v>222</v>
      </c>
      <c r="L10" s="3" t="s">
        <v>225</v>
      </c>
      <c r="M10" s="3" t="s">
        <v>115</v>
      </c>
      <c r="N10" s="3" t="s">
        <v>208</v>
      </c>
      <c r="O10" s="3" t="s">
        <v>226</v>
      </c>
      <c r="P10" s="3" t="s">
        <v>227</v>
      </c>
      <c r="Q10" s="3" t="s">
        <v>60</v>
      </c>
      <c r="R10" s="3" t="s">
        <v>228</v>
      </c>
      <c r="S10" s="3" t="s">
        <v>96</v>
      </c>
      <c r="T10" s="17">
        <v>8.17</v>
      </c>
      <c r="U10" s="3" t="s">
        <v>70</v>
      </c>
      <c r="V10" s="3" t="s">
        <v>71</v>
      </c>
      <c r="W10" s="3" t="s">
        <v>98</v>
      </c>
      <c r="X10" s="9" t="str">
        <f>HYPERLINK("http://www.sahatalmajd-co.com", "www.sahatalmajd-co.com")</f>
        <v>www.sahatalmajd-co.com</v>
      </c>
      <c r="Y10" s="3" t="s">
        <v>60</v>
      </c>
      <c r="Z10" s="29" t="s">
        <v>60</v>
      </c>
      <c r="AA10" s="3" t="s">
        <v>60</v>
      </c>
      <c r="AB10" s="3" t="s">
        <v>74</v>
      </c>
      <c r="AC10" s="3" t="s">
        <v>229</v>
      </c>
      <c r="AD10" s="41">
        <v>2005</v>
      </c>
      <c r="AE10" s="3" t="s">
        <v>60</v>
      </c>
      <c r="AF10" s="53" t="s">
        <v>60</v>
      </c>
      <c r="AG10" s="53" t="s">
        <v>60</v>
      </c>
      <c r="AH10" s="53" t="s">
        <v>60</v>
      </c>
      <c r="AI10" s="53" t="s">
        <v>60</v>
      </c>
      <c r="AJ10" s="53" t="s">
        <v>60</v>
      </c>
      <c r="AK10" s="53" t="s">
        <v>60</v>
      </c>
      <c r="AL10" s="53">
        <v>74.459999999999994</v>
      </c>
      <c r="AM10" s="53" t="s">
        <v>60</v>
      </c>
      <c r="AN10" s="65" t="s">
        <v>60</v>
      </c>
      <c r="AO10" s="5" t="s">
        <v>60</v>
      </c>
      <c r="AP10" s="3" t="s">
        <v>230</v>
      </c>
      <c r="AQ10" s="3" t="s">
        <v>231</v>
      </c>
      <c r="AR10" s="3" t="s">
        <v>232</v>
      </c>
      <c r="AS10" s="3" t="s">
        <v>60</v>
      </c>
      <c r="AT10" s="3" t="s">
        <v>233</v>
      </c>
      <c r="AU10" s="3" t="s">
        <v>106</v>
      </c>
      <c r="AV10" s="3" t="s">
        <v>234</v>
      </c>
      <c r="AW10" s="3" t="s">
        <v>235</v>
      </c>
      <c r="AX10" s="3" t="s">
        <v>109</v>
      </c>
      <c r="AY10" s="3" t="s">
        <v>60</v>
      </c>
      <c r="AZ10" s="5" t="s">
        <v>60</v>
      </c>
      <c r="BA10" s="3" t="s">
        <v>87</v>
      </c>
      <c r="BB10" s="5" t="s">
        <v>233</v>
      </c>
      <c r="BC10" s="5" t="s">
        <v>60</v>
      </c>
      <c r="BD10" s="3" t="s">
        <v>60</v>
      </c>
      <c r="BE10" s="3" t="s">
        <v>88</v>
      </c>
      <c r="BF10" s="3" t="s">
        <v>88</v>
      </c>
    </row>
    <row r="11" spans="1:58" x14ac:dyDescent="0.2">
      <c r="A11" s="2" t="s">
        <v>236</v>
      </c>
      <c r="B11" s="2" t="s">
        <v>237</v>
      </c>
      <c r="C11" s="2" t="s">
        <v>60</v>
      </c>
      <c r="D11" s="2" t="s">
        <v>60</v>
      </c>
      <c r="E11" s="2" t="s">
        <v>60</v>
      </c>
      <c r="F11" s="2" t="s">
        <v>238</v>
      </c>
      <c r="G11" s="2" t="s">
        <v>239</v>
      </c>
      <c r="H11" s="2" t="s">
        <v>60</v>
      </c>
      <c r="I11" s="2" t="s">
        <v>60</v>
      </c>
      <c r="J11" s="2" t="s">
        <v>60</v>
      </c>
      <c r="K11" s="2" t="s">
        <v>236</v>
      </c>
      <c r="L11" s="2" t="s">
        <v>240</v>
      </c>
      <c r="M11" s="2" t="s">
        <v>241</v>
      </c>
      <c r="N11" s="2" t="s">
        <v>242</v>
      </c>
      <c r="O11" s="2" t="s">
        <v>243</v>
      </c>
      <c r="P11" s="2" t="s">
        <v>244</v>
      </c>
      <c r="Q11" s="2" t="s">
        <v>67</v>
      </c>
      <c r="R11" s="2" t="s">
        <v>245</v>
      </c>
      <c r="S11" s="2" t="s">
        <v>96</v>
      </c>
      <c r="T11" s="16">
        <v>1946.18</v>
      </c>
      <c r="U11" s="2" t="s">
        <v>97</v>
      </c>
      <c r="V11" s="2" t="s">
        <v>71</v>
      </c>
      <c r="W11" s="2" t="s">
        <v>175</v>
      </c>
      <c r="X11" s="8" t="str">
        <f>HYPERLINK("http://www.uacc.com.sa", "www.uacc.com.sa")</f>
        <v>www.uacc.com.sa</v>
      </c>
      <c r="Y11" s="8" t="str">
        <f>HYPERLINK("http://www.linkedin.com/company/umm-alqurra-cement-co-", "http://www.linkedin.com/company/umm-alqurra-cement-co-")</f>
        <v>http://www.linkedin.com/company/umm-alqurra-cement-co-</v>
      </c>
      <c r="Z11" s="28" t="s">
        <v>60</v>
      </c>
      <c r="AA11" s="2" t="s">
        <v>60</v>
      </c>
      <c r="AB11" s="2" t="s">
        <v>74</v>
      </c>
      <c r="AC11" s="2" t="s">
        <v>246</v>
      </c>
      <c r="AD11" s="40">
        <v>2013</v>
      </c>
      <c r="AE11" s="2" t="s">
        <v>60</v>
      </c>
      <c r="AF11" s="52">
        <v>71.53</v>
      </c>
      <c r="AG11" s="52">
        <v>19.45</v>
      </c>
      <c r="AH11" s="52">
        <v>10.73</v>
      </c>
      <c r="AI11" s="52">
        <v>281.49</v>
      </c>
      <c r="AJ11" s="52">
        <v>26.78</v>
      </c>
      <c r="AK11" s="52">
        <v>12.39</v>
      </c>
      <c r="AL11" s="52">
        <v>189.27</v>
      </c>
      <c r="AM11" s="52">
        <v>55.79</v>
      </c>
      <c r="AN11" s="64">
        <v>10.34</v>
      </c>
      <c r="AO11" s="4" t="s">
        <v>179</v>
      </c>
      <c r="AP11" s="2" t="s">
        <v>247</v>
      </c>
      <c r="AQ11" s="2" t="s">
        <v>248</v>
      </c>
      <c r="AR11" s="2" t="s">
        <v>79</v>
      </c>
      <c r="AS11" s="2" t="s">
        <v>249</v>
      </c>
      <c r="AT11" s="2" t="s">
        <v>250</v>
      </c>
      <c r="AU11" s="2" t="s">
        <v>106</v>
      </c>
      <c r="AV11" s="2" t="s">
        <v>251</v>
      </c>
      <c r="AW11" s="2" t="s">
        <v>252</v>
      </c>
      <c r="AX11" s="2" t="s">
        <v>109</v>
      </c>
      <c r="AY11" s="2" t="s">
        <v>60</v>
      </c>
      <c r="AZ11" s="4" t="s">
        <v>60</v>
      </c>
      <c r="BA11" s="2" t="s">
        <v>87</v>
      </c>
      <c r="BB11" s="4" t="s">
        <v>250</v>
      </c>
      <c r="BC11" s="4" t="s">
        <v>60</v>
      </c>
      <c r="BD11" s="2" t="s">
        <v>253</v>
      </c>
      <c r="BE11" s="2" t="s">
        <v>88</v>
      </c>
      <c r="BF11" s="2" t="s">
        <v>88</v>
      </c>
    </row>
    <row r="12" spans="1:58" x14ac:dyDescent="0.2">
      <c r="A12" s="3" t="s">
        <v>254</v>
      </c>
      <c r="B12" s="3" t="s">
        <v>255</v>
      </c>
      <c r="C12" s="3" t="s">
        <v>60</v>
      </c>
      <c r="D12" s="3" t="s">
        <v>60</v>
      </c>
      <c r="E12" s="3" t="s">
        <v>60</v>
      </c>
      <c r="F12" s="3" t="s">
        <v>256</v>
      </c>
      <c r="G12" s="3" t="s">
        <v>257</v>
      </c>
      <c r="H12" s="3" t="s">
        <v>60</v>
      </c>
      <c r="I12" s="3" t="s">
        <v>60</v>
      </c>
      <c r="J12" s="3" t="s">
        <v>258</v>
      </c>
      <c r="K12" s="3" t="s">
        <v>254</v>
      </c>
      <c r="L12" s="3" t="s">
        <v>259</v>
      </c>
      <c r="M12" s="3" t="s">
        <v>63</v>
      </c>
      <c r="N12" s="3" t="s">
        <v>64</v>
      </c>
      <c r="O12" s="3" t="s">
        <v>65</v>
      </c>
      <c r="P12" s="3" t="s">
        <v>66</v>
      </c>
      <c r="Q12" s="3" t="s">
        <v>260</v>
      </c>
      <c r="R12" s="3" t="s">
        <v>261</v>
      </c>
      <c r="S12" s="3" t="s">
        <v>96</v>
      </c>
      <c r="T12" s="17" t="s">
        <v>60</v>
      </c>
      <c r="U12" s="3" t="s">
        <v>70</v>
      </c>
      <c r="V12" s="3" t="s">
        <v>71</v>
      </c>
      <c r="W12" s="3" t="s">
        <v>175</v>
      </c>
      <c r="X12" s="9" t="str">
        <f>HYPERLINK("http://www.ycc.sa", "www.ycc.sa")</f>
        <v>www.ycc.sa</v>
      </c>
      <c r="Y12" s="9" t="str">
        <f>HYPERLINK("http://www.linkedin.com/company/yanbu-cement-company", "http://www.linkedin.com/company/yanbu-cement-company")</f>
        <v>http://www.linkedin.com/company/yanbu-cement-company</v>
      </c>
      <c r="Z12" s="29">
        <v>1000</v>
      </c>
      <c r="AA12" s="3" t="s">
        <v>262</v>
      </c>
      <c r="AB12" s="3" t="s">
        <v>74</v>
      </c>
      <c r="AC12" s="3" t="s">
        <v>263</v>
      </c>
      <c r="AD12" s="41">
        <v>1977</v>
      </c>
      <c r="AE12" s="3" t="s">
        <v>60</v>
      </c>
      <c r="AF12" s="53">
        <v>281.99</v>
      </c>
      <c r="AG12" s="53">
        <v>75.709999999999994</v>
      </c>
      <c r="AH12" s="53">
        <v>28.71</v>
      </c>
      <c r="AI12" s="53">
        <v>749.83</v>
      </c>
      <c r="AJ12" s="53">
        <v>80.7</v>
      </c>
      <c r="AK12" s="53">
        <v>35.82</v>
      </c>
      <c r="AL12" s="53">
        <v>644.79</v>
      </c>
      <c r="AM12" s="53">
        <v>16.61</v>
      </c>
      <c r="AN12" s="65">
        <v>18.23</v>
      </c>
      <c r="AO12" s="5" t="s">
        <v>179</v>
      </c>
      <c r="AP12" s="3" t="s">
        <v>264</v>
      </c>
      <c r="AQ12" s="3" t="s">
        <v>265</v>
      </c>
      <c r="AR12" s="3" t="s">
        <v>266</v>
      </c>
      <c r="AS12" s="3" t="s">
        <v>60</v>
      </c>
      <c r="AT12" s="3" t="s">
        <v>267</v>
      </c>
      <c r="AU12" s="3" t="s">
        <v>82</v>
      </c>
      <c r="AV12" s="3" t="s">
        <v>268</v>
      </c>
      <c r="AW12" s="3" t="s">
        <v>60</v>
      </c>
      <c r="AX12" s="3" t="s">
        <v>85</v>
      </c>
      <c r="AY12" s="3" t="s">
        <v>60</v>
      </c>
      <c r="AZ12" s="5" t="s">
        <v>269</v>
      </c>
      <c r="BA12" s="3" t="s">
        <v>87</v>
      </c>
      <c r="BB12" s="5" t="s">
        <v>267</v>
      </c>
      <c r="BC12" s="5" t="s">
        <v>270</v>
      </c>
      <c r="BD12" s="3" t="s">
        <v>60</v>
      </c>
      <c r="BE12" s="3" t="s">
        <v>88</v>
      </c>
      <c r="BF12" s="3" t="s">
        <v>88</v>
      </c>
    </row>
    <row r="13" spans="1:58" x14ac:dyDescent="0.2">
      <c r="A13" s="2" t="s">
        <v>271</v>
      </c>
      <c r="B13" s="2" t="s">
        <v>272</v>
      </c>
      <c r="C13" s="2" t="s">
        <v>60</v>
      </c>
      <c r="D13" s="2" t="s">
        <v>60</v>
      </c>
      <c r="E13" s="2" t="s">
        <v>60</v>
      </c>
      <c r="F13" s="2" t="s">
        <v>60</v>
      </c>
      <c r="G13" s="2" t="s">
        <v>273</v>
      </c>
      <c r="H13" s="2" t="s">
        <v>60</v>
      </c>
      <c r="I13" s="2" t="s">
        <v>60</v>
      </c>
      <c r="J13" s="2" t="s">
        <v>60</v>
      </c>
      <c r="K13" s="2" t="s">
        <v>271</v>
      </c>
      <c r="L13" s="2" t="s">
        <v>274</v>
      </c>
      <c r="M13" s="2" t="s">
        <v>115</v>
      </c>
      <c r="N13" s="2" t="s">
        <v>275</v>
      </c>
      <c r="O13" s="2" t="s">
        <v>276</v>
      </c>
      <c r="P13" s="2" t="s">
        <v>277</v>
      </c>
      <c r="Q13" s="2" t="s">
        <v>60</v>
      </c>
      <c r="R13" s="2" t="s">
        <v>278</v>
      </c>
      <c r="S13" s="2" t="s">
        <v>96</v>
      </c>
      <c r="T13" s="16" t="s">
        <v>60</v>
      </c>
      <c r="U13" s="2" t="s">
        <v>97</v>
      </c>
      <c r="V13" s="2" t="s">
        <v>71</v>
      </c>
      <c r="W13" s="2" t="s">
        <v>98</v>
      </c>
      <c r="X13" s="8" t="str">
        <f>HYPERLINK("http://www.jamjoomfashion.com", "www.jamjoomfashion.com")</f>
        <v>www.jamjoomfashion.com</v>
      </c>
      <c r="Y13" s="8" t="str">
        <f>HYPERLINK("http://www.linkedin.com/company/jamjoom-fashion", "http://www.linkedin.com/company/jamjoom-fashion")</f>
        <v>http://www.linkedin.com/company/jamjoom-fashion</v>
      </c>
      <c r="Z13" s="28">
        <v>725</v>
      </c>
      <c r="AA13" s="2" t="s">
        <v>279</v>
      </c>
      <c r="AB13" s="2" t="s">
        <v>74</v>
      </c>
      <c r="AC13" s="2" t="s">
        <v>280</v>
      </c>
      <c r="AD13" s="40">
        <v>2023</v>
      </c>
      <c r="AE13" s="2" t="s">
        <v>60</v>
      </c>
      <c r="AF13" s="52">
        <v>189.3</v>
      </c>
      <c r="AG13" s="52">
        <v>132.13</v>
      </c>
      <c r="AH13" s="52">
        <v>27.93</v>
      </c>
      <c r="AI13" s="52">
        <v>290.42</v>
      </c>
      <c r="AJ13" s="52">
        <v>67.55</v>
      </c>
      <c r="AK13" s="52">
        <v>32.39</v>
      </c>
      <c r="AL13" s="52">
        <v>332.36</v>
      </c>
      <c r="AM13" s="52">
        <v>43.79</v>
      </c>
      <c r="AN13" s="64">
        <v>16.13</v>
      </c>
      <c r="AO13" s="4" t="s">
        <v>141</v>
      </c>
      <c r="AP13" s="2" t="s">
        <v>281</v>
      </c>
      <c r="AQ13" s="2" t="s">
        <v>282</v>
      </c>
      <c r="AR13" s="2" t="s">
        <v>283</v>
      </c>
      <c r="AS13" s="2" t="s">
        <v>284</v>
      </c>
      <c r="AT13" s="2" t="s">
        <v>285</v>
      </c>
      <c r="AU13" s="2" t="s">
        <v>82</v>
      </c>
      <c r="AV13" s="2" t="s">
        <v>286</v>
      </c>
      <c r="AW13" s="2" t="s">
        <v>287</v>
      </c>
      <c r="AX13" s="2" t="s">
        <v>85</v>
      </c>
      <c r="AY13" s="2" t="s">
        <v>60</v>
      </c>
      <c r="AZ13" s="4" t="s">
        <v>60</v>
      </c>
      <c r="BA13" s="2" t="s">
        <v>87</v>
      </c>
      <c r="BB13" s="4" t="s">
        <v>285</v>
      </c>
      <c r="BC13" s="4" t="s">
        <v>60</v>
      </c>
      <c r="BD13" s="2" t="s">
        <v>60</v>
      </c>
      <c r="BE13" s="2" t="s">
        <v>88</v>
      </c>
      <c r="BF13" s="2" t="s">
        <v>88</v>
      </c>
    </row>
    <row r="14" spans="1:58" x14ac:dyDescent="0.2">
      <c r="A14" s="3" t="s">
        <v>288</v>
      </c>
      <c r="B14" s="3" t="s">
        <v>289</v>
      </c>
      <c r="C14" s="3" t="s">
        <v>60</v>
      </c>
      <c r="D14" s="3" t="s">
        <v>60</v>
      </c>
      <c r="E14" s="3" t="s">
        <v>60</v>
      </c>
      <c r="F14" s="3" t="s">
        <v>60</v>
      </c>
      <c r="G14" s="3" t="s">
        <v>290</v>
      </c>
      <c r="H14" s="3" t="s">
        <v>60</v>
      </c>
      <c r="I14" s="3" t="s">
        <v>60</v>
      </c>
      <c r="J14" s="3" t="s">
        <v>60</v>
      </c>
      <c r="K14" s="3" t="s">
        <v>288</v>
      </c>
      <c r="L14" s="3" t="s">
        <v>291</v>
      </c>
      <c r="M14" s="3" t="s">
        <v>63</v>
      </c>
      <c r="N14" s="3" t="s">
        <v>292</v>
      </c>
      <c r="O14" s="3" t="s">
        <v>293</v>
      </c>
      <c r="P14" s="3" t="s">
        <v>294</v>
      </c>
      <c r="Q14" s="3" t="s">
        <v>60</v>
      </c>
      <c r="R14" s="3" t="s">
        <v>295</v>
      </c>
      <c r="S14" s="3" t="s">
        <v>96</v>
      </c>
      <c r="T14" s="17">
        <v>15.24</v>
      </c>
      <c r="U14" s="3" t="s">
        <v>70</v>
      </c>
      <c r="V14" s="3" t="s">
        <v>71</v>
      </c>
      <c r="W14" s="3" t="s">
        <v>98</v>
      </c>
      <c r="X14" s="9" t="str">
        <f>HYPERLINK("http://www.h-saedan.sa", "www.h-saedan.sa")</f>
        <v>www.h-saedan.sa</v>
      </c>
      <c r="Y14" s="9" t="str">
        <f>HYPERLINK("http://www.linkedin.com/company/hamad-mohammed-bin-saedan-realestate-co", "http://www.linkedin.com/company/hamad-mohammed-bin-saedan-realestate-co")</f>
        <v>http://www.linkedin.com/company/hamad-mohammed-bin-saedan-realestate-co</v>
      </c>
      <c r="Z14" s="29" t="s">
        <v>60</v>
      </c>
      <c r="AA14" s="3" t="s">
        <v>60</v>
      </c>
      <c r="AB14" s="3" t="s">
        <v>74</v>
      </c>
      <c r="AC14" s="3" t="s">
        <v>296</v>
      </c>
      <c r="AD14" s="41">
        <v>1969</v>
      </c>
      <c r="AE14" s="3" t="s">
        <v>60</v>
      </c>
      <c r="AF14" s="53" t="s">
        <v>60</v>
      </c>
      <c r="AG14" s="53" t="s">
        <v>60</v>
      </c>
      <c r="AH14" s="53" t="s">
        <v>60</v>
      </c>
      <c r="AI14" s="53" t="s">
        <v>60</v>
      </c>
      <c r="AJ14" s="53" t="s">
        <v>60</v>
      </c>
      <c r="AK14" s="53" t="s">
        <v>60</v>
      </c>
      <c r="AL14" s="53">
        <v>48.88</v>
      </c>
      <c r="AM14" s="53" t="s">
        <v>60</v>
      </c>
      <c r="AN14" s="65" t="s">
        <v>60</v>
      </c>
      <c r="AO14" s="5" t="s">
        <v>60</v>
      </c>
      <c r="AP14" s="3" t="s">
        <v>297</v>
      </c>
      <c r="AQ14" s="3" t="s">
        <v>298</v>
      </c>
      <c r="AR14" s="3" t="s">
        <v>299</v>
      </c>
      <c r="AS14" s="3" t="s">
        <v>60</v>
      </c>
      <c r="AT14" s="3" t="s">
        <v>60</v>
      </c>
      <c r="AU14" s="3" t="s">
        <v>106</v>
      </c>
      <c r="AV14" s="3" t="s">
        <v>300</v>
      </c>
      <c r="AW14" s="3" t="s">
        <v>301</v>
      </c>
      <c r="AX14" s="3" t="s">
        <v>109</v>
      </c>
      <c r="AY14" s="3" t="s">
        <v>60</v>
      </c>
      <c r="AZ14" s="5" t="s">
        <v>60</v>
      </c>
      <c r="BA14" s="3" t="s">
        <v>87</v>
      </c>
      <c r="BB14" s="5" t="s">
        <v>60</v>
      </c>
      <c r="BC14" s="5" t="s">
        <v>60</v>
      </c>
      <c r="BD14" s="3" t="s">
        <v>302</v>
      </c>
      <c r="BE14" s="3" t="s">
        <v>88</v>
      </c>
      <c r="BF14" s="3" t="s">
        <v>88</v>
      </c>
    </row>
    <row r="15" spans="1:58" x14ac:dyDescent="0.2">
      <c r="A15" s="2" t="s">
        <v>303</v>
      </c>
      <c r="B15" s="2" t="s">
        <v>304</v>
      </c>
      <c r="C15" s="2" t="s">
        <v>60</v>
      </c>
      <c r="D15" s="2" t="s">
        <v>60</v>
      </c>
      <c r="E15" s="2" t="s">
        <v>60</v>
      </c>
      <c r="F15" s="2" t="s">
        <v>305</v>
      </c>
      <c r="G15" s="2" t="s">
        <v>306</v>
      </c>
      <c r="H15" s="2" t="s">
        <v>60</v>
      </c>
      <c r="I15" s="2" t="s">
        <v>60</v>
      </c>
      <c r="J15" s="2" t="s">
        <v>60</v>
      </c>
      <c r="K15" s="2" t="s">
        <v>303</v>
      </c>
      <c r="L15" s="2" t="s">
        <v>307</v>
      </c>
      <c r="M15" s="2" t="s">
        <v>115</v>
      </c>
      <c r="N15" s="2" t="s">
        <v>308</v>
      </c>
      <c r="O15" s="2" t="s">
        <v>309</v>
      </c>
      <c r="P15" s="2" t="s">
        <v>310</v>
      </c>
      <c r="Q15" s="2" t="s">
        <v>311</v>
      </c>
      <c r="R15" s="2" t="s">
        <v>312</v>
      </c>
      <c r="S15" s="2" t="s">
        <v>96</v>
      </c>
      <c r="T15" s="16" t="s">
        <v>60</v>
      </c>
      <c r="U15" s="2" t="s">
        <v>70</v>
      </c>
      <c r="V15" s="2" t="s">
        <v>71</v>
      </c>
      <c r="W15" s="2" t="s">
        <v>98</v>
      </c>
      <c r="X15" s="8" t="str">
        <f>HYPERLINK("http://www.cenomiretail.com", "www.cenomiretail.com")</f>
        <v>www.cenomiretail.com</v>
      </c>
      <c r="Y15" s="8" t="str">
        <f>HYPERLINK("http://www.linkedin.com/company/cenomiretail", "http://www.linkedin.com/company/cenomiretail")</f>
        <v>http://www.linkedin.com/company/cenomiretail</v>
      </c>
      <c r="Z15" s="28">
        <v>4637</v>
      </c>
      <c r="AA15" s="2" t="s">
        <v>313</v>
      </c>
      <c r="AB15" s="2" t="s">
        <v>74</v>
      </c>
      <c r="AC15" s="2" t="s">
        <v>314</v>
      </c>
      <c r="AD15" s="40">
        <v>1990</v>
      </c>
      <c r="AE15" s="2" t="s">
        <v>60</v>
      </c>
      <c r="AF15" s="52">
        <v>1325.93</v>
      </c>
      <c r="AG15" s="52">
        <v>186.79</v>
      </c>
      <c r="AH15" s="52">
        <v>-96.13</v>
      </c>
      <c r="AI15" s="52">
        <v>1689.21</v>
      </c>
      <c r="AJ15" s="52">
        <v>119.5</v>
      </c>
      <c r="AK15" s="52">
        <v>-4.2300000000000004</v>
      </c>
      <c r="AL15" s="52">
        <v>512.34</v>
      </c>
      <c r="AM15" s="52">
        <v>1102.6099999999999</v>
      </c>
      <c r="AN15" s="64">
        <v>24.91</v>
      </c>
      <c r="AO15" s="4" t="s">
        <v>179</v>
      </c>
      <c r="AP15" s="2" t="s">
        <v>315</v>
      </c>
      <c r="AQ15" s="2" t="s">
        <v>316</v>
      </c>
      <c r="AR15" s="2" t="s">
        <v>317</v>
      </c>
      <c r="AS15" s="2" t="s">
        <v>318</v>
      </c>
      <c r="AT15" s="2" t="s">
        <v>319</v>
      </c>
      <c r="AU15" s="2" t="s">
        <v>106</v>
      </c>
      <c r="AV15" s="2" t="s">
        <v>320</v>
      </c>
      <c r="AW15" s="2" t="s">
        <v>321</v>
      </c>
      <c r="AX15" s="2" t="s">
        <v>109</v>
      </c>
      <c r="AY15" s="2" t="s">
        <v>60</v>
      </c>
      <c r="AZ15" s="4" t="s">
        <v>322</v>
      </c>
      <c r="BA15" s="2" t="s">
        <v>87</v>
      </c>
      <c r="BB15" s="4" t="s">
        <v>319</v>
      </c>
      <c r="BC15" s="4" t="s">
        <v>319</v>
      </c>
      <c r="BD15" s="2" t="s">
        <v>323</v>
      </c>
      <c r="BE15" s="2" t="s">
        <v>88</v>
      </c>
      <c r="BF15" s="2" t="s">
        <v>88</v>
      </c>
    </row>
    <row r="16" spans="1:58" x14ac:dyDescent="0.2">
      <c r="A16" s="3" t="s">
        <v>324</v>
      </c>
      <c r="B16" s="3" t="s">
        <v>325</v>
      </c>
      <c r="C16" s="3" t="s">
        <v>60</v>
      </c>
      <c r="D16" s="3" t="s">
        <v>60</v>
      </c>
      <c r="E16" s="3" t="s">
        <v>60</v>
      </c>
      <c r="F16" s="3" t="s">
        <v>60</v>
      </c>
      <c r="G16" s="3" t="s">
        <v>326</v>
      </c>
      <c r="H16" s="3" t="s">
        <v>60</v>
      </c>
      <c r="I16" s="3" t="s">
        <v>60</v>
      </c>
      <c r="J16" s="3" t="s">
        <v>60</v>
      </c>
      <c r="K16" s="3" t="s">
        <v>324</v>
      </c>
      <c r="L16" s="3" t="s">
        <v>327</v>
      </c>
      <c r="M16" s="3" t="s">
        <v>328</v>
      </c>
      <c r="N16" s="3" t="s">
        <v>329</v>
      </c>
      <c r="O16" s="3" t="s">
        <v>330</v>
      </c>
      <c r="P16" s="3" t="s">
        <v>331</v>
      </c>
      <c r="Q16" s="3" t="s">
        <v>60</v>
      </c>
      <c r="R16" s="3" t="s">
        <v>332</v>
      </c>
      <c r="S16" s="3" t="s">
        <v>96</v>
      </c>
      <c r="T16" s="17">
        <v>3.8</v>
      </c>
      <c r="U16" s="3" t="s">
        <v>70</v>
      </c>
      <c r="V16" s="3" t="s">
        <v>71</v>
      </c>
      <c r="W16" s="3" t="s">
        <v>98</v>
      </c>
      <c r="X16" s="9" t="str">
        <f>HYPERLINK("http://www.wajdlife.com", "www.wajdlife.com")</f>
        <v>www.wajdlife.com</v>
      </c>
      <c r="Y16" s="9" t="str">
        <f>HYPERLINK("http://www.linkedin.com/company/wajdlife", "http://www.linkedin.com/company/wajdlife")</f>
        <v>http://www.linkedin.com/company/wajdlife</v>
      </c>
      <c r="Z16" s="29" t="s">
        <v>60</v>
      </c>
      <c r="AA16" s="3" t="s">
        <v>60</v>
      </c>
      <c r="AB16" s="3" t="s">
        <v>74</v>
      </c>
      <c r="AC16" s="3" t="s">
        <v>333</v>
      </c>
      <c r="AD16" s="41">
        <v>2013</v>
      </c>
      <c r="AE16" s="3" t="s">
        <v>60</v>
      </c>
      <c r="AF16" s="53" t="s">
        <v>60</v>
      </c>
      <c r="AG16" s="53" t="s">
        <v>60</v>
      </c>
      <c r="AH16" s="53" t="s">
        <v>60</v>
      </c>
      <c r="AI16" s="53" t="s">
        <v>60</v>
      </c>
      <c r="AJ16" s="53" t="s">
        <v>60</v>
      </c>
      <c r="AK16" s="53" t="s">
        <v>60</v>
      </c>
      <c r="AL16" s="53">
        <v>18.45</v>
      </c>
      <c r="AM16" s="53" t="s">
        <v>60</v>
      </c>
      <c r="AN16" s="65" t="s">
        <v>60</v>
      </c>
      <c r="AO16" s="5" t="s">
        <v>60</v>
      </c>
      <c r="AP16" s="3" t="s">
        <v>334</v>
      </c>
      <c r="AQ16" s="3" t="s">
        <v>335</v>
      </c>
      <c r="AR16" s="3" t="s">
        <v>124</v>
      </c>
      <c r="AS16" s="3" t="s">
        <v>60</v>
      </c>
      <c r="AT16" s="3" t="s">
        <v>60</v>
      </c>
      <c r="AU16" s="3" t="s">
        <v>106</v>
      </c>
      <c r="AV16" s="3" t="s">
        <v>336</v>
      </c>
      <c r="AW16" s="3" t="s">
        <v>60</v>
      </c>
      <c r="AX16" s="3" t="s">
        <v>109</v>
      </c>
      <c r="AY16" s="3" t="s">
        <v>60</v>
      </c>
      <c r="AZ16" s="5" t="s">
        <v>60</v>
      </c>
      <c r="BA16" s="3" t="s">
        <v>87</v>
      </c>
      <c r="BB16" s="5" t="s">
        <v>60</v>
      </c>
      <c r="BC16" s="5" t="s">
        <v>60</v>
      </c>
      <c r="BD16" s="3" t="s">
        <v>337</v>
      </c>
      <c r="BE16" s="3" t="s">
        <v>88</v>
      </c>
      <c r="BF16" s="3" t="s">
        <v>88</v>
      </c>
    </row>
    <row r="17" spans="1:58" x14ac:dyDescent="0.2">
      <c r="A17" s="2" t="s">
        <v>338</v>
      </c>
      <c r="B17" s="2" t="s">
        <v>339</v>
      </c>
      <c r="C17" s="2" t="s">
        <v>60</v>
      </c>
      <c r="D17" s="2" t="s">
        <v>60</v>
      </c>
      <c r="E17" s="2" t="s">
        <v>60</v>
      </c>
      <c r="F17" s="2" t="s">
        <v>60</v>
      </c>
      <c r="G17" s="2" t="s">
        <v>340</v>
      </c>
      <c r="H17" s="2" t="s">
        <v>60</v>
      </c>
      <c r="I17" s="2" t="s">
        <v>60</v>
      </c>
      <c r="J17" s="2" t="s">
        <v>60</v>
      </c>
      <c r="K17" s="2" t="s">
        <v>338</v>
      </c>
      <c r="L17" s="2" t="s">
        <v>341</v>
      </c>
      <c r="M17" s="2" t="s">
        <v>63</v>
      </c>
      <c r="N17" s="2" t="s">
        <v>92</v>
      </c>
      <c r="O17" s="2" t="s">
        <v>342</v>
      </c>
      <c r="P17" s="2" t="s">
        <v>343</v>
      </c>
      <c r="Q17" s="2" t="s">
        <v>60</v>
      </c>
      <c r="R17" s="2" t="s">
        <v>344</v>
      </c>
      <c r="S17" s="2" t="s">
        <v>96</v>
      </c>
      <c r="T17" s="16">
        <v>4.8</v>
      </c>
      <c r="U17" s="2" t="s">
        <v>97</v>
      </c>
      <c r="V17" s="2" t="s">
        <v>71</v>
      </c>
      <c r="W17" s="2" t="s">
        <v>98</v>
      </c>
      <c r="X17" s="8" t="str">
        <f>HYPERLINK("http://www.signworldme.com", "www.signworldme.com")</f>
        <v>www.signworldme.com</v>
      </c>
      <c r="Y17" s="8" t="str">
        <f>HYPERLINK("http://www.linkedin.com/company/sign-world-me", "http://www.linkedin.com/company/sign-world-me")</f>
        <v>http://www.linkedin.com/company/sign-world-me</v>
      </c>
      <c r="Z17" s="28" t="s">
        <v>60</v>
      </c>
      <c r="AA17" s="2" t="s">
        <v>60</v>
      </c>
      <c r="AB17" s="2" t="s">
        <v>74</v>
      </c>
      <c r="AC17" s="2" t="s">
        <v>345</v>
      </c>
      <c r="AD17" s="40">
        <v>2011</v>
      </c>
      <c r="AE17" s="2" t="s">
        <v>60</v>
      </c>
      <c r="AF17" s="52" t="s">
        <v>60</v>
      </c>
      <c r="AG17" s="52" t="s">
        <v>60</v>
      </c>
      <c r="AH17" s="52" t="s">
        <v>60</v>
      </c>
      <c r="AI17" s="52" t="s">
        <v>60</v>
      </c>
      <c r="AJ17" s="52" t="s">
        <v>60</v>
      </c>
      <c r="AK17" s="52" t="s">
        <v>60</v>
      </c>
      <c r="AL17" s="52">
        <v>25.21</v>
      </c>
      <c r="AM17" s="52" t="s">
        <v>60</v>
      </c>
      <c r="AN17" s="64" t="s">
        <v>60</v>
      </c>
      <c r="AO17" s="4" t="s">
        <v>60</v>
      </c>
      <c r="AP17" s="2" t="s">
        <v>346</v>
      </c>
      <c r="AQ17" s="2" t="s">
        <v>347</v>
      </c>
      <c r="AR17" s="2" t="s">
        <v>299</v>
      </c>
      <c r="AS17" s="2" t="s">
        <v>60</v>
      </c>
      <c r="AT17" s="2" t="s">
        <v>348</v>
      </c>
      <c r="AU17" s="2" t="s">
        <v>106</v>
      </c>
      <c r="AV17" s="2" t="s">
        <v>349</v>
      </c>
      <c r="AW17" s="2" t="s">
        <v>60</v>
      </c>
      <c r="AX17" s="2" t="s">
        <v>109</v>
      </c>
      <c r="AY17" s="2" t="s">
        <v>60</v>
      </c>
      <c r="AZ17" s="4" t="s">
        <v>350</v>
      </c>
      <c r="BA17" s="2" t="s">
        <v>87</v>
      </c>
      <c r="BB17" s="4" t="s">
        <v>348</v>
      </c>
      <c r="BC17" s="4" t="s">
        <v>60</v>
      </c>
      <c r="BD17" s="2" t="s">
        <v>60</v>
      </c>
      <c r="BE17" s="2" t="s">
        <v>88</v>
      </c>
      <c r="BF17" s="2" t="s">
        <v>88</v>
      </c>
    </row>
    <row r="18" spans="1:58" x14ac:dyDescent="0.2">
      <c r="A18" s="3" t="s">
        <v>351</v>
      </c>
      <c r="B18" s="3" t="s">
        <v>352</v>
      </c>
      <c r="C18" s="3" t="s">
        <v>60</v>
      </c>
      <c r="D18" s="3" t="s">
        <v>60</v>
      </c>
      <c r="E18" s="3" t="s">
        <v>60</v>
      </c>
      <c r="F18" s="3" t="s">
        <v>60</v>
      </c>
      <c r="G18" s="3" t="s">
        <v>353</v>
      </c>
      <c r="H18" s="3" t="s">
        <v>60</v>
      </c>
      <c r="I18" s="3" t="s">
        <v>60</v>
      </c>
      <c r="J18" s="3" t="s">
        <v>60</v>
      </c>
      <c r="K18" s="3" t="s">
        <v>351</v>
      </c>
      <c r="L18" s="3" t="s">
        <v>354</v>
      </c>
      <c r="M18" s="3" t="s">
        <v>63</v>
      </c>
      <c r="N18" s="3" t="s">
        <v>64</v>
      </c>
      <c r="O18" s="3" t="s">
        <v>65</v>
      </c>
      <c r="P18" s="3" t="s">
        <v>355</v>
      </c>
      <c r="Q18" s="3" t="s">
        <v>60</v>
      </c>
      <c r="R18" s="3" t="s">
        <v>356</v>
      </c>
      <c r="S18" s="3" t="s">
        <v>96</v>
      </c>
      <c r="T18" s="17" t="s">
        <v>60</v>
      </c>
      <c r="U18" s="3" t="s">
        <v>97</v>
      </c>
      <c r="V18" s="3" t="s">
        <v>71</v>
      </c>
      <c r="W18" s="3" t="s">
        <v>98</v>
      </c>
      <c r="X18" s="9" t="str">
        <f>HYPERLINK("http://www.mhg-int.com", "www.mhg-int.com")</f>
        <v>www.mhg-int.com</v>
      </c>
      <c r="Y18" s="9" t="str">
        <f>HYPERLINK("http://www.linkedin.com/company/marketing-home-group", "http://www.linkedin.com/company/marketing-home-group")</f>
        <v>http://www.linkedin.com/company/marketing-home-group</v>
      </c>
      <c r="Z18" s="29" t="s">
        <v>60</v>
      </c>
      <c r="AA18" s="3" t="s">
        <v>60</v>
      </c>
      <c r="AB18" s="3" t="s">
        <v>74</v>
      </c>
      <c r="AC18" s="3" t="s">
        <v>357</v>
      </c>
      <c r="AD18" s="41">
        <v>2005</v>
      </c>
      <c r="AE18" s="3" t="s">
        <v>60</v>
      </c>
      <c r="AF18" s="53" t="s">
        <v>60</v>
      </c>
      <c r="AG18" s="53" t="s">
        <v>60</v>
      </c>
      <c r="AH18" s="53" t="s">
        <v>60</v>
      </c>
      <c r="AI18" s="53" t="s">
        <v>60</v>
      </c>
      <c r="AJ18" s="53" t="s">
        <v>60</v>
      </c>
      <c r="AK18" s="53" t="s">
        <v>60</v>
      </c>
      <c r="AL18" s="53">
        <v>238.02</v>
      </c>
      <c r="AM18" s="53" t="s">
        <v>60</v>
      </c>
      <c r="AN18" s="65" t="s">
        <v>60</v>
      </c>
      <c r="AO18" s="5" t="s">
        <v>60</v>
      </c>
      <c r="AP18" s="3" t="s">
        <v>358</v>
      </c>
      <c r="AQ18" s="3" t="s">
        <v>359</v>
      </c>
      <c r="AR18" s="3" t="s">
        <v>215</v>
      </c>
      <c r="AS18" s="3" t="s">
        <v>60</v>
      </c>
      <c r="AT18" s="3" t="s">
        <v>360</v>
      </c>
      <c r="AU18" s="3" t="s">
        <v>106</v>
      </c>
      <c r="AV18" s="3" t="s">
        <v>361</v>
      </c>
      <c r="AW18" s="3" t="s">
        <v>60</v>
      </c>
      <c r="AX18" s="3" t="s">
        <v>109</v>
      </c>
      <c r="AY18" s="3" t="s">
        <v>60</v>
      </c>
      <c r="AZ18" s="5" t="s">
        <v>362</v>
      </c>
      <c r="BA18" s="3" t="s">
        <v>87</v>
      </c>
      <c r="BB18" s="5" t="s">
        <v>360</v>
      </c>
      <c r="BC18" s="5" t="s">
        <v>363</v>
      </c>
      <c r="BD18" s="3" t="s">
        <v>60</v>
      </c>
      <c r="BE18" s="3" t="s">
        <v>88</v>
      </c>
      <c r="BF18" s="3" t="s">
        <v>88</v>
      </c>
    </row>
    <row r="19" spans="1:58" x14ac:dyDescent="0.2">
      <c r="A19" s="2" t="s">
        <v>364</v>
      </c>
      <c r="B19" s="2" t="s">
        <v>365</v>
      </c>
      <c r="C19" s="2" t="s">
        <v>60</v>
      </c>
      <c r="D19" s="2" t="s">
        <v>60</v>
      </c>
      <c r="E19" s="2" t="s">
        <v>60</v>
      </c>
      <c r="F19" s="2" t="s">
        <v>60</v>
      </c>
      <c r="G19" s="2" t="s">
        <v>366</v>
      </c>
      <c r="H19" s="2" t="s">
        <v>60</v>
      </c>
      <c r="I19" s="2" t="s">
        <v>60</v>
      </c>
      <c r="J19" s="2" t="s">
        <v>60</v>
      </c>
      <c r="K19" s="2" t="s">
        <v>364</v>
      </c>
      <c r="L19" s="2" t="s">
        <v>367</v>
      </c>
      <c r="M19" s="2" t="s">
        <v>115</v>
      </c>
      <c r="N19" s="2" t="s">
        <v>368</v>
      </c>
      <c r="O19" s="2" t="s">
        <v>369</v>
      </c>
      <c r="P19" s="2" t="s">
        <v>370</v>
      </c>
      <c r="Q19" s="2" t="s">
        <v>60</v>
      </c>
      <c r="R19" s="2" t="s">
        <v>371</v>
      </c>
      <c r="S19" s="2" t="s">
        <v>372</v>
      </c>
      <c r="T19" s="16" t="s">
        <v>60</v>
      </c>
      <c r="U19" s="2" t="s">
        <v>70</v>
      </c>
      <c r="V19" s="2" t="s">
        <v>71</v>
      </c>
      <c r="W19" s="2" t="s">
        <v>373</v>
      </c>
      <c r="X19" s="8" t="str">
        <f>HYPERLINK("http://www.bodymastersksa.com", "www.bodymastersksa.com")</f>
        <v>www.bodymastersksa.com</v>
      </c>
      <c r="Y19" s="8" t="str">
        <f>HYPERLINK("http://www.linkedin.com/company/bodymasters", "http://www.linkedin.com/company/bodymasters")</f>
        <v>http://www.linkedin.com/company/bodymasters</v>
      </c>
      <c r="Z19" s="28">
        <v>238</v>
      </c>
      <c r="AA19" s="2" t="s">
        <v>374</v>
      </c>
      <c r="AB19" s="2" t="s">
        <v>60</v>
      </c>
      <c r="AC19" s="2" t="s">
        <v>60</v>
      </c>
      <c r="AD19" s="40">
        <v>1992</v>
      </c>
      <c r="AE19" s="2" t="s">
        <v>60</v>
      </c>
      <c r="AF19" s="52" t="s">
        <v>60</v>
      </c>
      <c r="AG19" s="52" t="s">
        <v>60</v>
      </c>
      <c r="AH19" s="52" t="s">
        <v>60</v>
      </c>
      <c r="AI19" s="52" t="s">
        <v>60</v>
      </c>
      <c r="AJ19" s="52" t="s">
        <v>60</v>
      </c>
      <c r="AK19" s="52" t="s">
        <v>60</v>
      </c>
      <c r="AL19" s="52" t="s">
        <v>60</v>
      </c>
      <c r="AM19" s="52" t="s">
        <v>60</v>
      </c>
      <c r="AN19" s="64" t="s">
        <v>60</v>
      </c>
      <c r="AO19" s="4" t="s">
        <v>60</v>
      </c>
      <c r="AP19" s="2" t="s">
        <v>375</v>
      </c>
      <c r="AQ19" s="2" t="s">
        <v>376</v>
      </c>
      <c r="AR19" s="2" t="s">
        <v>79</v>
      </c>
      <c r="AS19" s="2" t="s">
        <v>377</v>
      </c>
      <c r="AT19" s="2" t="s">
        <v>378</v>
      </c>
      <c r="AU19" s="2" t="s">
        <v>106</v>
      </c>
      <c r="AV19" s="2" t="s">
        <v>379</v>
      </c>
      <c r="AW19" s="2" t="s">
        <v>380</v>
      </c>
      <c r="AX19" s="2" t="s">
        <v>109</v>
      </c>
      <c r="AY19" s="2" t="s">
        <v>60</v>
      </c>
      <c r="AZ19" s="4" t="s">
        <v>381</v>
      </c>
      <c r="BA19" s="2" t="s">
        <v>87</v>
      </c>
      <c r="BB19" s="4" t="s">
        <v>378</v>
      </c>
      <c r="BC19" s="4" t="s">
        <v>60</v>
      </c>
      <c r="BD19" s="2" t="s">
        <v>60</v>
      </c>
      <c r="BE19" s="2" t="s">
        <v>88</v>
      </c>
      <c r="BF19" s="2" t="s">
        <v>88</v>
      </c>
    </row>
    <row r="20" spans="1:58" x14ac:dyDescent="0.2">
      <c r="A20" s="3" t="s">
        <v>382</v>
      </c>
      <c r="B20" s="3" t="s">
        <v>383</v>
      </c>
      <c r="C20" s="3" t="s">
        <v>60</v>
      </c>
      <c r="D20" s="3" t="s">
        <v>60</v>
      </c>
      <c r="E20" s="3" t="s">
        <v>60</v>
      </c>
      <c r="F20" s="3" t="s">
        <v>60</v>
      </c>
      <c r="G20" s="3" t="s">
        <v>384</v>
      </c>
      <c r="H20" s="3" t="s">
        <v>60</v>
      </c>
      <c r="I20" s="3" t="s">
        <v>60</v>
      </c>
      <c r="J20" s="3" t="s">
        <v>60</v>
      </c>
      <c r="K20" s="3" t="s">
        <v>382</v>
      </c>
      <c r="L20" s="3" t="s">
        <v>385</v>
      </c>
      <c r="M20" s="3" t="s">
        <v>115</v>
      </c>
      <c r="N20" s="3" t="s">
        <v>386</v>
      </c>
      <c r="O20" s="3" t="s">
        <v>387</v>
      </c>
      <c r="P20" s="3" t="s">
        <v>388</v>
      </c>
      <c r="Q20" s="3" t="s">
        <v>60</v>
      </c>
      <c r="R20" s="3" t="s">
        <v>389</v>
      </c>
      <c r="S20" s="3" t="s">
        <v>372</v>
      </c>
      <c r="T20" s="17">
        <v>31.43</v>
      </c>
      <c r="U20" s="3" t="s">
        <v>70</v>
      </c>
      <c r="V20" s="3" t="s">
        <v>71</v>
      </c>
      <c r="W20" s="3" t="s">
        <v>373</v>
      </c>
      <c r="X20" s="9" t="str">
        <f>HYPERLINK("http://www.sportclubs.com.sa", "www.sportclubs.com.sa")</f>
        <v>www.sportclubs.com.sa</v>
      </c>
      <c r="Y20" s="9" t="str">
        <f>HYPERLINK("http://www.linkedin.com/company/sportclubscompany", "http://www.linkedin.com/company/sportclubscompany")</f>
        <v>http://www.linkedin.com/company/sportclubscompany</v>
      </c>
      <c r="Z20" s="29">
        <v>1258</v>
      </c>
      <c r="AA20" s="3" t="s">
        <v>390</v>
      </c>
      <c r="AB20" s="3" t="s">
        <v>74</v>
      </c>
      <c r="AC20" s="3" t="s">
        <v>391</v>
      </c>
      <c r="AD20" s="41">
        <v>1994</v>
      </c>
      <c r="AE20" s="3" t="s">
        <v>60</v>
      </c>
      <c r="AF20" s="53" t="s">
        <v>60</v>
      </c>
      <c r="AG20" s="53" t="s">
        <v>60</v>
      </c>
      <c r="AH20" s="53" t="s">
        <v>60</v>
      </c>
      <c r="AI20" s="53" t="s">
        <v>60</v>
      </c>
      <c r="AJ20" s="53" t="s">
        <v>60</v>
      </c>
      <c r="AK20" s="53" t="s">
        <v>60</v>
      </c>
      <c r="AL20" s="53">
        <v>255.96</v>
      </c>
      <c r="AM20" s="53" t="s">
        <v>60</v>
      </c>
      <c r="AN20" s="65" t="s">
        <v>60</v>
      </c>
      <c r="AO20" s="5" t="s">
        <v>60</v>
      </c>
      <c r="AP20" s="3" t="s">
        <v>392</v>
      </c>
      <c r="AQ20" s="3" t="s">
        <v>376</v>
      </c>
      <c r="AR20" s="3" t="s">
        <v>79</v>
      </c>
      <c r="AS20" s="3" t="s">
        <v>393</v>
      </c>
      <c r="AT20" s="3" t="s">
        <v>378</v>
      </c>
      <c r="AU20" s="3" t="s">
        <v>106</v>
      </c>
      <c r="AV20" s="3" t="s">
        <v>394</v>
      </c>
      <c r="AW20" s="3" t="s">
        <v>395</v>
      </c>
      <c r="AX20" s="3" t="s">
        <v>109</v>
      </c>
      <c r="AY20" s="3" t="s">
        <v>60</v>
      </c>
      <c r="AZ20" s="5" t="s">
        <v>60</v>
      </c>
      <c r="BA20" s="3" t="s">
        <v>87</v>
      </c>
      <c r="BB20" s="5" t="s">
        <v>378</v>
      </c>
      <c r="BC20" s="5" t="s">
        <v>60</v>
      </c>
      <c r="BD20" s="3" t="s">
        <v>396</v>
      </c>
      <c r="BE20" s="3" t="s">
        <v>88</v>
      </c>
      <c r="BF20" s="3" t="s">
        <v>88</v>
      </c>
    </row>
    <row r="21" spans="1:58" x14ac:dyDescent="0.2">
      <c r="A21" s="2" t="s">
        <v>397</v>
      </c>
      <c r="B21" s="2" t="s">
        <v>398</v>
      </c>
      <c r="C21" s="2" t="s">
        <v>60</v>
      </c>
      <c r="D21" s="2" t="s">
        <v>60</v>
      </c>
      <c r="E21" s="2" t="s">
        <v>60</v>
      </c>
      <c r="F21" s="2" t="s">
        <v>60</v>
      </c>
      <c r="G21" s="2" t="s">
        <v>399</v>
      </c>
      <c r="H21" s="2" t="s">
        <v>60</v>
      </c>
      <c r="I21" s="2" t="s">
        <v>60</v>
      </c>
      <c r="J21" s="2" t="s">
        <v>60</v>
      </c>
      <c r="K21" s="2" t="s">
        <v>397</v>
      </c>
      <c r="L21" s="2" t="s">
        <v>400</v>
      </c>
      <c r="M21" s="2" t="s">
        <v>328</v>
      </c>
      <c r="N21" s="2" t="s">
        <v>401</v>
      </c>
      <c r="O21" s="2" t="s">
        <v>402</v>
      </c>
      <c r="P21" s="2" t="s">
        <v>403</v>
      </c>
      <c r="Q21" s="2" t="s">
        <v>60</v>
      </c>
      <c r="R21" s="2" t="s">
        <v>404</v>
      </c>
      <c r="S21" s="2" t="s">
        <v>96</v>
      </c>
      <c r="T21" s="16">
        <v>499.28</v>
      </c>
      <c r="U21" s="2" t="s">
        <v>70</v>
      </c>
      <c r="V21" s="2" t="s">
        <v>71</v>
      </c>
      <c r="W21" s="2" t="s">
        <v>98</v>
      </c>
      <c r="X21" s="8" t="str">
        <f>HYPERLINK("http://smc.com.sa", "smc.com.sa")</f>
        <v>smc.com.sa</v>
      </c>
      <c r="Y21" s="8" t="str">
        <f>HYPERLINK("http://www.linkedin.com/company/smc-hospitals", "http://www.linkedin.com/company/smc-hospitals")</f>
        <v>http://www.linkedin.com/company/smc-hospitals</v>
      </c>
      <c r="Z21" s="28">
        <v>1669</v>
      </c>
      <c r="AA21" s="2" t="s">
        <v>405</v>
      </c>
      <c r="AB21" s="2" t="s">
        <v>74</v>
      </c>
      <c r="AC21" s="2" t="s">
        <v>406</v>
      </c>
      <c r="AD21" s="40">
        <v>1999</v>
      </c>
      <c r="AE21" s="2" t="s">
        <v>60</v>
      </c>
      <c r="AF21" s="52">
        <v>382.89</v>
      </c>
      <c r="AG21" s="52" t="s">
        <v>60</v>
      </c>
      <c r="AH21" s="52" t="s">
        <v>60</v>
      </c>
      <c r="AI21" s="52" t="s">
        <v>60</v>
      </c>
      <c r="AJ21" s="52">
        <v>88.57</v>
      </c>
      <c r="AK21" s="52" t="s">
        <v>60</v>
      </c>
      <c r="AL21" s="52">
        <v>1411.7</v>
      </c>
      <c r="AM21" s="52" t="s">
        <v>60</v>
      </c>
      <c r="AN21" s="64" t="s">
        <v>60</v>
      </c>
      <c r="AO21" s="4" t="s">
        <v>100</v>
      </c>
      <c r="AP21" s="2" t="s">
        <v>407</v>
      </c>
      <c r="AQ21" s="2" t="s">
        <v>408</v>
      </c>
      <c r="AR21" s="2" t="s">
        <v>79</v>
      </c>
      <c r="AS21" s="2" t="s">
        <v>409</v>
      </c>
      <c r="AT21" s="2" t="s">
        <v>410</v>
      </c>
      <c r="AU21" s="2" t="s">
        <v>106</v>
      </c>
      <c r="AV21" s="2" t="s">
        <v>411</v>
      </c>
      <c r="AW21" s="2" t="s">
        <v>60</v>
      </c>
      <c r="AX21" s="2" t="s">
        <v>109</v>
      </c>
      <c r="AY21" s="2" t="s">
        <v>60</v>
      </c>
      <c r="AZ21" s="4" t="s">
        <v>60</v>
      </c>
      <c r="BA21" s="2" t="s">
        <v>87</v>
      </c>
      <c r="BB21" s="4" t="s">
        <v>410</v>
      </c>
      <c r="BC21" s="4" t="s">
        <v>60</v>
      </c>
      <c r="BD21" s="2" t="s">
        <v>412</v>
      </c>
      <c r="BE21" s="2" t="s">
        <v>88</v>
      </c>
      <c r="BF21" s="2" t="s">
        <v>88</v>
      </c>
    </row>
    <row r="22" spans="1:58" x14ac:dyDescent="0.2">
      <c r="A22" s="3" t="s">
        <v>413</v>
      </c>
      <c r="B22" s="3" t="s">
        <v>414</v>
      </c>
      <c r="C22" s="3" t="s">
        <v>60</v>
      </c>
      <c r="D22" s="3" t="s">
        <v>60</v>
      </c>
      <c r="E22" s="3" t="s">
        <v>415</v>
      </c>
      <c r="F22" s="3" t="s">
        <v>60</v>
      </c>
      <c r="G22" s="3" t="s">
        <v>416</v>
      </c>
      <c r="H22" s="3" t="s">
        <v>60</v>
      </c>
      <c r="I22" s="3" t="s">
        <v>60</v>
      </c>
      <c r="J22" s="3" t="s">
        <v>60</v>
      </c>
      <c r="K22" s="3" t="s">
        <v>413</v>
      </c>
      <c r="L22" s="3" t="s">
        <v>417</v>
      </c>
      <c r="M22" s="3" t="s">
        <v>63</v>
      </c>
      <c r="N22" s="3" t="s">
        <v>418</v>
      </c>
      <c r="O22" s="3" t="s">
        <v>419</v>
      </c>
      <c r="P22" s="3" t="s">
        <v>420</v>
      </c>
      <c r="Q22" s="3" t="s">
        <v>421</v>
      </c>
      <c r="R22" s="3" t="s">
        <v>422</v>
      </c>
      <c r="S22" s="3" t="s">
        <v>372</v>
      </c>
      <c r="T22" s="17">
        <v>715.83</v>
      </c>
      <c r="U22" s="3" t="s">
        <v>97</v>
      </c>
      <c r="V22" s="3" t="s">
        <v>71</v>
      </c>
      <c r="W22" s="3" t="s">
        <v>423</v>
      </c>
      <c r="X22" s="9" t="str">
        <f>HYPERLINK("http://www.flynas.com", "www.flynas.com")</f>
        <v>www.flynas.com</v>
      </c>
      <c r="Y22" s="9" t="str">
        <f>HYPERLINK("http://www.linkedin.com/company/flynas", "http://www.linkedin.com/company/flynas")</f>
        <v>http://www.linkedin.com/company/flynas</v>
      </c>
      <c r="Z22" s="29">
        <v>2401</v>
      </c>
      <c r="AA22" s="3" t="s">
        <v>424</v>
      </c>
      <c r="AB22" s="3" t="s">
        <v>74</v>
      </c>
      <c r="AC22" s="3" t="s">
        <v>425</v>
      </c>
      <c r="AD22" s="41" t="s">
        <v>60</v>
      </c>
      <c r="AE22" s="3" t="s">
        <v>60</v>
      </c>
      <c r="AF22" s="53">
        <v>2010.17</v>
      </c>
      <c r="AG22" s="53" t="s">
        <v>60</v>
      </c>
      <c r="AH22" s="53">
        <v>115.4</v>
      </c>
      <c r="AI22" s="53" t="s">
        <v>60</v>
      </c>
      <c r="AJ22" s="53">
        <v>579.65</v>
      </c>
      <c r="AK22" s="53" t="s">
        <v>60</v>
      </c>
      <c r="AL22" s="53">
        <v>2832.86</v>
      </c>
      <c r="AM22" s="53" t="s">
        <v>60</v>
      </c>
      <c r="AN22" s="65" t="s">
        <v>60</v>
      </c>
      <c r="AO22" s="5" t="s">
        <v>100</v>
      </c>
      <c r="AP22" s="3" t="s">
        <v>426</v>
      </c>
      <c r="AQ22" s="3" t="s">
        <v>427</v>
      </c>
      <c r="AR22" s="3" t="s">
        <v>283</v>
      </c>
      <c r="AS22" s="3" t="s">
        <v>428</v>
      </c>
      <c r="AT22" s="3" t="s">
        <v>429</v>
      </c>
      <c r="AU22" s="3" t="s">
        <v>106</v>
      </c>
      <c r="AV22" s="3" t="s">
        <v>430</v>
      </c>
      <c r="AW22" s="3" t="s">
        <v>431</v>
      </c>
      <c r="AX22" s="3" t="s">
        <v>109</v>
      </c>
      <c r="AY22" s="3" t="s">
        <v>60</v>
      </c>
      <c r="AZ22" s="5" t="s">
        <v>432</v>
      </c>
      <c r="BA22" s="3" t="s">
        <v>87</v>
      </c>
      <c r="BB22" s="5" t="s">
        <v>429</v>
      </c>
      <c r="BC22" s="5" t="s">
        <v>60</v>
      </c>
      <c r="BD22" s="3" t="s">
        <v>433</v>
      </c>
      <c r="BE22" s="3" t="s">
        <v>88</v>
      </c>
      <c r="BF22" s="3" t="s">
        <v>88</v>
      </c>
    </row>
    <row r="23" spans="1:58" x14ac:dyDescent="0.2">
      <c r="A23" s="2" t="s">
        <v>434</v>
      </c>
      <c r="B23" s="2" t="s">
        <v>435</v>
      </c>
      <c r="C23" s="2" t="s">
        <v>60</v>
      </c>
      <c r="D23" s="2" t="s">
        <v>60</v>
      </c>
      <c r="E23" s="2" t="s">
        <v>60</v>
      </c>
      <c r="F23" s="2" t="s">
        <v>60</v>
      </c>
      <c r="G23" s="2" t="s">
        <v>436</v>
      </c>
      <c r="H23" s="2" t="s">
        <v>60</v>
      </c>
      <c r="I23" s="2" t="s">
        <v>60</v>
      </c>
      <c r="J23" s="2" t="s">
        <v>60</v>
      </c>
      <c r="K23" s="2" t="s">
        <v>434</v>
      </c>
      <c r="L23" s="2" t="s">
        <v>437</v>
      </c>
      <c r="M23" s="2" t="s">
        <v>63</v>
      </c>
      <c r="N23" s="2" t="s">
        <v>92</v>
      </c>
      <c r="O23" s="2" t="s">
        <v>438</v>
      </c>
      <c r="P23" s="2" t="s">
        <v>439</v>
      </c>
      <c r="Q23" s="2" t="s">
        <v>60</v>
      </c>
      <c r="R23" s="2" t="s">
        <v>440</v>
      </c>
      <c r="S23" s="2" t="s">
        <v>96</v>
      </c>
      <c r="T23" s="16" t="s">
        <v>60</v>
      </c>
      <c r="U23" s="2" t="s">
        <v>70</v>
      </c>
      <c r="V23" s="2" t="s">
        <v>71</v>
      </c>
      <c r="W23" s="2" t="s">
        <v>98</v>
      </c>
      <c r="X23" s="8" t="str">
        <f>HYPERLINK("http://time-entertainment.com", "time-entertainment.com")</f>
        <v>time-entertainment.com</v>
      </c>
      <c r="Y23" s="8" t="str">
        <f>HYPERLINK("http://www.linkedin.com/company/time-entertainment", "http://www.linkedin.com/company/time-entertainment")</f>
        <v>http://www.linkedin.com/company/time-entertainment</v>
      </c>
      <c r="Z23" s="28">
        <v>45</v>
      </c>
      <c r="AA23" s="2" t="s">
        <v>441</v>
      </c>
      <c r="AB23" s="2" t="s">
        <v>74</v>
      </c>
      <c r="AC23" s="2" t="s">
        <v>442</v>
      </c>
      <c r="AD23" s="40">
        <v>2012</v>
      </c>
      <c r="AE23" s="2" t="s">
        <v>60</v>
      </c>
      <c r="AF23" s="52" t="s">
        <v>60</v>
      </c>
      <c r="AG23" s="52" t="s">
        <v>60</v>
      </c>
      <c r="AH23" s="52" t="s">
        <v>60</v>
      </c>
      <c r="AI23" s="52" t="s">
        <v>60</v>
      </c>
      <c r="AJ23" s="52" t="s">
        <v>60</v>
      </c>
      <c r="AK23" s="52" t="s">
        <v>60</v>
      </c>
      <c r="AL23" s="52">
        <v>13.44</v>
      </c>
      <c r="AM23" s="52" t="s">
        <v>60</v>
      </c>
      <c r="AN23" s="64" t="s">
        <v>60</v>
      </c>
      <c r="AO23" s="4" t="s">
        <v>60</v>
      </c>
      <c r="AP23" s="2" t="s">
        <v>443</v>
      </c>
      <c r="AQ23" s="2" t="s">
        <v>444</v>
      </c>
      <c r="AR23" s="2" t="s">
        <v>124</v>
      </c>
      <c r="AS23" s="2" t="s">
        <v>60</v>
      </c>
      <c r="AT23" s="2" t="s">
        <v>60</v>
      </c>
      <c r="AU23" s="2" t="s">
        <v>106</v>
      </c>
      <c r="AV23" s="2" t="s">
        <v>445</v>
      </c>
      <c r="AW23" s="2" t="s">
        <v>446</v>
      </c>
      <c r="AX23" s="2" t="s">
        <v>109</v>
      </c>
      <c r="AY23" s="2" t="s">
        <v>60</v>
      </c>
      <c r="AZ23" s="4" t="s">
        <v>447</v>
      </c>
      <c r="BA23" s="2" t="s">
        <v>87</v>
      </c>
      <c r="BB23" s="4" t="s">
        <v>60</v>
      </c>
      <c r="BC23" s="4" t="s">
        <v>60</v>
      </c>
      <c r="BD23" s="2" t="s">
        <v>60</v>
      </c>
      <c r="BE23" s="2" t="s">
        <v>88</v>
      </c>
      <c r="BF23" s="2" t="s">
        <v>88</v>
      </c>
    </row>
    <row r="24" spans="1:58" x14ac:dyDescent="0.2">
      <c r="A24" s="3" t="s">
        <v>448</v>
      </c>
      <c r="B24" s="3" t="s">
        <v>449</v>
      </c>
      <c r="C24" s="3" t="s">
        <v>60</v>
      </c>
      <c r="D24" s="3" t="s">
        <v>60</v>
      </c>
      <c r="E24" s="3" t="s">
        <v>60</v>
      </c>
      <c r="F24" s="3" t="s">
        <v>60</v>
      </c>
      <c r="G24" s="3" t="s">
        <v>450</v>
      </c>
      <c r="H24" s="3" t="s">
        <v>60</v>
      </c>
      <c r="I24" s="3" t="s">
        <v>60</v>
      </c>
      <c r="J24" s="3" t="s">
        <v>60</v>
      </c>
      <c r="K24" s="3" t="s">
        <v>448</v>
      </c>
      <c r="L24" s="3" t="s">
        <v>451</v>
      </c>
      <c r="M24" s="3" t="s">
        <v>115</v>
      </c>
      <c r="N24" s="3" t="s">
        <v>116</v>
      </c>
      <c r="O24" s="3" t="s">
        <v>117</v>
      </c>
      <c r="P24" s="3" t="s">
        <v>118</v>
      </c>
      <c r="Q24" s="3" t="s">
        <v>60</v>
      </c>
      <c r="R24" s="3" t="s">
        <v>452</v>
      </c>
      <c r="S24" s="3" t="s">
        <v>96</v>
      </c>
      <c r="T24" s="17" t="s">
        <v>60</v>
      </c>
      <c r="U24" s="3" t="s">
        <v>70</v>
      </c>
      <c r="V24" s="3" t="s">
        <v>71</v>
      </c>
      <c r="W24" s="3" t="s">
        <v>98</v>
      </c>
      <c r="X24" s="9" t="str">
        <f>HYPERLINK("http://asasmakeen.com/en", "asasmakeen.com/en")</f>
        <v>asasmakeen.com/en</v>
      </c>
      <c r="Y24" s="9" t="str">
        <f>HYPERLINK("http://www.linkedin.com/company/asasmakeen", "http://www.linkedin.com/company/asasmakeen")</f>
        <v>http://www.linkedin.com/company/asasmakeen</v>
      </c>
      <c r="Z24" s="29">
        <v>96</v>
      </c>
      <c r="AA24" s="3" t="s">
        <v>453</v>
      </c>
      <c r="AB24" s="3" t="s">
        <v>74</v>
      </c>
      <c r="AC24" s="3" t="s">
        <v>454</v>
      </c>
      <c r="AD24" s="41">
        <v>2009</v>
      </c>
      <c r="AE24" s="3" t="s">
        <v>60</v>
      </c>
      <c r="AF24" s="53">
        <v>93.58</v>
      </c>
      <c r="AG24" s="53" t="s">
        <v>60</v>
      </c>
      <c r="AH24" s="53">
        <v>18.02</v>
      </c>
      <c r="AI24" s="53" t="s">
        <v>60</v>
      </c>
      <c r="AJ24" s="53" t="s">
        <v>60</v>
      </c>
      <c r="AK24" s="53" t="s">
        <v>60</v>
      </c>
      <c r="AL24" s="53">
        <v>215.75</v>
      </c>
      <c r="AM24" s="53" t="s">
        <v>60</v>
      </c>
      <c r="AN24" s="65" t="s">
        <v>60</v>
      </c>
      <c r="AO24" s="5" t="s">
        <v>455</v>
      </c>
      <c r="AP24" s="3" t="s">
        <v>456</v>
      </c>
      <c r="AQ24" s="3" t="s">
        <v>457</v>
      </c>
      <c r="AR24" s="3" t="s">
        <v>232</v>
      </c>
      <c r="AS24" s="3" t="s">
        <v>458</v>
      </c>
      <c r="AT24" s="3" t="s">
        <v>459</v>
      </c>
      <c r="AU24" s="3" t="s">
        <v>106</v>
      </c>
      <c r="AV24" s="3" t="s">
        <v>460</v>
      </c>
      <c r="AW24" s="3" t="s">
        <v>461</v>
      </c>
      <c r="AX24" s="3" t="s">
        <v>109</v>
      </c>
      <c r="AY24" s="3" t="s">
        <v>462</v>
      </c>
      <c r="AZ24" s="5" t="s">
        <v>463</v>
      </c>
      <c r="BA24" s="3" t="s">
        <v>87</v>
      </c>
      <c r="BB24" s="5" t="s">
        <v>459</v>
      </c>
      <c r="BC24" s="5" t="s">
        <v>464</v>
      </c>
      <c r="BD24" s="3" t="s">
        <v>465</v>
      </c>
      <c r="BE24" s="3" t="s">
        <v>88</v>
      </c>
      <c r="BF24" s="3" t="s">
        <v>88</v>
      </c>
    </row>
    <row r="25" spans="1:58" x14ac:dyDescent="0.2">
      <c r="A25" s="2" t="s">
        <v>466</v>
      </c>
      <c r="B25" s="2" t="s">
        <v>467</v>
      </c>
      <c r="C25" s="2" t="s">
        <v>60</v>
      </c>
      <c r="D25" s="2" t="s">
        <v>60</v>
      </c>
      <c r="E25" s="2" t="s">
        <v>60</v>
      </c>
      <c r="F25" s="2" t="s">
        <v>60</v>
      </c>
      <c r="G25" s="2" t="s">
        <v>468</v>
      </c>
      <c r="H25" s="2" t="s">
        <v>60</v>
      </c>
      <c r="I25" s="2" t="s">
        <v>60</v>
      </c>
      <c r="J25" s="2" t="s">
        <v>60</v>
      </c>
      <c r="K25" s="2" t="s">
        <v>466</v>
      </c>
      <c r="L25" s="2" t="s">
        <v>469</v>
      </c>
      <c r="M25" s="2" t="s">
        <v>115</v>
      </c>
      <c r="N25" s="2" t="s">
        <v>368</v>
      </c>
      <c r="O25" s="2" t="s">
        <v>470</v>
      </c>
      <c r="P25" s="2" t="s">
        <v>471</v>
      </c>
      <c r="Q25" s="2" t="s">
        <v>60</v>
      </c>
      <c r="R25" s="2" t="s">
        <v>472</v>
      </c>
      <c r="S25" s="2" t="s">
        <v>96</v>
      </c>
      <c r="T25" s="16">
        <v>12.03</v>
      </c>
      <c r="U25" s="2" t="s">
        <v>70</v>
      </c>
      <c r="V25" s="2" t="s">
        <v>71</v>
      </c>
      <c r="W25" s="2" t="s">
        <v>98</v>
      </c>
      <c r="X25" s="8" t="str">
        <f>HYPERLINK("http://www.kuzama.co", "www.kuzama.co")</f>
        <v>www.kuzama.co</v>
      </c>
      <c r="Y25" s="8" t="str">
        <f>HYPERLINK("http://www.linkedin.com/company/al-kuzama-trading-co", "http://www.linkedin.com/company/al-kuzama-trading-co")</f>
        <v>http://www.linkedin.com/company/al-kuzama-trading-co</v>
      </c>
      <c r="Z25" s="28" t="s">
        <v>60</v>
      </c>
      <c r="AA25" s="2" t="s">
        <v>60</v>
      </c>
      <c r="AB25" s="2" t="s">
        <v>74</v>
      </c>
      <c r="AC25" s="2" t="s">
        <v>473</v>
      </c>
      <c r="AD25" s="40">
        <v>2013</v>
      </c>
      <c r="AE25" s="2" t="s">
        <v>60</v>
      </c>
      <c r="AF25" s="52" t="s">
        <v>60</v>
      </c>
      <c r="AG25" s="52" t="s">
        <v>60</v>
      </c>
      <c r="AH25" s="52" t="s">
        <v>60</v>
      </c>
      <c r="AI25" s="52" t="s">
        <v>60</v>
      </c>
      <c r="AJ25" s="52" t="s">
        <v>60</v>
      </c>
      <c r="AK25" s="52" t="s">
        <v>60</v>
      </c>
      <c r="AL25" s="52">
        <v>73.14</v>
      </c>
      <c r="AM25" s="52" t="s">
        <v>60</v>
      </c>
      <c r="AN25" s="64" t="s">
        <v>60</v>
      </c>
      <c r="AO25" s="4" t="s">
        <v>60</v>
      </c>
      <c r="AP25" s="2" t="s">
        <v>474</v>
      </c>
      <c r="AQ25" s="2" t="s">
        <v>475</v>
      </c>
      <c r="AR25" s="2" t="s">
        <v>79</v>
      </c>
      <c r="AS25" s="2" t="s">
        <v>60</v>
      </c>
      <c r="AT25" s="2" t="s">
        <v>476</v>
      </c>
      <c r="AU25" s="2" t="s">
        <v>106</v>
      </c>
      <c r="AV25" s="2" t="s">
        <v>477</v>
      </c>
      <c r="AW25" s="2" t="s">
        <v>478</v>
      </c>
      <c r="AX25" s="2" t="s">
        <v>109</v>
      </c>
      <c r="AY25" s="2" t="s">
        <v>60</v>
      </c>
      <c r="AZ25" s="4" t="s">
        <v>479</v>
      </c>
      <c r="BA25" s="2" t="s">
        <v>87</v>
      </c>
      <c r="BB25" s="4" t="s">
        <v>476</v>
      </c>
      <c r="BC25" s="4" t="s">
        <v>60</v>
      </c>
      <c r="BD25" s="2" t="s">
        <v>480</v>
      </c>
      <c r="BE25" s="2" t="s">
        <v>88</v>
      </c>
      <c r="BF25" s="2" t="s">
        <v>88</v>
      </c>
    </row>
    <row r="26" spans="1:58" x14ac:dyDescent="0.2">
      <c r="A26" s="3" t="s">
        <v>481</v>
      </c>
      <c r="B26" s="3" t="s">
        <v>482</v>
      </c>
      <c r="C26" s="3" t="s">
        <v>60</v>
      </c>
      <c r="D26" s="3" t="s">
        <v>60</v>
      </c>
      <c r="E26" s="3" t="s">
        <v>60</v>
      </c>
      <c r="F26" s="3" t="s">
        <v>60</v>
      </c>
      <c r="G26" s="3" t="s">
        <v>483</v>
      </c>
      <c r="H26" s="3" t="s">
        <v>60</v>
      </c>
      <c r="I26" s="3" t="s">
        <v>60</v>
      </c>
      <c r="J26" s="3" t="s">
        <v>60</v>
      </c>
      <c r="K26" s="3" t="s">
        <v>481</v>
      </c>
      <c r="L26" s="3" t="s">
        <v>484</v>
      </c>
      <c r="M26" s="3" t="s">
        <v>485</v>
      </c>
      <c r="N26" s="3" t="s">
        <v>486</v>
      </c>
      <c r="O26" s="3" t="s">
        <v>487</v>
      </c>
      <c r="P26" s="3" t="s">
        <v>488</v>
      </c>
      <c r="Q26" s="3" t="s">
        <v>60</v>
      </c>
      <c r="R26" s="3" t="s">
        <v>489</v>
      </c>
      <c r="S26" s="3" t="s">
        <v>96</v>
      </c>
      <c r="T26" s="17">
        <v>21.57</v>
      </c>
      <c r="U26" s="3" t="s">
        <v>97</v>
      </c>
      <c r="V26" s="3" t="s">
        <v>71</v>
      </c>
      <c r="W26" s="3" t="s">
        <v>98</v>
      </c>
      <c r="X26" s="9" t="str">
        <f>HYPERLINK("http://axs.sa", "axs.sa")</f>
        <v>axs.sa</v>
      </c>
      <c r="Y26" s="9" t="str">
        <f>HYPERLINK("http://www.linkedin.com/company/axelerated", "http://www.linkedin.com/company/axelerated")</f>
        <v>http://www.linkedin.com/company/axelerated</v>
      </c>
      <c r="Z26" s="29" t="s">
        <v>60</v>
      </c>
      <c r="AA26" s="3" t="s">
        <v>60</v>
      </c>
      <c r="AB26" s="3" t="s">
        <v>74</v>
      </c>
      <c r="AC26" s="3" t="s">
        <v>490</v>
      </c>
      <c r="AD26" s="41">
        <v>2015</v>
      </c>
      <c r="AE26" s="3" t="s">
        <v>60</v>
      </c>
      <c r="AF26" s="53">
        <v>134.72</v>
      </c>
      <c r="AG26" s="53">
        <v>23.53</v>
      </c>
      <c r="AH26" s="53">
        <v>17.5</v>
      </c>
      <c r="AI26" s="53">
        <v>182.42</v>
      </c>
      <c r="AJ26" s="53">
        <v>19.190000000000001</v>
      </c>
      <c r="AK26" s="53">
        <v>18.43</v>
      </c>
      <c r="AL26" s="53">
        <v>187.2</v>
      </c>
      <c r="AM26" s="53">
        <v>-31.85</v>
      </c>
      <c r="AN26" s="65">
        <v>50.94</v>
      </c>
      <c r="AO26" s="5" t="s">
        <v>76</v>
      </c>
      <c r="AP26" s="3" t="s">
        <v>491</v>
      </c>
      <c r="AQ26" s="3" t="s">
        <v>492</v>
      </c>
      <c r="AR26" s="3" t="s">
        <v>124</v>
      </c>
      <c r="AS26" s="3" t="s">
        <v>60</v>
      </c>
      <c r="AT26" s="3" t="s">
        <v>60</v>
      </c>
      <c r="AU26" s="3" t="s">
        <v>106</v>
      </c>
      <c r="AV26" s="3" t="s">
        <v>493</v>
      </c>
      <c r="AW26" s="3" t="s">
        <v>446</v>
      </c>
      <c r="AX26" s="3" t="s">
        <v>109</v>
      </c>
      <c r="AY26" s="3" t="s">
        <v>494</v>
      </c>
      <c r="AZ26" s="5" t="s">
        <v>60</v>
      </c>
      <c r="BA26" s="3" t="s">
        <v>87</v>
      </c>
      <c r="BB26" s="5" t="s">
        <v>60</v>
      </c>
      <c r="BC26" s="5" t="s">
        <v>60</v>
      </c>
      <c r="BD26" s="3" t="s">
        <v>60</v>
      </c>
      <c r="BE26" s="3" t="s">
        <v>88</v>
      </c>
      <c r="BF26" s="3" t="s">
        <v>88</v>
      </c>
    </row>
    <row r="27" spans="1:58" x14ac:dyDescent="0.2">
      <c r="A27" s="2" t="s">
        <v>495</v>
      </c>
      <c r="B27" s="2" t="s">
        <v>496</v>
      </c>
      <c r="C27" s="2" t="s">
        <v>60</v>
      </c>
      <c r="D27" s="2" t="s">
        <v>60</v>
      </c>
      <c r="E27" s="2" t="s">
        <v>60</v>
      </c>
      <c r="F27" s="2" t="s">
        <v>60</v>
      </c>
      <c r="G27" s="2" t="s">
        <v>497</v>
      </c>
      <c r="H27" s="2" t="s">
        <v>60</v>
      </c>
      <c r="I27" s="2" t="s">
        <v>60</v>
      </c>
      <c r="J27" s="2" t="s">
        <v>60</v>
      </c>
      <c r="K27" s="2" t="s">
        <v>495</v>
      </c>
      <c r="L27" s="2" t="s">
        <v>498</v>
      </c>
      <c r="M27" s="2" t="s">
        <v>241</v>
      </c>
      <c r="N27" s="2" t="s">
        <v>499</v>
      </c>
      <c r="O27" s="2" t="s">
        <v>500</v>
      </c>
      <c r="P27" s="2" t="s">
        <v>501</v>
      </c>
      <c r="Q27" s="2" t="s">
        <v>67</v>
      </c>
      <c r="R27" s="2" t="s">
        <v>502</v>
      </c>
      <c r="S27" s="2" t="s">
        <v>96</v>
      </c>
      <c r="T27" s="16" t="s">
        <v>60</v>
      </c>
      <c r="U27" s="2" t="s">
        <v>97</v>
      </c>
      <c r="V27" s="2" t="s">
        <v>71</v>
      </c>
      <c r="W27" s="2" t="s">
        <v>98</v>
      </c>
      <c r="X27" s="8" t="str">
        <f>HYPERLINK("http://www.ucic.com.sa", "www.ucic.com.sa")</f>
        <v>www.ucic.com.sa</v>
      </c>
      <c r="Y27" s="8" t="str">
        <f>HYPERLINK("http://www.linkedin.com/company/ucicbusiness", "http://www.linkedin.com/company/ucicbusiness")</f>
        <v>http://www.linkedin.com/company/ucicbusiness</v>
      </c>
      <c r="Z27" s="28" t="s">
        <v>60</v>
      </c>
      <c r="AA27" s="2" t="s">
        <v>60</v>
      </c>
      <c r="AB27" s="2" t="s">
        <v>74</v>
      </c>
      <c r="AC27" s="2" t="s">
        <v>503</v>
      </c>
      <c r="AD27" s="40">
        <v>1988</v>
      </c>
      <c r="AE27" s="2" t="s">
        <v>60</v>
      </c>
      <c r="AF27" s="52">
        <v>357.36</v>
      </c>
      <c r="AG27" s="52" t="s">
        <v>60</v>
      </c>
      <c r="AH27" s="52">
        <v>33.24</v>
      </c>
      <c r="AI27" s="52" t="s">
        <v>60</v>
      </c>
      <c r="AJ27" s="52" t="s">
        <v>60</v>
      </c>
      <c r="AK27" s="52" t="s">
        <v>60</v>
      </c>
      <c r="AL27" s="52">
        <v>276.16000000000003</v>
      </c>
      <c r="AM27" s="52" t="s">
        <v>60</v>
      </c>
      <c r="AN27" s="64" t="s">
        <v>60</v>
      </c>
      <c r="AO27" s="4" t="s">
        <v>100</v>
      </c>
      <c r="AP27" s="2" t="s">
        <v>504</v>
      </c>
      <c r="AQ27" s="2" t="s">
        <v>505</v>
      </c>
      <c r="AR27" s="2" t="s">
        <v>506</v>
      </c>
      <c r="AS27" s="2" t="s">
        <v>60</v>
      </c>
      <c r="AT27" s="2" t="s">
        <v>507</v>
      </c>
      <c r="AU27" s="2" t="s">
        <v>82</v>
      </c>
      <c r="AV27" s="2" t="s">
        <v>508</v>
      </c>
      <c r="AW27" s="2" t="s">
        <v>509</v>
      </c>
      <c r="AX27" s="2" t="s">
        <v>85</v>
      </c>
      <c r="AY27" s="2" t="s">
        <v>60</v>
      </c>
      <c r="AZ27" s="4" t="s">
        <v>510</v>
      </c>
      <c r="BA27" s="2" t="s">
        <v>87</v>
      </c>
      <c r="BB27" s="4" t="s">
        <v>507</v>
      </c>
      <c r="BC27" s="4" t="s">
        <v>60</v>
      </c>
      <c r="BD27" s="2" t="s">
        <v>511</v>
      </c>
      <c r="BE27" s="2" t="s">
        <v>88</v>
      </c>
      <c r="BF27" s="2" t="s">
        <v>88</v>
      </c>
    </row>
    <row r="28" spans="1:58" x14ac:dyDescent="0.2">
      <c r="A28" s="3" t="s">
        <v>512</v>
      </c>
      <c r="B28" s="3" t="s">
        <v>513</v>
      </c>
      <c r="C28" s="3" t="s">
        <v>60</v>
      </c>
      <c r="D28" s="3" t="s">
        <v>60</v>
      </c>
      <c r="E28" s="3" t="s">
        <v>60</v>
      </c>
      <c r="F28" s="3" t="s">
        <v>60</v>
      </c>
      <c r="G28" s="3" t="s">
        <v>514</v>
      </c>
      <c r="H28" s="3" t="s">
        <v>60</v>
      </c>
      <c r="I28" s="3" t="s">
        <v>60</v>
      </c>
      <c r="J28" s="3" t="s">
        <v>60</v>
      </c>
      <c r="K28" s="3" t="s">
        <v>512</v>
      </c>
      <c r="L28" s="3" t="s">
        <v>515</v>
      </c>
      <c r="M28" s="3" t="s">
        <v>63</v>
      </c>
      <c r="N28" s="3" t="s">
        <v>92</v>
      </c>
      <c r="O28" s="3" t="s">
        <v>438</v>
      </c>
      <c r="P28" s="3" t="s">
        <v>516</v>
      </c>
      <c r="Q28" s="3" t="s">
        <v>60</v>
      </c>
      <c r="R28" s="3" t="s">
        <v>517</v>
      </c>
      <c r="S28" s="3" t="s">
        <v>96</v>
      </c>
      <c r="T28" s="17">
        <v>22.63</v>
      </c>
      <c r="U28" s="3" t="s">
        <v>70</v>
      </c>
      <c r="V28" s="3" t="s">
        <v>71</v>
      </c>
      <c r="W28" s="3" t="s">
        <v>98</v>
      </c>
      <c r="X28" s="9" t="str">
        <f>HYPERLINK("http://www.adeer.com", "www.adeer.com")</f>
        <v>www.adeer.com</v>
      </c>
      <c r="Y28" s="9" t="str">
        <f>HYPERLINK("http://www.linkedin.com/company/adeer-real-estate", "http://www.linkedin.com/company/adeer-real-estate")</f>
        <v>http://www.linkedin.com/company/adeer-real-estate</v>
      </c>
      <c r="Z28" s="29" t="s">
        <v>60</v>
      </c>
      <c r="AA28" s="3" t="s">
        <v>60</v>
      </c>
      <c r="AB28" s="3" t="s">
        <v>74</v>
      </c>
      <c r="AC28" s="3" t="s">
        <v>518</v>
      </c>
      <c r="AD28" s="41">
        <v>2012</v>
      </c>
      <c r="AE28" s="3" t="s">
        <v>60</v>
      </c>
      <c r="AF28" s="53" t="s">
        <v>60</v>
      </c>
      <c r="AG28" s="53" t="s">
        <v>60</v>
      </c>
      <c r="AH28" s="53" t="s">
        <v>60</v>
      </c>
      <c r="AI28" s="53" t="s">
        <v>60</v>
      </c>
      <c r="AJ28" s="53" t="s">
        <v>60</v>
      </c>
      <c r="AK28" s="53" t="s">
        <v>60</v>
      </c>
      <c r="AL28" s="53">
        <v>157.82</v>
      </c>
      <c r="AM28" s="53" t="s">
        <v>60</v>
      </c>
      <c r="AN28" s="65" t="s">
        <v>60</v>
      </c>
      <c r="AO28" s="5" t="s">
        <v>60</v>
      </c>
      <c r="AP28" s="3" t="s">
        <v>519</v>
      </c>
      <c r="AQ28" s="3" t="s">
        <v>520</v>
      </c>
      <c r="AR28" s="3" t="s">
        <v>79</v>
      </c>
      <c r="AS28" s="3" t="s">
        <v>60</v>
      </c>
      <c r="AT28" s="3" t="s">
        <v>521</v>
      </c>
      <c r="AU28" s="3" t="s">
        <v>522</v>
      </c>
      <c r="AV28" s="3" t="s">
        <v>523</v>
      </c>
      <c r="AW28" s="3" t="s">
        <v>60</v>
      </c>
      <c r="AX28" s="3" t="s">
        <v>524</v>
      </c>
      <c r="AY28" s="3" t="s">
        <v>60</v>
      </c>
      <c r="AZ28" s="5" t="s">
        <v>60</v>
      </c>
      <c r="BA28" s="3" t="s">
        <v>87</v>
      </c>
      <c r="BB28" s="5" t="s">
        <v>521</v>
      </c>
      <c r="BC28" s="5" t="s">
        <v>60</v>
      </c>
      <c r="BD28" s="3" t="s">
        <v>525</v>
      </c>
      <c r="BE28" s="3" t="s">
        <v>88</v>
      </c>
      <c r="BF28" s="3" t="s">
        <v>88</v>
      </c>
    </row>
    <row r="29" spans="1:58" x14ac:dyDescent="0.2">
      <c r="A29" s="2" t="s">
        <v>526</v>
      </c>
      <c r="B29" s="2" t="s">
        <v>527</v>
      </c>
      <c r="C29" s="2" t="s">
        <v>60</v>
      </c>
      <c r="D29" s="2" t="s">
        <v>60</v>
      </c>
      <c r="E29" s="2" t="s">
        <v>60</v>
      </c>
      <c r="F29" s="2" t="s">
        <v>60</v>
      </c>
      <c r="G29" s="2" t="s">
        <v>528</v>
      </c>
      <c r="H29" s="2" t="s">
        <v>60</v>
      </c>
      <c r="I29" s="2" t="s">
        <v>60</v>
      </c>
      <c r="J29" s="2" t="s">
        <v>60</v>
      </c>
      <c r="K29" s="2" t="s">
        <v>526</v>
      </c>
      <c r="L29" s="2" t="s">
        <v>529</v>
      </c>
      <c r="M29" s="2" t="s">
        <v>63</v>
      </c>
      <c r="N29" s="2" t="s">
        <v>64</v>
      </c>
      <c r="O29" s="2" t="s">
        <v>530</v>
      </c>
      <c r="P29" s="2" t="s">
        <v>531</v>
      </c>
      <c r="Q29" s="2" t="s">
        <v>60</v>
      </c>
      <c r="R29" s="2" t="s">
        <v>532</v>
      </c>
      <c r="S29" s="2" t="s">
        <v>96</v>
      </c>
      <c r="T29" s="16" t="s">
        <v>60</v>
      </c>
      <c r="U29" s="2" t="s">
        <v>70</v>
      </c>
      <c r="V29" s="2" t="s">
        <v>71</v>
      </c>
      <c r="W29" s="2" t="s">
        <v>98</v>
      </c>
      <c r="X29" s="8" t="str">
        <f>HYPERLINK("http://www.serviceequipment.com.sa", "www.serviceequipment.com.sa")</f>
        <v>www.serviceequipment.com.sa</v>
      </c>
      <c r="Y29" s="2" t="s">
        <v>60</v>
      </c>
      <c r="Z29" s="28" t="s">
        <v>60</v>
      </c>
      <c r="AA29" s="2" t="s">
        <v>60</v>
      </c>
      <c r="AB29" s="2" t="s">
        <v>74</v>
      </c>
      <c r="AC29" s="2" t="s">
        <v>533</v>
      </c>
      <c r="AD29" s="40">
        <v>1980</v>
      </c>
      <c r="AE29" s="2" t="s">
        <v>60</v>
      </c>
      <c r="AF29" s="52" t="s">
        <v>60</v>
      </c>
      <c r="AG29" s="52" t="s">
        <v>60</v>
      </c>
      <c r="AH29" s="52" t="s">
        <v>60</v>
      </c>
      <c r="AI29" s="52" t="s">
        <v>60</v>
      </c>
      <c r="AJ29" s="52" t="s">
        <v>60</v>
      </c>
      <c r="AK29" s="52" t="s">
        <v>60</v>
      </c>
      <c r="AL29" s="52">
        <v>20.14</v>
      </c>
      <c r="AM29" s="52" t="s">
        <v>60</v>
      </c>
      <c r="AN29" s="64" t="s">
        <v>60</v>
      </c>
      <c r="AO29" s="4" t="s">
        <v>60</v>
      </c>
      <c r="AP29" s="2" t="s">
        <v>534</v>
      </c>
      <c r="AQ29" s="2" t="s">
        <v>535</v>
      </c>
      <c r="AR29" s="2" t="s">
        <v>536</v>
      </c>
      <c r="AS29" s="2" t="s">
        <v>537</v>
      </c>
      <c r="AT29" s="2" t="s">
        <v>538</v>
      </c>
      <c r="AU29" s="2" t="s">
        <v>82</v>
      </c>
      <c r="AV29" s="2" t="s">
        <v>539</v>
      </c>
      <c r="AW29" s="2" t="s">
        <v>60</v>
      </c>
      <c r="AX29" s="2" t="s">
        <v>85</v>
      </c>
      <c r="AY29" s="2" t="s">
        <v>60</v>
      </c>
      <c r="AZ29" s="4" t="s">
        <v>540</v>
      </c>
      <c r="BA29" s="2" t="s">
        <v>87</v>
      </c>
      <c r="BB29" s="4" t="s">
        <v>538</v>
      </c>
      <c r="BC29" s="4" t="s">
        <v>60</v>
      </c>
      <c r="BD29" s="2" t="s">
        <v>60</v>
      </c>
      <c r="BE29" s="2" t="s">
        <v>88</v>
      </c>
      <c r="BF29" s="2" t="s">
        <v>88</v>
      </c>
    </row>
    <row r="30" spans="1:58" x14ac:dyDescent="0.2">
      <c r="A30" s="3" t="s">
        <v>541</v>
      </c>
      <c r="B30" s="3" t="s">
        <v>542</v>
      </c>
      <c r="C30" s="3" t="s">
        <v>60</v>
      </c>
      <c r="D30" s="3" t="s">
        <v>60</v>
      </c>
      <c r="E30" s="3" t="s">
        <v>60</v>
      </c>
      <c r="F30" s="3" t="s">
        <v>60</v>
      </c>
      <c r="G30" s="3" t="s">
        <v>543</v>
      </c>
      <c r="H30" s="3" t="s">
        <v>60</v>
      </c>
      <c r="I30" s="3" t="s">
        <v>60</v>
      </c>
      <c r="J30" s="3" t="s">
        <v>60</v>
      </c>
      <c r="K30" s="3" t="s">
        <v>541</v>
      </c>
      <c r="L30" s="3" t="s">
        <v>544</v>
      </c>
      <c r="M30" s="3" t="s">
        <v>63</v>
      </c>
      <c r="N30" s="3" t="s">
        <v>92</v>
      </c>
      <c r="O30" s="3" t="s">
        <v>545</v>
      </c>
      <c r="P30" s="3" t="s">
        <v>546</v>
      </c>
      <c r="Q30" s="3" t="s">
        <v>60</v>
      </c>
      <c r="R30" s="3" t="s">
        <v>547</v>
      </c>
      <c r="S30" s="3" t="s">
        <v>96</v>
      </c>
      <c r="T30" s="17">
        <v>3.73</v>
      </c>
      <c r="U30" s="3" t="s">
        <v>70</v>
      </c>
      <c r="V30" s="3" t="s">
        <v>71</v>
      </c>
      <c r="W30" s="3" t="s">
        <v>98</v>
      </c>
      <c r="X30" s="9" t="str">
        <f>HYPERLINK("http://www.fv.academy", "www.fv.academy")</f>
        <v>www.fv.academy</v>
      </c>
      <c r="Y30" s="9" t="str">
        <f>HYPERLINK("http://www.linkedin.com/company/fv-academy", "http://www.linkedin.com/company/fv-academy")</f>
        <v>http://www.linkedin.com/company/fv-academy</v>
      </c>
      <c r="Z30" s="29">
        <v>29</v>
      </c>
      <c r="AA30" s="3" t="s">
        <v>548</v>
      </c>
      <c r="AB30" s="3" t="s">
        <v>74</v>
      </c>
      <c r="AC30" s="3" t="s">
        <v>549</v>
      </c>
      <c r="AD30" s="41">
        <v>2019</v>
      </c>
      <c r="AE30" s="3" t="s">
        <v>60</v>
      </c>
      <c r="AF30" s="53" t="s">
        <v>60</v>
      </c>
      <c r="AG30" s="53" t="s">
        <v>60</v>
      </c>
      <c r="AH30" s="53" t="s">
        <v>60</v>
      </c>
      <c r="AI30" s="53" t="s">
        <v>60</v>
      </c>
      <c r="AJ30" s="53" t="s">
        <v>60</v>
      </c>
      <c r="AK30" s="53" t="s">
        <v>60</v>
      </c>
      <c r="AL30" s="53">
        <v>20.51</v>
      </c>
      <c r="AM30" s="53" t="s">
        <v>60</v>
      </c>
      <c r="AN30" s="65" t="s">
        <v>60</v>
      </c>
      <c r="AO30" s="5" t="s">
        <v>60</v>
      </c>
      <c r="AP30" s="3" t="s">
        <v>550</v>
      </c>
      <c r="AQ30" s="3" t="s">
        <v>551</v>
      </c>
      <c r="AR30" s="3" t="s">
        <v>79</v>
      </c>
      <c r="AS30" s="3" t="s">
        <v>60</v>
      </c>
      <c r="AT30" s="3" t="s">
        <v>552</v>
      </c>
      <c r="AU30" s="3" t="s">
        <v>553</v>
      </c>
      <c r="AV30" s="3" t="s">
        <v>554</v>
      </c>
      <c r="AW30" s="3" t="s">
        <v>555</v>
      </c>
      <c r="AX30" s="3" t="s">
        <v>556</v>
      </c>
      <c r="AY30" s="3" t="s">
        <v>557</v>
      </c>
      <c r="AZ30" s="5" t="s">
        <v>558</v>
      </c>
      <c r="BA30" s="3" t="s">
        <v>87</v>
      </c>
      <c r="BB30" s="5" t="s">
        <v>552</v>
      </c>
      <c r="BC30" s="5" t="s">
        <v>60</v>
      </c>
      <c r="BD30" s="3" t="s">
        <v>559</v>
      </c>
      <c r="BE30" s="3" t="s">
        <v>88</v>
      </c>
      <c r="BF30" s="3" t="s">
        <v>88</v>
      </c>
    </row>
    <row r="31" spans="1:58" x14ac:dyDescent="0.2">
      <c r="A31" s="2" t="s">
        <v>560</v>
      </c>
      <c r="B31" s="2" t="s">
        <v>561</v>
      </c>
      <c r="C31" s="2" t="s">
        <v>60</v>
      </c>
      <c r="D31" s="2" t="s">
        <v>60</v>
      </c>
      <c r="E31" s="2" t="s">
        <v>60</v>
      </c>
      <c r="F31" s="2" t="s">
        <v>562</v>
      </c>
      <c r="G31" s="2" t="s">
        <v>563</v>
      </c>
      <c r="H31" s="2" t="s">
        <v>60</v>
      </c>
      <c r="I31" s="2" t="s">
        <v>60</v>
      </c>
      <c r="J31" s="2" t="s">
        <v>60</v>
      </c>
      <c r="K31" s="2" t="s">
        <v>560</v>
      </c>
      <c r="L31" s="2" t="s">
        <v>564</v>
      </c>
      <c r="M31" s="2" t="s">
        <v>134</v>
      </c>
      <c r="N31" s="2" t="s">
        <v>565</v>
      </c>
      <c r="O31" s="2" t="s">
        <v>566</v>
      </c>
      <c r="P31" s="2" t="s">
        <v>567</v>
      </c>
      <c r="Q31" s="2" t="s">
        <v>60</v>
      </c>
      <c r="R31" s="2" t="s">
        <v>568</v>
      </c>
      <c r="S31" s="2" t="s">
        <v>96</v>
      </c>
      <c r="T31" s="16" t="s">
        <v>60</v>
      </c>
      <c r="U31" s="2" t="s">
        <v>70</v>
      </c>
      <c r="V31" s="2" t="s">
        <v>71</v>
      </c>
      <c r="W31" s="2" t="s">
        <v>175</v>
      </c>
      <c r="X31" s="8" t="str">
        <f>HYPERLINK("http://www.ggi-sa.com", "www.ggi-sa.com")</f>
        <v>www.ggi-sa.com</v>
      </c>
      <c r="Y31" s="8" t="str">
        <f>HYPERLINK("http://www.linkedin.com/company/gulfgencoopinsco", "http://www.linkedin.com/company/gulfgencoopinsco")</f>
        <v>http://www.linkedin.com/company/gulfgencoopinsco</v>
      </c>
      <c r="Z31" s="28">
        <v>230</v>
      </c>
      <c r="AA31" s="2" t="s">
        <v>569</v>
      </c>
      <c r="AB31" s="2" t="s">
        <v>74</v>
      </c>
      <c r="AC31" s="2" t="s">
        <v>570</v>
      </c>
      <c r="AD31" s="40">
        <v>2009</v>
      </c>
      <c r="AE31" s="2" t="s">
        <v>60</v>
      </c>
      <c r="AF31" s="52">
        <v>91.65</v>
      </c>
      <c r="AG31" s="52" t="s">
        <v>60</v>
      </c>
      <c r="AH31" s="52">
        <v>-43.58</v>
      </c>
      <c r="AI31" s="52">
        <v>39.159999999999997</v>
      </c>
      <c r="AJ31" s="52">
        <v>-40.19</v>
      </c>
      <c r="AK31" s="52">
        <v>-42.3</v>
      </c>
      <c r="AL31" s="52">
        <v>31.96</v>
      </c>
      <c r="AM31" s="52">
        <v>-21.24</v>
      </c>
      <c r="AN31" s="64">
        <v>-23.43</v>
      </c>
      <c r="AO31" s="4" t="s">
        <v>179</v>
      </c>
      <c r="AP31" s="2" t="s">
        <v>571</v>
      </c>
      <c r="AQ31" s="2" t="s">
        <v>572</v>
      </c>
      <c r="AR31" s="2" t="s">
        <v>124</v>
      </c>
      <c r="AS31" s="2" t="s">
        <v>573</v>
      </c>
      <c r="AT31" s="2" t="s">
        <v>574</v>
      </c>
      <c r="AU31" s="2" t="s">
        <v>82</v>
      </c>
      <c r="AV31" s="2" t="s">
        <v>575</v>
      </c>
      <c r="AW31" s="2" t="s">
        <v>576</v>
      </c>
      <c r="AX31" s="2" t="s">
        <v>85</v>
      </c>
      <c r="AY31" s="2" t="s">
        <v>60</v>
      </c>
      <c r="AZ31" s="4" t="s">
        <v>577</v>
      </c>
      <c r="BA31" s="2" t="s">
        <v>87</v>
      </c>
      <c r="BB31" s="4" t="s">
        <v>574</v>
      </c>
      <c r="BC31" s="4" t="s">
        <v>578</v>
      </c>
      <c r="BD31" s="2" t="s">
        <v>579</v>
      </c>
      <c r="BE31" s="2" t="s">
        <v>88</v>
      </c>
      <c r="BF31" s="2" t="s">
        <v>88</v>
      </c>
    </row>
    <row r="32" spans="1:58" x14ac:dyDescent="0.2">
      <c r="A32" s="3" t="s">
        <v>580</v>
      </c>
      <c r="B32" s="3" t="s">
        <v>581</v>
      </c>
      <c r="C32" s="3" t="s">
        <v>60</v>
      </c>
      <c r="D32" s="3" t="s">
        <v>60</v>
      </c>
      <c r="E32" s="3" t="s">
        <v>60</v>
      </c>
      <c r="F32" s="3" t="s">
        <v>60</v>
      </c>
      <c r="G32" s="3" t="s">
        <v>582</v>
      </c>
      <c r="H32" s="3" t="s">
        <v>60</v>
      </c>
      <c r="I32" s="3" t="s">
        <v>60</v>
      </c>
      <c r="J32" s="3" t="s">
        <v>60</v>
      </c>
      <c r="K32" s="3" t="s">
        <v>580</v>
      </c>
      <c r="L32" s="3" t="s">
        <v>583</v>
      </c>
      <c r="M32" s="3" t="s">
        <v>63</v>
      </c>
      <c r="N32" s="3" t="s">
        <v>92</v>
      </c>
      <c r="O32" s="3" t="s">
        <v>584</v>
      </c>
      <c r="P32" s="3" t="s">
        <v>585</v>
      </c>
      <c r="Q32" s="3" t="s">
        <v>421</v>
      </c>
      <c r="R32" s="3" t="s">
        <v>586</v>
      </c>
      <c r="S32" s="3" t="s">
        <v>174</v>
      </c>
      <c r="T32" s="17">
        <v>522.69000000000005</v>
      </c>
      <c r="U32" s="3" t="s">
        <v>97</v>
      </c>
      <c r="V32" s="3" t="s">
        <v>71</v>
      </c>
      <c r="W32" s="3" t="s">
        <v>175</v>
      </c>
      <c r="X32" s="9" t="str">
        <f>HYPERLINK("http://www.ummalqura.com.sa", "www.ummalqura.com.sa")</f>
        <v>www.ummalqura.com.sa</v>
      </c>
      <c r="Y32" s="9" t="str">
        <f>HYPERLINK("http://www.linkedin.com/company/umm-al-qura-development-&amp;-construction", "http://www.linkedin.com/company/umm-al-qura-development-&amp;-construction")</f>
        <v>http://www.linkedin.com/company/umm-al-qura-development-&amp;-construction</v>
      </c>
      <c r="Z32" s="29">
        <v>89</v>
      </c>
      <c r="AA32" s="3" t="s">
        <v>587</v>
      </c>
      <c r="AB32" s="3" t="s">
        <v>74</v>
      </c>
      <c r="AC32" s="3" t="s">
        <v>588</v>
      </c>
      <c r="AD32" s="41">
        <v>2012</v>
      </c>
      <c r="AE32" s="3" t="s">
        <v>589</v>
      </c>
      <c r="AF32" s="53">
        <v>483.93</v>
      </c>
      <c r="AG32" s="53" t="s">
        <v>60</v>
      </c>
      <c r="AH32" s="53">
        <v>132.58000000000001</v>
      </c>
      <c r="AI32" s="53" t="s">
        <v>60</v>
      </c>
      <c r="AJ32" s="53" t="s">
        <v>60</v>
      </c>
      <c r="AK32" s="53" t="s">
        <v>60</v>
      </c>
      <c r="AL32" s="53">
        <v>7123.61</v>
      </c>
      <c r="AM32" s="53" t="s">
        <v>60</v>
      </c>
      <c r="AN32" s="65" t="s">
        <v>60</v>
      </c>
      <c r="AO32" s="5" t="s">
        <v>100</v>
      </c>
      <c r="AP32" s="3" t="s">
        <v>590</v>
      </c>
      <c r="AQ32" s="3" t="s">
        <v>591</v>
      </c>
      <c r="AR32" s="3" t="s">
        <v>79</v>
      </c>
      <c r="AS32" s="3" t="s">
        <v>592</v>
      </c>
      <c r="AT32" s="3" t="s">
        <v>593</v>
      </c>
      <c r="AU32" s="3" t="s">
        <v>594</v>
      </c>
      <c r="AV32" s="3" t="s">
        <v>595</v>
      </c>
      <c r="AW32" s="3" t="s">
        <v>60</v>
      </c>
      <c r="AX32" s="3" t="s">
        <v>596</v>
      </c>
      <c r="AY32" s="3" t="s">
        <v>60</v>
      </c>
      <c r="AZ32" s="5" t="s">
        <v>597</v>
      </c>
      <c r="BA32" s="3" t="s">
        <v>87</v>
      </c>
      <c r="BB32" s="5" t="s">
        <v>593</v>
      </c>
      <c r="BC32" s="5" t="s">
        <v>60</v>
      </c>
      <c r="BD32" s="3" t="s">
        <v>598</v>
      </c>
      <c r="BE32" s="3" t="s">
        <v>88</v>
      </c>
      <c r="BF32" s="3" t="s">
        <v>88</v>
      </c>
    </row>
    <row r="33" spans="1:58" x14ac:dyDescent="0.2">
      <c r="A33" s="2" t="s">
        <v>599</v>
      </c>
      <c r="B33" s="2" t="s">
        <v>600</v>
      </c>
      <c r="C33" s="2" t="s">
        <v>60</v>
      </c>
      <c r="D33" s="2" t="s">
        <v>60</v>
      </c>
      <c r="E33" s="2" t="s">
        <v>60</v>
      </c>
      <c r="F33" s="2" t="s">
        <v>60</v>
      </c>
      <c r="G33" s="2" t="s">
        <v>60</v>
      </c>
      <c r="H33" s="2" t="s">
        <v>60</v>
      </c>
      <c r="I33" s="2" t="s">
        <v>60</v>
      </c>
      <c r="J33" s="2" t="s">
        <v>60</v>
      </c>
      <c r="K33" s="2" t="s">
        <v>599</v>
      </c>
      <c r="L33" s="2" t="s">
        <v>601</v>
      </c>
      <c r="M33" s="2" t="s">
        <v>115</v>
      </c>
      <c r="N33" s="2" t="s">
        <v>208</v>
      </c>
      <c r="O33" s="2" t="s">
        <v>226</v>
      </c>
      <c r="P33" s="2" t="s">
        <v>602</v>
      </c>
      <c r="Q33" s="2" t="s">
        <v>60</v>
      </c>
      <c r="R33" s="2" t="s">
        <v>603</v>
      </c>
      <c r="S33" s="2" t="s">
        <v>96</v>
      </c>
      <c r="T33" s="16" t="s">
        <v>60</v>
      </c>
      <c r="U33" s="2" t="s">
        <v>97</v>
      </c>
      <c r="V33" s="2" t="s">
        <v>71</v>
      </c>
      <c r="W33" s="2" t="s">
        <v>98</v>
      </c>
      <c r="X33" s="8" t="str">
        <f>HYPERLINK("http://www.entaj.com", "www.entaj.com")</f>
        <v>www.entaj.com</v>
      </c>
      <c r="Y33" s="8" t="str">
        <f>HYPERLINK("http://www.linkedin.com/company/الشركة-العربية-للاستثمار-الصناعي-و-الزراعي-إنتاج", "http://www.linkedin.com/company/الشركة-العربية-للاستثمار-الصناعي-و-الزراعي-إنتاج")</f>
        <v>http://www.linkedin.com/company/الشركة-العربية-للاستثمار-الصناعي-و-الزراعي-إنتاج</v>
      </c>
      <c r="Z33" s="28">
        <v>1755</v>
      </c>
      <c r="AA33" s="2" t="s">
        <v>604</v>
      </c>
      <c r="AB33" s="2" t="s">
        <v>74</v>
      </c>
      <c r="AC33" s="2" t="s">
        <v>605</v>
      </c>
      <c r="AD33" s="40">
        <v>2004</v>
      </c>
      <c r="AE33" s="2" t="s">
        <v>60</v>
      </c>
      <c r="AF33" s="52" t="s">
        <v>60</v>
      </c>
      <c r="AG33" s="52" t="s">
        <v>60</v>
      </c>
      <c r="AH33" s="52" t="s">
        <v>60</v>
      </c>
      <c r="AI33" s="52" t="s">
        <v>60</v>
      </c>
      <c r="AJ33" s="52" t="s">
        <v>60</v>
      </c>
      <c r="AK33" s="52" t="s">
        <v>60</v>
      </c>
      <c r="AL33" s="52">
        <v>233.65</v>
      </c>
      <c r="AM33" s="52" t="s">
        <v>60</v>
      </c>
      <c r="AN33" s="64" t="s">
        <v>60</v>
      </c>
      <c r="AO33" s="4" t="s">
        <v>60</v>
      </c>
      <c r="AP33" s="2" t="s">
        <v>606</v>
      </c>
      <c r="AQ33" s="2" t="s">
        <v>607</v>
      </c>
      <c r="AR33" s="2" t="s">
        <v>79</v>
      </c>
      <c r="AS33" s="2" t="s">
        <v>60</v>
      </c>
      <c r="AT33" s="2" t="s">
        <v>60</v>
      </c>
      <c r="AU33" s="2" t="s">
        <v>106</v>
      </c>
      <c r="AV33" s="2" t="s">
        <v>608</v>
      </c>
      <c r="AW33" s="2" t="s">
        <v>60</v>
      </c>
      <c r="AX33" s="2" t="s">
        <v>109</v>
      </c>
      <c r="AY33" s="2" t="s">
        <v>60</v>
      </c>
      <c r="AZ33" s="4" t="s">
        <v>609</v>
      </c>
      <c r="BA33" s="2" t="s">
        <v>87</v>
      </c>
      <c r="BB33" s="4" t="s">
        <v>60</v>
      </c>
      <c r="BC33" s="4" t="s">
        <v>60</v>
      </c>
      <c r="BD33" s="2" t="s">
        <v>610</v>
      </c>
      <c r="BE33" s="2" t="s">
        <v>88</v>
      </c>
      <c r="BF33" s="2" t="s">
        <v>88</v>
      </c>
    </row>
    <row r="34" spans="1:58" x14ac:dyDescent="0.2">
      <c r="A34" s="3" t="s">
        <v>611</v>
      </c>
      <c r="B34" s="3" t="s">
        <v>612</v>
      </c>
      <c r="C34" s="3" t="s">
        <v>60</v>
      </c>
      <c r="D34" s="3" t="s">
        <v>60</v>
      </c>
      <c r="E34" s="3" t="s">
        <v>613</v>
      </c>
      <c r="F34" s="3" t="s">
        <v>60</v>
      </c>
      <c r="G34" s="3" t="s">
        <v>614</v>
      </c>
      <c r="H34" s="3" t="s">
        <v>60</v>
      </c>
      <c r="I34" s="3" t="s">
        <v>60</v>
      </c>
      <c r="J34" s="3" t="s">
        <v>60</v>
      </c>
      <c r="K34" s="3" t="s">
        <v>611</v>
      </c>
      <c r="L34" s="3" t="s">
        <v>615</v>
      </c>
      <c r="M34" s="3" t="s">
        <v>485</v>
      </c>
      <c r="N34" s="3" t="s">
        <v>486</v>
      </c>
      <c r="O34" s="3" t="s">
        <v>616</v>
      </c>
      <c r="P34" s="3" t="s">
        <v>617</v>
      </c>
      <c r="Q34" s="3" t="s">
        <v>618</v>
      </c>
      <c r="R34" s="3" t="s">
        <v>619</v>
      </c>
      <c r="S34" s="3" t="s">
        <v>620</v>
      </c>
      <c r="T34" s="17">
        <v>23.97</v>
      </c>
      <c r="U34" s="3" t="s">
        <v>97</v>
      </c>
      <c r="V34" s="3" t="s">
        <v>71</v>
      </c>
      <c r="W34" s="3" t="s">
        <v>621</v>
      </c>
      <c r="X34" s="9" t="str">
        <f>HYPERLINK("http://www.rasan.co", "www.rasan.co")</f>
        <v>www.rasan.co</v>
      </c>
      <c r="Y34" s="9" t="str">
        <f>HYPERLINK("http://www.linkedin.com/company/rasan-information-technology", "http://www.linkedin.com/company/rasan-information-technology")</f>
        <v>http://www.linkedin.com/company/rasan-information-technology</v>
      </c>
      <c r="Z34" s="29">
        <v>370</v>
      </c>
      <c r="AA34" s="3" t="s">
        <v>622</v>
      </c>
      <c r="AB34" s="3" t="s">
        <v>74</v>
      </c>
      <c r="AC34" s="3" t="s">
        <v>623</v>
      </c>
      <c r="AD34" s="41">
        <v>2016</v>
      </c>
      <c r="AE34" s="3" t="s">
        <v>60</v>
      </c>
      <c r="AF34" s="53">
        <v>148.41</v>
      </c>
      <c r="AG34" s="53">
        <v>107.82</v>
      </c>
      <c r="AH34" s="53">
        <v>52.48</v>
      </c>
      <c r="AI34" s="53">
        <v>1972.51</v>
      </c>
      <c r="AJ34" s="53">
        <v>60.05</v>
      </c>
      <c r="AK34" s="53">
        <v>55.28</v>
      </c>
      <c r="AL34" s="53">
        <v>2888.19</v>
      </c>
      <c r="AM34" s="53">
        <v>-151.69</v>
      </c>
      <c r="AN34" s="65">
        <v>79.64</v>
      </c>
      <c r="AO34" s="5" t="s">
        <v>179</v>
      </c>
      <c r="AP34" s="3" t="s">
        <v>624</v>
      </c>
      <c r="AQ34" s="3" t="s">
        <v>625</v>
      </c>
      <c r="AR34" s="3" t="s">
        <v>626</v>
      </c>
      <c r="AS34" s="3" t="s">
        <v>627</v>
      </c>
      <c r="AT34" s="3" t="s">
        <v>628</v>
      </c>
      <c r="AU34" s="3" t="s">
        <v>106</v>
      </c>
      <c r="AV34" s="3" t="s">
        <v>629</v>
      </c>
      <c r="AW34" s="3" t="s">
        <v>630</v>
      </c>
      <c r="AX34" s="3" t="s">
        <v>109</v>
      </c>
      <c r="AY34" s="3" t="s">
        <v>60</v>
      </c>
      <c r="AZ34" s="5" t="s">
        <v>631</v>
      </c>
      <c r="BA34" s="3" t="s">
        <v>87</v>
      </c>
      <c r="BB34" s="5" t="s">
        <v>628</v>
      </c>
      <c r="BC34" s="5" t="s">
        <v>60</v>
      </c>
      <c r="BD34" s="3" t="s">
        <v>632</v>
      </c>
      <c r="BE34" s="3" t="s">
        <v>88</v>
      </c>
      <c r="BF34" s="3" t="s">
        <v>88</v>
      </c>
    </row>
    <row r="35" spans="1:58" x14ac:dyDescent="0.2">
      <c r="A35" s="2" t="s">
        <v>633</v>
      </c>
      <c r="B35" s="2" t="s">
        <v>634</v>
      </c>
      <c r="C35" s="2" t="s">
        <v>60</v>
      </c>
      <c r="D35" s="2" t="s">
        <v>60</v>
      </c>
      <c r="E35" s="2" t="s">
        <v>60</v>
      </c>
      <c r="F35" s="2" t="s">
        <v>635</v>
      </c>
      <c r="G35" s="2" t="s">
        <v>636</v>
      </c>
      <c r="H35" s="2" t="s">
        <v>60</v>
      </c>
      <c r="I35" s="2" t="s">
        <v>60</v>
      </c>
      <c r="J35" s="2" t="s">
        <v>60</v>
      </c>
      <c r="K35" s="2" t="s">
        <v>633</v>
      </c>
      <c r="L35" s="2" t="s">
        <v>637</v>
      </c>
      <c r="M35" s="2" t="s">
        <v>134</v>
      </c>
      <c r="N35" s="2" t="s">
        <v>638</v>
      </c>
      <c r="O35" s="2" t="s">
        <v>639</v>
      </c>
      <c r="P35" s="2" t="s">
        <v>640</v>
      </c>
      <c r="Q35" s="2" t="s">
        <v>60</v>
      </c>
      <c r="R35" s="2" t="s">
        <v>641</v>
      </c>
      <c r="S35" s="2" t="s">
        <v>96</v>
      </c>
      <c r="T35" s="16">
        <v>399.09</v>
      </c>
      <c r="U35" s="2" t="s">
        <v>97</v>
      </c>
      <c r="V35" s="2" t="s">
        <v>71</v>
      </c>
      <c r="W35" s="2" t="s">
        <v>98</v>
      </c>
      <c r="X35" s="8" t="str">
        <f>HYPERLINK("http://www.web.derayah.com", "www.web.derayah.com")</f>
        <v>www.web.derayah.com</v>
      </c>
      <c r="Y35" s="8" t="str">
        <f>HYPERLINK("http://www.linkedin.com/company/derayah", "http://www.linkedin.com/company/derayah")</f>
        <v>http://www.linkedin.com/company/derayah</v>
      </c>
      <c r="Z35" s="28">
        <v>183</v>
      </c>
      <c r="AA35" s="2" t="s">
        <v>642</v>
      </c>
      <c r="AB35" s="2" t="s">
        <v>74</v>
      </c>
      <c r="AC35" s="2" t="s">
        <v>643</v>
      </c>
      <c r="AD35" s="40">
        <v>2009</v>
      </c>
      <c r="AE35" s="2" t="s">
        <v>60</v>
      </c>
      <c r="AF35" s="52" t="s">
        <v>60</v>
      </c>
      <c r="AG35" s="52" t="s">
        <v>60</v>
      </c>
      <c r="AH35" s="52" t="s">
        <v>60</v>
      </c>
      <c r="AI35" s="52" t="s">
        <v>60</v>
      </c>
      <c r="AJ35" s="52" t="s">
        <v>60</v>
      </c>
      <c r="AK35" s="52" t="s">
        <v>60</v>
      </c>
      <c r="AL35" s="52">
        <v>1668.81</v>
      </c>
      <c r="AM35" s="52" t="s">
        <v>60</v>
      </c>
      <c r="AN35" s="64" t="s">
        <v>60</v>
      </c>
      <c r="AO35" s="4" t="s">
        <v>60</v>
      </c>
      <c r="AP35" s="2" t="s">
        <v>644</v>
      </c>
      <c r="AQ35" s="2" t="s">
        <v>645</v>
      </c>
      <c r="AR35" s="2" t="s">
        <v>124</v>
      </c>
      <c r="AS35" s="2" t="s">
        <v>646</v>
      </c>
      <c r="AT35" s="2" t="s">
        <v>647</v>
      </c>
      <c r="AU35" s="2" t="s">
        <v>106</v>
      </c>
      <c r="AV35" s="2" t="s">
        <v>648</v>
      </c>
      <c r="AW35" s="2" t="s">
        <v>649</v>
      </c>
      <c r="AX35" s="2" t="s">
        <v>109</v>
      </c>
      <c r="AY35" s="2" t="s">
        <v>60</v>
      </c>
      <c r="AZ35" s="4" t="s">
        <v>650</v>
      </c>
      <c r="BA35" s="2" t="s">
        <v>87</v>
      </c>
      <c r="BB35" s="4" t="s">
        <v>647</v>
      </c>
      <c r="BC35" s="4" t="s">
        <v>651</v>
      </c>
      <c r="BD35" s="2" t="s">
        <v>652</v>
      </c>
      <c r="BE35" s="2" t="s">
        <v>88</v>
      </c>
      <c r="BF35" s="2" t="s">
        <v>88</v>
      </c>
    </row>
    <row r="36" spans="1:58" x14ac:dyDescent="0.2">
      <c r="A36" s="3" t="s">
        <v>653</v>
      </c>
      <c r="B36" s="3" t="s">
        <v>654</v>
      </c>
      <c r="C36" s="3" t="s">
        <v>60</v>
      </c>
      <c r="D36" s="3" t="s">
        <v>60</v>
      </c>
      <c r="E36" s="3" t="s">
        <v>60</v>
      </c>
      <c r="F36" s="3" t="s">
        <v>60</v>
      </c>
      <c r="G36" s="3" t="s">
        <v>655</v>
      </c>
      <c r="H36" s="3" t="s">
        <v>60</v>
      </c>
      <c r="I36" s="3" t="s">
        <v>60</v>
      </c>
      <c r="J36" s="3" t="s">
        <v>60</v>
      </c>
      <c r="K36" s="3" t="s">
        <v>653</v>
      </c>
      <c r="L36" s="3" t="s">
        <v>656</v>
      </c>
      <c r="M36" s="3" t="s">
        <v>63</v>
      </c>
      <c r="N36" s="3" t="s">
        <v>64</v>
      </c>
      <c r="O36" s="3" t="s">
        <v>65</v>
      </c>
      <c r="P36" s="3" t="s">
        <v>657</v>
      </c>
      <c r="Q36" s="3" t="s">
        <v>60</v>
      </c>
      <c r="R36" s="3" t="s">
        <v>658</v>
      </c>
      <c r="S36" s="3" t="s">
        <v>96</v>
      </c>
      <c r="T36" s="17">
        <v>11.08</v>
      </c>
      <c r="U36" s="3" t="s">
        <v>70</v>
      </c>
      <c r="V36" s="3" t="s">
        <v>71</v>
      </c>
      <c r="W36" s="3" t="s">
        <v>98</v>
      </c>
      <c r="X36" s="9" t="str">
        <f>HYPERLINK("http://www.hedabalkhaleej.com", "www.hedabalkhaleej.com")</f>
        <v>www.hedabalkhaleej.com</v>
      </c>
      <c r="Y36" s="9" t="str">
        <f>HYPERLINK("http://www.linkedin.com/company/hkcsa", "http://www.linkedin.com/company/hkcsa")</f>
        <v>http://www.linkedin.com/company/hkcsa</v>
      </c>
      <c r="Z36" s="29" t="s">
        <v>60</v>
      </c>
      <c r="AA36" s="3" t="s">
        <v>60</v>
      </c>
      <c r="AB36" s="3" t="s">
        <v>74</v>
      </c>
      <c r="AC36" s="3" t="s">
        <v>659</v>
      </c>
      <c r="AD36" s="41">
        <v>2002</v>
      </c>
      <c r="AE36" s="3" t="s">
        <v>60</v>
      </c>
      <c r="AF36" s="53" t="s">
        <v>60</v>
      </c>
      <c r="AG36" s="53" t="s">
        <v>60</v>
      </c>
      <c r="AH36" s="53" t="s">
        <v>60</v>
      </c>
      <c r="AI36" s="53" t="s">
        <v>60</v>
      </c>
      <c r="AJ36" s="53" t="s">
        <v>60</v>
      </c>
      <c r="AK36" s="53" t="s">
        <v>60</v>
      </c>
      <c r="AL36" s="53">
        <v>61.01</v>
      </c>
      <c r="AM36" s="53" t="s">
        <v>60</v>
      </c>
      <c r="AN36" s="65" t="s">
        <v>60</v>
      </c>
      <c r="AO36" s="5" t="s">
        <v>60</v>
      </c>
      <c r="AP36" s="3" t="s">
        <v>60</v>
      </c>
      <c r="AQ36" s="3" t="s">
        <v>60</v>
      </c>
      <c r="AR36" s="3" t="s">
        <v>60</v>
      </c>
      <c r="AS36" s="3" t="s">
        <v>60</v>
      </c>
      <c r="AT36" s="3" t="s">
        <v>60</v>
      </c>
      <c r="AU36" s="3" t="s">
        <v>82</v>
      </c>
      <c r="AV36" s="3" t="s">
        <v>660</v>
      </c>
      <c r="AW36" s="3" t="s">
        <v>661</v>
      </c>
      <c r="AX36" s="3" t="s">
        <v>85</v>
      </c>
      <c r="AY36" s="3" t="s">
        <v>60</v>
      </c>
      <c r="AZ36" s="5" t="s">
        <v>60</v>
      </c>
      <c r="BA36" s="3" t="s">
        <v>87</v>
      </c>
      <c r="BB36" s="5" t="s">
        <v>662</v>
      </c>
      <c r="BC36" s="5" t="s">
        <v>60</v>
      </c>
      <c r="BD36" s="3" t="s">
        <v>663</v>
      </c>
      <c r="BE36" s="3" t="s">
        <v>88</v>
      </c>
      <c r="BF36" s="3" t="s">
        <v>88</v>
      </c>
    </row>
    <row r="37" spans="1:58" x14ac:dyDescent="0.2">
      <c r="A37" s="2" t="s">
        <v>664</v>
      </c>
      <c r="B37" s="2" t="s">
        <v>665</v>
      </c>
      <c r="C37" s="2" t="s">
        <v>60</v>
      </c>
      <c r="D37" s="2" t="s">
        <v>60</v>
      </c>
      <c r="E37" s="2" t="s">
        <v>60</v>
      </c>
      <c r="F37" s="2" t="s">
        <v>60</v>
      </c>
      <c r="G37" s="2" t="s">
        <v>666</v>
      </c>
      <c r="H37" s="2" t="s">
        <v>60</v>
      </c>
      <c r="I37" s="2" t="s">
        <v>60</v>
      </c>
      <c r="J37" s="2" t="s">
        <v>60</v>
      </c>
      <c r="K37" s="2" t="s">
        <v>664</v>
      </c>
      <c r="L37" s="2" t="s">
        <v>667</v>
      </c>
      <c r="M37" s="2" t="s">
        <v>115</v>
      </c>
      <c r="N37" s="2" t="s">
        <v>208</v>
      </c>
      <c r="O37" s="2" t="s">
        <v>668</v>
      </c>
      <c r="P37" s="2" t="s">
        <v>669</v>
      </c>
      <c r="Q37" s="2" t="s">
        <v>60</v>
      </c>
      <c r="R37" s="2" t="s">
        <v>670</v>
      </c>
      <c r="S37" s="2" t="s">
        <v>96</v>
      </c>
      <c r="T37" s="16">
        <v>9.19</v>
      </c>
      <c r="U37" s="2" t="s">
        <v>70</v>
      </c>
      <c r="V37" s="2" t="s">
        <v>71</v>
      </c>
      <c r="W37" s="2" t="s">
        <v>98</v>
      </c>
      <c r="X37" s="8" t="str">
        <f>HYPERLINK("http://www.lamasat.com.sa", "www.lamasat.com.sa")</f>
        <v>www.lamasat.com.sa</v>
      </c>
      <c r="Y37" s="8" t="str">
        <f>HYPERLINK("http://www.linkedin.com/company/lamasat-co", "http://www.linkedin.com/company/lamasat-co")</f>
        <v>http://www.linkedin.com/company/lamasat-co</v>
      </c>
      <c r="Z37" s="28" t="s">
        <v>60</v>
      </c>
      <c r="AA37" s="2" t="s">
        <v>60</v>
      </c>
      <c r="AB37" s="2" t="s">
        <v>74</v>
      </c>
      <c r="AC37" s="2" t="s">
        <v>671</v>
      </c>
      <c r="AD37" s="40">
        <v>1996</v>
      </c>
      <c r="AE37" s="2" t="s">
        <v>60</v>
      </c>
      <c r="AF37" s="52" t="s">
        <v>60</v>
      </c>
      <c r="AG37" s="52" t="s">
        <v>60</v>
      </c>
      <c r="AH37" s="52" t="s">
        <v>60</v>
      </c>
      <c r="AI37" s="52" t="s">
        <v>60</v>
      </c>
      <c r="AJ37" s="52" t="s">
        <v>60</v>
      </c>
      <c r="AK37" s="52" t="s">
        <v>60</v>
      </c>
      <c r="AL37" s="52">
        <v>107.88</v>
      </c>
      <c r="AM37" s="52" t="s">
        <v>60</v>
      </c>
      <c r="AN37" s="64" t="s">
        <v>60</v>
      </c>
      <c r="AO37" s="4" t="s">
        <v>60</v>
      </c>
      <c r="AP37" s="2" t="s">
        <v>672</v>
      </c>
      <c r="AQ37" s="2" t="s">
        <v>673</v>
      </c>
      <c r="AR37" s="2" t="s">
        <v>79</v>
      </c>
      <c r="AS37" s="2" t="s">
        <v>60</v>
      </c>
      <c r="AT37" s="2" t="s">
        <v>60</v>
      </c>
      <c r="AU37" s="2" t="s">
        <v>674</v>
      </c>
      <c r="AV37" s="2" t="s">
        <v>675</v>
      </c>
      <c r="AW37" s="2" t="s">
        <v>60</v>
      </c>
      <c r="AX37" s="2" t="s">
        <v>676</v>
      </c>
      <c r="AY37" s="2" t="s">
        <v>60</v>
      </c>
      <c r="AZ37" s="4" t="s">
        <v>60</v>
      </c>
      <c r="BA37" s="2" t="s">
        <v>87</v>
      </c>
      <c r="BB37" s="4" t="s">
        <v>60</v>
      </c>
      <c r="BC37" s="4" t="s">
        <v>60</v>
      </c>
      <c r="BD37" s="2" t="s">
        <v>60</v>
      </c>
      <c r="BE37" s="2" t="s">
        <v>88</v>
      </c>
      <c r="BF37" s="2" t="s">
        <v>88</v>
      </c>
    </row>
    <row r="38" spans="1:58" x14ac:dyDescent="0.2">
      <c r="A38" s="3" t="s">
        <v>677</v>
      </c>
      <c r="B38" s="3" t="s">
        <v>678</v>
      </c>
      <c r="C38" s="3" t="s">
        <v>60</v>
      </c>
      <c r="D38" s="3" t="s">
        <v>60</v>
      </c>
      <c r="E38" s="3" t="s">
        <v>60</v>
      </c>
      <c r="F38" s="3" t="s">
        <v>60</v>
      </c>
      <c r="G38" s="3" t="s">
        <v>679</v>
      </c>
      <c r="H38" s="3" t="s">
        <v>60</v>
      </c>
      <c r="I38" s="3" t="s">
        <v>60</v>
      </c>
      <c r="J38" s="3" t="s">
        <v>60</v>
      </c>
      <c r="K38" s="3" t="s">
        <v>677</v>
      </c>
      <c r="L38" s="3" t="s">
        <v>680</v>
      </c>
      <c r="M38" s="3" t="s">
        <v>328</v>
      </c>
      <c r="N38" s="3" t="s">
        <v>401</v>
      </c>
      <c r="O38" s="3" t="s">
        <v>402</v>
      </c>
      <c r="P38" s="3" t="s">
        <v>403</v>
      </c>
      <c r="Q38" s="3" t="s">
        <v>60</v>
      </c>
      <c r="R38" s="3" t="s">
        <v>681</v>
      </c>
      <c r="S38" s="3" t="s">
        <v>96</v>
      </c>
      <c r="T38" s="17">
        <v>4.6900000000000004</v>
      </c>
      <c r="U38" s="3" t="s">
        <v>70</v>
      </c>
      <c r="V38" s="3" t="s">
        <v>71</v>
      </c>
      <c r="W38" s="3" t="s">
        <v>98</v>
      </c>
      <c r="X38" s="9" t="str">
        <f>HYPERLINK("http://www.smilecare.com.sa", "www.smilecare.com.sa")</f>
        <v>www.smilecare.com.sa</v>
      </c>
      <c r="Y38" s="3" t="s">
        <v>60</v>
      </c>
      <c r="Z38" s="29">
        <v>53</v>
      </c>
      <c r="AA38" s="3" t="s">
        <v>682</v>
      </c>
      <c r="AB38" s="3" t="s">
        <v>74</v>
      </c>
      <c r="AC38" s="3" t="s">
        <v>683</v>
      </c>
      <c r="AD38" s="41">
        <v>2012</v>
      </c>
      <c r="AE38" s="3" t="s">
        <v>60</v>
      </c>
      <c r="AF38" s="53" t="s">
        <v>60</v>
      </c>
      <c r="AG38" s="53" t="s">
        <v>60</v>
      </c>
      <c r="AH38" s="53" t="s">
        <v>60</v>
      </c>
      <c r="AI38" s="53" t="s">
        <v>60</v>
      </c>
      <c r="AJ38" s="53" t="s">
        <v>60</v>
      </c>
      <c r="AK38" s="53" t="s">
        <v>60</v>
      </c>
      <c r="AL38" s="53">
        <v>29.19</v>
      </c>
      <c r="AM38" s="53" t="s">
        <v>60</v>
      </c>
      <c r="AN38" s="65" t="s">
        <v>60</v>
      </c>
      <c r="AO38" s="5" t="s">
        <v>60</v>
      </c>
      <c r="AP38" s="3" t="s">
        <v>684</v>
      </c>
      <c r="AQ38" s="3" t="s">
        <v>685</v>
      </c>
      <c r="AR38" s="3" t="s">
        <v>215</v>
      </c>
      <c r="AS38" s="3" t="s">
        <v>60</v>
      </c>
      <c r="AT38" s="3" t="s">
        <v>686</v>
      </c>
      <c r="AU38" s="3" t="s">
        <v>106</v>
      </c>
      <c r="AV38" s="3" t="s">
        <v>687</v>
      </c>
      <c r="AW38" s="3" t="s">
        <v>688</v>
      </c>
      <c r="AX38" s="3" t="s">
        <v>109</v>
      </c>
      <c r="AY38" s="3" t="s">
        <v>60</v>
      </c>
      <c r="AZ38" s="5" t="s">
        <v>689</v>
      </c>
      <c r="BA38" s="3" t="s">
        <v>87</v>
      </c>
      <c r="BB38" s="5" t="s">
        <v>686</v>
      </c>
      <c r="BC38" s="5" t="s">
        <v>60</v>
      </c>
      <c r="BD38" s="3" t="s">
        <v>60</v>
      </c>
      <c r="BE38" s="3" t="s">
        <v>88</v>
      </c>
      <c r="BF38" s="3" t="s">
        <v>88</v>
      </c>
    </row>
    <row r="39" spans="1:58" x14ac:dyDescent="0.2">
      <c r="A39" s="2" t="s">
        <v>690</v>
      </c>
      <c r="B39" s="2" t="s">
        <v>691</v>
      </c>
      <c r="C39" s="2" t="s">
        <v>60</v>
      </c>
      <c r="D39" s="2" t="s">
        <v>60</v>
      </c>
      <c r="E39" s="2" t="s">
        <v>60</v>
      </c>
      <c r="F39" s="2" t="s">
        <v>60</v>
      </c>
      <c r="G39" s="2" t="s">
        <v>692</v>
      </c>
      <c r="H39" s="2" t="s">
        <v>60</v>
      </c>
      <c r="I39" s="2" t="s">
        <v>60</v>
      </c>
      <c r="J39" s="2" t="s">
        <v>60</v>
      </c>
      <c r="K39" s="2" t="s">
        <v>690</v>
      </c>
      <c r="L39" s="2" t="s">
        <v>693</v>
      </c>
      <c r="M39" s="2" t="s">
        <v>328</v>
      </c>
      <c r="N39" s="2" t="s">
        <v>401</v>
      </c>
      <c r="O39" s="2" t="s">
        <v>402</v>
      </c>
      <c r="P39" s="2" t="s">
        <v>403</v>
      </c>
      <c r="Q39" s="2" t="s">
        <v>60</v>
      </c>
      <c r="R39" s="2" t="s">
        <v>694</v>
      </c>
      <c r="S39" s="2" t="s">
        <v>96</v>
      </c>
      <c r="T39" s="16" t="s">
        <v>60</v>
      </c>
      <c r="U39" s="2" t="s">
        <v>70</v>
      </c>
      <c r="V39" s="2" t="s">
        <v>71</v>
      </c>
      <c r="W39" s="2" t="s">
        <v>98</v>
      </c>
      <c r="X39" s="8" t="str">
        <f>HYPERLINK("http://twareat.com", "twareat.com")</f>
        <v>twareat.com</v>
      </c>
      <c r="Y39" s="8" t="str">
        <f>HYPERLINK("http://www.linkedin.com/company/twareat-co.", "http://www.linkedin.com/company/twareat-co.")</f>
        <v>http://www.linkedin.com/company/twareat-co.</v>
      </c>
      <c r="Z39" s="28" t="s">
        <v>60</v>
      </c>
      <c r="AA39" s="2" t="s">
        <v>60</v>
      </c>
      <c r="AB39" s="2" t="s">
        <v>74</v>
      </c>
      <c r="AC39" s="2" t="s">
        <v>695</v>
      </c>
      <c r="AD39" s="40">
        <v>2010</v>
      </c>
      <c r="AE39" s="2" t="s">
        <v>60</v>
      </c>
      <c r="AF39" s="52" t="s">
        <v>60</v>
      </c>
      <c r="AG39" s="52" t="s">
        <v>60</v>
      </c>
      <c r="AH39" s="52" t="s">
        <v>60</v>
      </c>
      <c r="AI39" s="52" t="s">
        <v>60</v>
      </c>
      <c r="AJ39" s="52" t="s">
        <v>60</v>
      </c>
      <c r="AK39" s="52" t="s">
        <v>60</v>
      </c>
      <c r="AL39" s="52">
        <v>134.24</v>
      </c>
      <c r="AM39" s="52" t="s">
        <v>60</v>
      </c>
      <c r="AN39" s="64" t="s">
        <v>60</v>
      </c>
      <c r="AO39" s="4" t="s">
        <v>60</v>
      </c>
      <c r="AP39" s="2" t="s">
        <v>696</v>
      </c>
      <c r="AQ39" s="2" t="s">
        <v>697</v>
      </c>
      <c r="AR39" s="2" t="s">
        <v>124</v>
      </c>
      <c r="AS39" s="2" t="s">
        <v>698</v>
      </c>
      <c r="AT39" s="2" t="s">
        <v>699</v>
      </c>
      <c r="AU39" s="2" t="s">
        <v>700</v>
      </c>
      <c r="AV39" s="2" t="s">
        <v>701</v>
      </c>
      <c r="AW39" s="2" t="s">
        <v>702</v>
      </c>
      <c r="AX39" s="2" t="s">
        <v>703</v>
      </c>
      <c r="AY39" s="2" t="s">
        <v>60</v>
      </c>
      <c r="AZ39" s="4" t="s">
        <v>704</v>
      </c>
      <c r="BA39" s="2" t="s">
        <v>87</v>
      </c>
      <c r="BB39" s="4" t="s">
        <v>699</v>
      </c>
      <c r="BC39" s="4" t="s">
        <v>60</v>
      </c>
      <c r="BD39" s="2" t="s">
        <v>705</v>
      </c>
      <c r="BE39" s="2" t="s">
        <v>88</v>
      </c>
      <c r="BF39" s="2" t="s">
        <v>88</v>
      </c>
    </row>
    <row r="40" spans="1:58" x14ac:dyDescent="0.2">
      <c r="A40" s="3" t="s">
        <v>706</v>
      </c>
      <c r="B40" s="3" t="s">
        <v>707</v>
      </c>
      <c r="C40" s="3" t="s">
        <v>60</v>
      </c>
      <c r="D40" s="3" t="s">
        <v>60</v>
      </c>
      <c r="E40" s="3" t="s">
        <v>60</v>
      </c>
      <c r="F40" s="3" t="s">
        <v>60</v>
      </c>
      <c r="G40" s="3" t="s">
        <v>708</v>
      </c>
      <c r="H40" s="3" t="s">
        <v>60</v>
      </c>
      <c r="I40" s="3" t="s">
        <v>60</v>
      </c>
      <c r="J40" s="3" t="s">
        <v>60</v>
      </c>
      <c r="K40" s="3" t="s">
        <v>706</v>
      </c>
      <c r="L40" s="3" t="s">
        <v>709</v>
      </c>
      <c r="M40" s="3" t="s">
        <v>115</v>
      </c>
      <c r="N40" s="3" t="s">
        <v>208</v>
      </c>
      <c r="O40" s="3" t="s">
        <v>710</v>
      </c>
      <c r="P40" s="3" t="s">
        <v>711</v>
      </c>
      <c r="Q40" s="3" t="s">
        <v>60</v>
      </c>
      <c r="R40" s="3" t="s">
        <v>712</v>
      </c>
      <c r="S40" s="3" t="s">
        <v>96</v>
      </c>
      <c r="T40" s="17" t="s">
        <v>60</v>
      </c>
      <c r="U40" s="3" t="s">
        <v>70</v>
      </c>
      <c r="V40" s="3" t="s">
        <v>71</v>
      </c>
      <c r="W40" s="3" t="s">
        <v>98</v>
      </c>
      <c r="X40" s="9" t="str">
        <f>HYPERLINK("http://www.ratio.sa", "www.ratio.sa")</f>
        <v>www.ratio.sa</v>
      </c>
      <c r="Y40" s="3" t="s">
        <v>60</v>
      </c>
      <c r="Z40" s="29" t="s">
        <v>60</v>
      </c>
      <c r="AA40" s="3" t="s">
        <v>60</v>
      </c>
      <c r="AB40" s="3" t="s">
        <v>74</v>
      </c>
      <c r="AC40" s="3" t="s">
        <v>713</v>
      </c>
      <c r="AD40" s="41">
        <v>2014</v>
      </c>
      <c r="AE40" s="3" t="s">
        <v>60</v>
      </c>
      <c r="AF40" s="53" t="s">
        <v>60</v>
      </c>
      <c r="AG40" s="53" t="s">
        <v>60</v>
      </c>
      <c r="AH40" s="53" t="s">
        <v>60</v>
      </c>
      <c r="AI40" s="53" t="s">
        <v>60</v>
      </c>
      <c r="AJ40" s="53" t="s">
        <v>60</v>
      </c>
      <c r="AK40" s="53" t="s">
        <v>60</v>
      </c>
      <c r="AL40" s="53">
        <v>40.06</v>
      </c>
      <c r="AM40" s="53" t="s">
        <v>60</v>
      </c>
      <c r="AN40" s="65" t="s">
        <v>60</v>
      </c>
      <c r="AO40" s="5" t="s">
        <v>60</v>
      </c>
      <c r="AP40" s="3" t="s">
        <v>714</v>
      </c>
      <c r="AQ40" s="3" t="s">
        <v>715</v>
      </c>
      <c r="AR40" s="3" t="s">
        <v>79</v>
      </c>
      <c r="AS40" s="3" t="s">
        <v>716</v>
      </c>
      <c r="AT40" s="3" t="s">
        <v>60</v>
      </c>
      <c r="AU40" s="3" t="s">
        <v>717</v>
      </c>
      <c r="AV40" s="3" t="s">
        <v>718</v>
      </c>
      <c r="AW40" s="3" t="s">
        <v>719</v>
      </c>
      <c r="AX40" s="3" t="s">
        <v>720</v>
      </c>
      <c r="AY40" s="3" t="s">
        <v>60</v>
      </c>
      <c r="AZ40" s="5" t="s">
        <v>721</v>
      </c>
      <c r="BA40" s="3" t="s">
        <v>87</v>
      </c>
      <c r="BB40" s="5" t="s">
        <v>60</v>
      </c>
      <c r="BC40" s="5" t="s">
        <v>60</v>
      </c>
      <c r="BD40" s="3" t="s">
        <v>60</v>
      </c>
      <c r="BE40" s="3" t="s">
        <v>88</v>
      </c>
      <c r="BF40" s="3" t="s">
        <v>88</v>
      </c>
    </row>
    <row r="41" spans="1:58" x14ac:dyDescent="0.2">
      <c r="A41" s="2" t="s">
        <v>722</v>
      </c>
      <c r="B41" s="2" t="s">
        <v>723</v>
      </c>
      <c r="C41" s="2" t="s">
        <v>60</v>
      </c>
      <c r="D41" s="2" t="s">
        <v>60</v>
      </c>
      <c r="E41" s="2" t="s">
        <v>60</v>
      </c>
      <c r="F41" s="2" t="s">
        <v>724</v>
      </c>
      <c r="G41" s="2" t="s">
        <v>725</v>
      </c>
      <c r="H41" s="2" t="s">
        <v>60</v>
      </c>
      <c r="I41" s="2" t="s">
        <v>60</v>
      </c>
      <c r="J41" s="2" t="s">
        <v>726</v>
      </c>
      <c r="K41" s="2" t="s">
        <v>722</v>
      </c>
      <c r="L41" s="2" t="s">
        <v>727</v>
      </c>
      <c r="M41" s="2" t="s">
        <v>134</v>
      </c>
      <c r="N41" s="2" t="s">
        <v>728</v>
      </c>
      <c r="O41" s="2" t="s">
        <v>729</v>
      </c>
      <c r="P41" s="2" t="s">
        <v>730</v>
      </c>
      <c r="Q41" s="2" t="s">
        <v>60</v>
      </c>
      <c r="R41" s="2" t="s">
        <v>731</v>
      </c>
      <c r="S41" s="2" t="s">
        <v>96</v>
      </c>
      <c r="T41" s="16">
        <v>5979.27</v>
      </c>
      <c r="U41" s="2" t="s">
        <v>70</v>
      </c>
      <c r="V41" s="2" t="s">
        <v>71</v>
      </c>
      <c r="W41" s="2" t="s">
        <v>98</v>
      </c>
      <c r="X41" s="8" t="str">
        <f>HYPERLINK("http://www.alahli.com", "www.alahli.com")</f>
        <v>www.alahli.com</v>
      </c>
      <c r="Y41" s="8" t="str">
        <f>HYPERLINK("http://www.linkedin.com/company/snbalahli", "http://www.linkedin.com/company/snbalahli")</f>
        <v>http://www.linkedin.com/company/snbalahli</v>
      </c>
      <c r="Z41" s="28">
        <v>15679</v>
      </c>
      <c r="AA41" s="2" t="s">
        <v>732</v>
      </c>
      <c r="AB41" s="2" t="s">
        <v>74</v>
      </c>
      <c r="AC41" s="2" t="s">
        <v>733</v>
      </c>
      <c r="AD41" s="40">
        <v>1953</v>
      </c>
      <c r="AE41" s="2" t="s">
        <v>60</v>
      </c>
      <c r="AF41" s="52">
        <v>10665.16</v>
      </c>
      <c r="AG41" s="52" t="s">
        <v>60</v>
      </c>
      <c r="AH41" s="52">
        <v>6439.08</v>
      </c>
      <c r="AI41" s="52" t="s">
        <v>60</v>
      </c>
      <c r="AJ41" s="52" t="s">
        <v>60</v>
      </c>
      <c r="AK41" s="52" t="s">
        <v>60</v>
      </c>
      <c r="AL41" s="52">
        <v>70675.33</v>
      </c>
      <c r="AM41" s="52">
        <v>237147.3</v>
      </c>
      <c r="AN41" s="64">
        <v>8.2899999999999991</v>
      </c>
      <c r="AO41" s="4" t="s">
        <v>179</v>
      </c>
      <c r="AP41" s="2" t="s">
        <v>734</v>
      </c>
      <c r="AQ41" s="2" t="s">
        <v>735</v>
      </c>
      <c r="AR41" s="2" t="s">
        <v>736</v>
      </c>
      <c r="AS41" s="2" t="s">
        <v>737</v>
      </c>
      <c r="AT41" s="2" t="s">
        <v>738</v>
      </c>
      <c r="AU41" s="2" t="s">
        <v>106</v>
      </c>
      <c r="AV41" s="2" t="s">
        <v>739</v>
      </c>
      <c r="AW41" s="2" t="s">
        <v>740</v>
      </c>
      <c r="AX41" s="2" t="s">
        <v>109</v>
      </c>
      <c r="AY41" s="2" t="s">
        <v>741</v>
      </c>
      <c r="AZ41" s="4" t="s">
        <v>742</v>
      </c>
      <c r="BA41" s="2" t="s">
        <v>87</v>
      </c>
      <c r="BB41" s="4" t="s">
        <v>738</v>
      </c>
      <c r="BC41" s="4" t="s">
        <v>60</v>
      </c>
      <c r="BD41" s="2" t="s">
        <v>743</v>
      </c>
      <c r="BE41" s="2" t="s">
        <v>88</v>
      </c>
      <c r="BF41" s="2" t="s">
        <v>88</v>
      </c>
    </row>
    <row r="42" spans="1:58" x14ac:dyDescent="0.2">
      <c r="A42" s="3" t="s">
        <v>744</v>
      </c>
      <c r="B42" s="3" t="s">
        <v>745</v>
      </c>
      <c r="C42" s="3" t="s">
        <v>60</v>
      </c>
      <c r="D42" s="3" t="s">
        <v>60</v>
      </c>
      <c r="E42" s="3" t="s">
        <v>60</v>
      </c>
      <c r="F42" s="3" t="s">
        <v>60</v>
      </c>
      <c r="G42" s="3" t="s">
        <v>746</v>
      </c>
      <c r="H42" s="3" t="s">
        <v>60</v>
      </c>
      <c r="I42" s="3" t="s">
        <v>60</v>
      </c>
      <c r="J42" s="3" t="s">
        <v>60</v>
      </c>
      <c r="K42" s="3" t="s">
        <v>744</v>
      </c>
      <c r="L42" s="3" t="s">
        <v>747</v>
      </c>
      <c r="M42" s="3" t="s">
        <v>63</v>
      </c>
      <c r="N42" s="3" t="s">
        <v>92</v>
      </c>
      <c r="O42" s="3" t="s">
        <v>748</v>
      </c>
      <c r="P42" s="3" t="s">
        <v>749</v>
      </c>
      <c r="Q42" s="3" t="s">
        <v>60</v>
      </c>
      <c r="R42" s="3" t="s">
        <v>750</v>
      </c>
      <c r="S42" s="3" t="s">
        <v>96</v>
      </c>
      <c r="T42" s="17">
        <v>11.98</v>
      </c>
      <c r="U42" s="3" t="s">
        <v>70</v>
      </c>
      <c r="V42" s="3" t="s">
        <v>71</v>
      </c>
      <c r="W42" s="3" t="s">
        <v>98</v>
      </c>
      <c r="X42" s="9" t="str">
        <f>HYPERLINK("http://www.itmam.sa", "www.itmam.sa")</f>
        <v>www.itmam.sa</v>
      </c>
      <c r="Y42" s="9" t="str">
        <f>HYPERLINK("http://www.linkedin.com/company/itmam-sa", "http://www.linkedin.com/company/itmam-sa")</f>
        <v>http://www.linkedin.com/company/itmam-sa</v>
      </c>
      <c r="Z42" s="29">
        <v>54</v>
      </c>
      <c r="AA42" s="3" t="s">
        <v>751</v>
      </c>
      <c r="AB42" s="3" t="s">
        <v>74</v>
      </c>
      <c r="AC42" s="3" t="s">
        <v>752</v>
      </c>
      <c r="AD42" s="41">
        <v>2018</v>
      </c>
      <c r="AE42" s="3" t="s">
        <v>60</v>
      </c>
      <c r="AF42" s="53" t="s">
        <v>60</v>
      </c>
      <c r="AG42" s="53" t="s">
        <v>60</v>
      </c>
      <c r="AH42" s="53" t="s">
        <v>60</v>
      </c>
      <c r="AI42" s="53" t="s">
        <v>60</v>
      </c>
      <c r="AJ42" s="53" t="s">
        <v>60</v>
      </c>
      <c r="AK42" s="53" t="s">
        <v>60</v>
      </c>
      <c r="AL42" s="53">
        <v>89.5</v>
      </c>
      <c r="AM42" s="53" t="s">
        <v>60</v>
      </c>
      <c r="AN42" s="65" t="s">
        <v>60</v>
      </c>
      <c r="AO42" s="5" t="s">
        <v>60</v>
      </c>
      <c r="AP42" s="3" t="s">
        <v>753</v>
      </c>
      <c r="AQ42" s="3" t="s">
        <v>754</v>
      </c>
      <c r="AR42" s="3" t="s">
        <v>215</v>
      </c>
      <c r="AS42" s="3" t="s">
        <v>60</v>
      </c>
      <c r="AT42" s="3" t="s">
        <v>755</v>
      </c>
      <c r="AU42" s="3" t="s">
        <v>106</v>
      </c>
      <c r="AV42" s="3" t="s">
        <v>756</v>
      </c>
      <c r="AW42" s="3" t="s">
        <v>757</v>
      </c>
      <c r="AX42" s="3" t="s">
        <v>109</v>
      </c>
      <c r="AY42" s="3" t="s">
        <v>60</v>
      </c>
      <c r="AZ42" s="5" t="s">
        <v>60</v>
      </c>
      <c r="BA42" s="3" t="s">
        <v>87</v>
      </c>
      <c r="BB42" s="5" t="s">
        <v>755</v>
      </c>
      <c r="BC42" s="5" t="s">
        <v>60</v>
      </c>
      <c r="BD42" s="3" t="s">
        <v>758</v>
      </c>
      <c r="BE42" s="3" t="s">
        <v>88</v>
      </c>
      <c r="BF42" s="3" t="s">
        <v>88</v>
      </c>
    </row>
    <row r="43" spans="1:58" x14ac:dyDescent="0.2">
      <c r="A43" s="2" t="s">
        <v>759</v>
      </c>
      <c r="B43" s="2" t="s">
        <v>760</v>
      </c>
      <c r="C43" s="2" t="s">
        <v>60</v>
      </c>
      <c r="D43" s="2" t="s">
        <v>60</v>
      </c>
      <c r="E43" s="2" t="s">
        <v>60</v>
      </c>
      <c r="F43" s="2" t="s">
        <v>60</v>
      </c>
      <c r="G43" s="2" t="s">
        <v>761</v>
      </c>
      <c r="H43" s="2" t="s">
        <v>60</v>
      </c>
      <c r="I43" s="2" t="s">
        <v>60</v>
      </c>
      <c r="J43" s="2" t="s">
        <v>60</v>
      </c>
      <c r="K43" s="2" t="s">
        <v>759</v>
      </c>
      <c r="L43" s="2" t="s">
        <v>762</v>
      </c>
      <c r="M43" s="2" t="s">
        <v>63</v>
      </c>
      <c r="N43" s="2" t="s">
        <v>418</v>
      </c>
      <c r="O43" s="2" t="s">
        <v>763</v>
      </c>
      <c r="P43" s="2" t="s">
        <v>764</v>
      </c>
      <c r="Q43" s="2" t="s">
        <v>67</v>
      </c>
      <c r="R43" s="2" t="s">
        <v>765</v>
      </c>
      <c r="S43" s="2" t="s">
        <v>96</v>
      </c>
      <c r="T43" s="16">
        <v>10.64</v>
      </c>
      <c r="U43" s="2" t="s">
        <v>97</v>
      </c>
      <c r="V43" s="2" t="s">
        <v>71</v>
      </c>
      <c r="W43" s="2" t="s">
        <v>98</v>
      </c>
      <c r="X43" s="8" t="str">
        <f>HYPERLINK("http://www.alshehili.com", "www.alshehili.com")</f>
        <v>www.alshehili.com</v>
      </c>
      <c r="Y43" s="8" t="str">
        <f>HYPERLINK("http://www.linkedin.com/company/alshehili-company", "http://www.linkedin.com/company/alshehili-company")</f>
        <v>http://www.linkedin.com/company/alshehili-company</v>
      </c>
      <c r="Z43" s="28" t="s">
        <v>60</v>
      </c>
      <c r="AA43" s="2" t="s">
        <v>60</v>
      </c>
      <c r="AB43" s="2" t="s">
        <v>74</v>
      </c>
      <c r="AC43" s="2" t="s">
        <v>766</v>
      </c>
      <c r="AD43" s="40" t="s">
        <v>60</v>
      </c>
      <c r="AE43" s="2" t="s">
        <v>60</v>
      </c>
      <c r="AF43" s="52" t="s">
        <v>60</v>
      </c>
      <c r="AG43" s="52" t="s">
        <v>60</v>
      </c>
      <c r="AH43" s="52" t="s">
        <v>60</v>
      </c>
      <c r="AI43" s="52" t="s">
        <v>60</v>
      </c>
      <c r="AJ43" s="52" t="s">
        <v>60</v>
      </c>
      <c r="AK43" s="52" t="s">
        <v>60</v>
      </c>
      <c r="AL43" s="52">
        <v>37.29</v>
      </c>
      <c r="AM43" s="52" t="s">
        <v>60</v>
      </c>
      <c r="AN43" s="64" t="s">
        <v>60</v>
      </c>
      <c r="AO43" s="4" t="s">
        <v>60</v>
      </c>
      <c r="AP43" s="2" t="s">
        <v>767</v>
      </c>
      <c r="AQ43" s="2" t="s">
        <v>768</v>
      </c>
      <c r="AR43" s="2" t="s">
        <v>769</v>
      </c>
      <c r="AS43" s="2" t="s">
        <v>60</v>
      </c>
      <c r="AT43" s="2" t="s">
        <v>770</v>
      </c>
      <c r="AU43" s="2" t="s">
        <v>106</v>
      </c>
      <c r="AV43" s="2" t="s">
        <v>771</v>
      </c>
      <c r="AW43" s="2" t="s">
        <v>772</v>
      </c>
      <c r="AX43" s="2" t="s">
        <v>109</v>
      </c>
      <c r="AY43" s="2" t="s">
        <v>60</v>
      </c>
      <c r="AZ43" s="4" t="s">
        <v>773</v>
      </c>
      <c r="BA43" s="2" t="s">
        <v>87</v>
      </c>
      <c r="BB43" s="4" t="s">
        <v>770</v>
      </c>
      <c r="BC43" s="4" t="s">
        <v>60</v>
      </c>
      <c r="BD43" s="2" t="s">
        <v>774</v>
      </c>
      <c r="BE43" s="2" t="s">
        <v>88</v>
      </c>
      <c r="BF43" s="2" t="s">
        <v>88</v>
      </c>
    </row>
    <row r="44" spans="1:58" x14ac:dyDescent="0.2">
      <c r="A44" s="3" t="s">
        <v>775</v>
      </c>
      <c r="B44" s="3" t="s">
        <v>776</v>
      </c>
      <c r="C44" s="3" t="s">
        <v>60</v>
      </c>
      <c r="D44" s="3" t="s">
        <v>60</v>
      </c>
      <c r="E44" s="3" t="s">
        <v>60</v>
      </c>
      <c r="F44" s="3" t="s">
        <v>60</v>
      </c>
      <c r="G44" s="3" t="s">
        <v>777</v>
      </c>
      <c r="H44" s="3" t="s">
        <v>60</v>
      </c>
      <c r="I44" s="3" t="s">
        <v>60</v>
      </c>
      <c r="J44" s="3" t="s">
        <v>60</v>
      </c>
      <c r="K44" s="3" t="s">
        <v>775</v>
      </c>
      <c r="L44" s="3" t="s">
        <v>778</v>
      </c>
      <c r="M44" s="3" t="s">
        <v>134</v>
      </c>
      <c r="N44" s="3" t="s">
        <v>565</v>
      </c>
      <c r="O44" s="3" t="s">
        <v>566</v>
      </c>
      <c r="P44" s="3" t="s">
        <v>779</v>
      </c>
      <c r="Q44" s="3" t="s">
        <v>60</v>
      </c>
      <c r="R44" s="3" t="s">
        <v>780</v>
      </c>
      <c r="S44" s="3" t="s">
        <v>96</v>
      </c>
      <c r="T44" s="17" t="s">
        <v>60</v>
      </c>
      <c r="U44" s="3" t="s">
        <v>97</v>
      </c>
      <c r="V44" s="3" t="s">
        <v>71</v>
      </c>
      <c r="W44" s="3" t="s">
        <v>373</v>
      </c>
      <c r="X44" s="9" t="str">
        <f>HYPERLINK("http://www.saudire.net", "www.saudire.net")</f>
        <v>www.saudire.net</v>
      </c>
      <c r="Y44" s="9" t="str">
        <f>HYPERLINK("http://www.linkedin.com/company/saudi-re", "http://www.linkedin.com/company/saudi-re")</f>
        <v>http://www.linkedin.com/company/saudi-re</v>
      </c>
      <c r="Z44" s="29">
        <v>25</v>
      </c>
      <c r="AA44" s="3" t="s">
        <v>781</v>
      </c>
      <c r="AB44" s="3" t="s">
        <v>74</v>
      </c>
      <c r="AC44" s="3" t="s">
        <v>782</v>
      </c>
      <c r="AD44" s="41">
        <v>2008</v>
      </c>
      <c r="AE44" s="3" t="s">
        <v>60</v>
      </c>
      <c r="AF44" s="53">
        <v>240.65</v>
      </c>
      <c r="AG44" s="53" t="s">
        <v>60</v>
      </c>
      <c r="AH44" s="53">
        <v>31.58</v>
      </c>
      <c r="AI44" s="53">
        <v>1517.61</v>
      </c>
      <c r="AJ44" s="53">
        <v>43.18</v>
      </c>
      <c r="AK44" s="53">
        <v>42.31</v>
      </c>
      <c r="AL44" s="53">
        <v>1234.79</v>
      </c>
      <c r="AM44" s="53">
        <v>-16.21</v>
      </c>
      <c r="AN44" s="65">
        <v>16.54</v>
      </c>
      <c r="AO44" s="5" t="s">
        <v>179</v>
      </c>
      <c r="AP44" s="3" t="s">
        <v>783</v>
      </c>
      <c r="AQ44" s="3" t="s">
        <v>784</v>
      </c>
      <c r="AR44" s="3" t="s">
        <v>79</v>
      </c>
      <c r="AS44" s="3" t="s">
        <v>60</v>
      </c>
      <c r="AT44" s="3" t="s">
        <v>785</v>
      </c>
      <c r="AU44" s="3" t="s">
        <v>106</v>
      </c>
      <c r="AV44" s="3" t="s">
        <v>786</v>
      </c>
      <c r="AW44" s="3" t="s">
        <v>787</v>
      </c>
      <c r="AX44" s="3" t="s">
        <v>109</v>
      </c>
      <c r="AY44" s="3" t="s">
        <v>60</v>
      </c>
      <c r="AZ44" s="5" t="s">
        <v>479</v>
      </c>
      <c r="BA44" s="3" t="s">
        <v>87</v>
      </c>
      <c r="BB44" s="5" t="s">
        <v>785</v>
      </c>
      <c r="BC44" s="5" t="s">
        <v>788</v>
      </c>
      <c r="BD44" s="3" t="s">
        <v>60</v>
      </c>
      <c r="BE44" s="3" t="s">
        <v>88</v>
      </c>
      <c r="BF44" s="3" t="s">
        <v>88</v>
      </c>
    </row>
    <row r="45" spans="1:58" x14ac:dyDescent="0.2">
      <c r="A45" s="2" t="s">
        <v>789</v>
      </c>
      <c r="B45" s="2" t="s">
        <v>790</v>
      </c>
      <c r="C45" s="2" t="s">
        <v>60</v>
      </c>
      <c r="D45" s="2" t="s">
        <v>60</v>
      </c>
      <c r="E45" s="2" t="s">
        <v>60</v>
      </c>
      <c r="F45" s="2" t="s">
        <v>60</v>
      </c>
      <c r="G45" s="2" t="s">
        <v>791</v>
      </c>
      <c r="H45" s="2" t="s">
        <v>60</v>
      </c>
      <c r="I45" s="2" t="s">
        <v>60</v>
      </c>
      <c r="J45" s="2" t="s">
        <v>60</v>
      </c>
      <c r="K45" s="2" t="s">
        <v>789</v>
      </c>
      <c r="L45" s="2" t="s">
        <v>792</v>
      </c>
      <c r="M45" s="2" t="s">
        <v>115</v>
      </c>
      <c r="N45" s="2" t="s">
        <v>208</v>
      </c>
      <c r="O45" s="2" t="s">
        <v>226</v>
      </c>
      <c r="P45" s="2" t="s">
        <v>793</v>
      </c>
      <c r="Q45" s="2" t="s">
        <v>67</v>
      </c>
      <c r="R45" s="2" t="s">
        <v>794</v>
      </c>
      <c r="S45" s="2" t="s">
        <v>96</v>
      </c>
      <c r="T45" s="16">
        <v>46.82</v>
      </c>
      <c r="U45" s="2" t="s">
        <v>70</v>
      </c>
      <c r="V45" s="2" t="s">
        <v>71</v>
      </c>
      <c r="W45" s="2" t="s">
        <v>98</v>
      </c>
      <c r="X45" s="8" t="str">
        <f>HYPERLINK("http://www.pcandles.sa", "www.pcandles.sa")</f>
        <v>www.pcandles.sa</v>
      </c>
      <c r="Y45" s="8" t="str">
        <f>HYPERLINK("http://www.linkedin.com/company/shmoh-almadi-co", "http://www.linkedin.com/company/shmoh-almadi-co")</f>
        <v>http://www.linkedin.com/company/shmoh-almadi-co</v>
      </c>
      <c r="Z45" s="28" t="s">
        <v>60</v>
      </c>
      <c r="AA45" s="2" t="s">
        <v>60</v>
      </c>
      <c r="AB45" s="2" t="s">
        <v>74</v>
      </c>
      <c r="AC45" s="2" t="s">
        <v>795</v>
      </c>
      <c r="AD45" s="40">
        <v>2006</v>
      </c>
      <c r="AE45" s="2" t="s">
        <v>60</v>
      </c>
      <c r="AF45" s="52" t="s">
        <v>60</v>
      </c>
      <c r="AG45" s="52" t="s">
        <v>60</v>
      </c>
      <c r="AH45" s="52" t="s">
        <v>60</v>
      </c>
      <c r="AI45" s="52" t="s">
        <v>60</v>
      </c>
      <c r="AJ45" s="52" t="s">
        <v>60</v>
      </c>
      <c r="AK45" s="52" t="s">
        <v>60</v>
      </c>
      <c r="AL45" s="52">
        <v>24.94</v>
      </c>
      <c r="AM45" s="52" t="s">
        <v>60</v>
      </c>
      <c r="AN45" s="64" t="s">
        <v>60</v>
      </c>
      <c r="AO45" s="4" t="s">
        <v>60</v>
      </c>
      <c r="AP45" s="2" t="s">
        <v>796</v>
      </c>
      <c r="AQ45" s="2" t="s">
        <v>797</v>
      </c>
      <c r="AR45" s="2" t="s">
        <v>79</v>
      </c>
      <c r="AS45" s="2" t="s">
        <v>60</v>
      </c>
      <c r="AT45" s="2" t="s">
        <v>60</v>
      </c>
      <c r="AU45" s="2" t="s">
        <v>798</v>
      </c>
      <c r="AV45" s="2" t="s">
        <v>60</v>
      </c>
      <c r="AW45" s="2" t="s">
        <v>60</v>
      </c>
      <c r="AX45" s="2" t="s">
        <v>799</v>
      </c>
      <c r="AY45" s="2" t="s">
        <v>60</v>
      </c>
      <c r="AZ45" s="4" t="s">
        <v>800</v>
      </c>
      <c r="BA45" s="2" t="s">
        <v>87</v>
      </c>
      <c r="BB45" s="4" t="s">
        <v>60</v>
      </c>
      <c r="BC45" s="4" t="s">
        <v>60</v>
      </c>
      <c r="BD45" s="2" t="s">
        <v>60</v>
      </c>
      <c r="BE45" s="2" t="s">
        <v>88</v>
      </c>
      <c r="BF45" s="2" t="s">
        <v>88</v>
      </c>
    </row>
    <row r="46" spans="1:58" x14ac:dyDescent="0.2">
      <c r="A46" s="3" t="s">
        <v>801</v>
      </c>
      <c r="B46" s="3" t="s">
        <v>802</v>
      </c>
      <c r="C46" s="3" t="s">
        <v>60</v>
      </c>
      <c r="D46" s="3" t="s">
        <v>60</v>
      </c>
      <c r="E46" s="3" t="s">
        <v>60</v>
      </c>
      <c r="F46" s="3" t="s">
        <v>60</v>
      </c>
      <c r="G46" s="3" t="s">
        <v>803</v>
      </c>
      <c r="H46" s="3" t="s">
        <v>60</v>
      </c>
      <c r="I46" s="3" t="s">
        <v>60</v>
      </c>
      <c r="J46" s="3" t="s">
        <v>60</v>
      </c>
      <c r="K46" s="3" t="s">
        <v>801</v>
      </c>
      <c r="L46" s="3" t="s">
        <v>804</v>
      </c>
      <c r="M46" s="3" t="s">
        <v>328</v>
      </c>
      <c r="N46" s="3" t="s">
        <v>401</v>
      </c>
      <c r="O46" s="3" t="s">
        <v>402</v>
      </c>
      <c r="P46" s="3" t="s">
        <v>403</v>
      </c>
      <c r="Q46" s="3" t="s">
        <v>60</v>
      </c>
      <c r="R46" s="3" t="s">
        <v>805</v>
      </c>
      <c r="S46" s="3" t="s">
        <v>96</v>
      </c>
      <c r="T46" s="17">
        <v>314.06</v>
      </c>
      <c r="U46" s="3" t="s">
        <v>97</v>
      </c>
      <c r="V46" s="3" t="s">
        <v>71</v>
      </c>
      <c r="W46" s="3" t="s">
        <v>98</v>
      </c>
      <c r="X46" s="9" t="str">
        <f>HYPERLINK("http://www.almoosahealthgroup.org", "www.almoosahealthgroup.org")</f>
        <v>www.almoosahealthgroup.org</v>
      </c>
      <c r="Y46" s="9" t="str">
        <f>HYPERLINK("http://www.linkedin.com/company/almoosahospitals", "http://www.linkedin.com/company/almoosahospitals")</f>
        <v>http://www.linkedin.com/company/almoosahospitals</v>
      </c>
      <c r="Z46" s="29">
        <v>2922</v>
      </c>
      <c r="AA46" s="3" t="s">
        <v>806</v>
      </c>
      <c r="AB46" s="3" t="s">
        <v>74</v>
      </c>
      <c r="AC46" s="3" t="s">
        <v>807</v>
      </c>
      <c r="AD46" s="41">
        <v>1996</v>
      </c>
      <c r="AE46" s="3" t="s">
        <v>60</v>
      </c>
      <c r="AF46" s="53">
        <v>308.44</v>
      </c>
      <c r="AG46" s="53" t="s">
        <v>60</v>
      </c>
      <c r="AH46" s="53" t="s">
        <v>60</v>
      </c>
      <c r="AI46" s="53" t="s">
        <v>60</v>
      </c>
      <c r="AJ46" s="53" t="s">
        <v>60</v>
      </c>
      <c r="AK46" s="53" t="s">
        <v>60</v>
      </c>
      <c r="AL46" s="53">
        <v>1882.2</v>
      </c>
      <c r="AM46" s="53" t="s">
        <v>60</v>
      </c>
      <c r="AN46" s="65" t="s">
        <v>60</v>
      </c>
      <c r="AO46" s="5" t="s">
        <v>100</v>
      </c>
      <c r="AP46" s="3" t="s">
        <v>808</v>
      </c>
      <c r="AQ46" s="3" t="s">
        <v>809</v>
      </c>
      <c r="AR46" s="3" t="s">
        <v>124</v>
      </c>
      <c r="AS46" s="3" t="s">
        <v>810</v>
      </c>
      <c r="AT46" s="3" t="s">
        <v>60</v>
      </c>
      <c r="AU46" s="3" t="s">
        <v>811</v>
      </c>
      <c r="AV46" s="3" t="s">
        <v>812</v>
      </c>
      <c r="AW46" s="3" t="s">
        <v>813</v>
      </c>
      <c r="AX46" s="3" t="s">
        <v>814</v>
      </c>
      <c r="AY46" s="3" t="s">
        <v>60</v>
      </c>
      <c r="AZ46" s="5" t="s">
        <v>60</v>
      </c>
      <c r="BA46" s="3" t="s">
        <v>87</v>
      </c>
      <c r="BB46" s="5" t="s">
        <v>60</v>
      </c>
      <c r="BC46" s="5" t="s">
        <v>60</v>
      </c>
      <c r="BD46" s="3" t="s">
        <v>60</v>
      </c>
      <c r="BE46" s="3" t="s">
        <v>88</v>
      </c>
      <c r="BF46" s="3" t="s">
        <v>88</v>
      </c>
    </row>
    <row r="47" spans="1:58" x14ac:dyDescent="0.2">
      <c r="A47" s="2" t="s">
        <v>815</v>
      </c>
      <c r="B47" s="2" t="s">
        <v>816</v>
      </c>
      <c r="C47" s="2" t="s">
        <v>60</v>
      </c>
      <c r="D47" s="2" t="s">
        <v>60</v>
      </c>
      <c r="E47" s="2" t="s">
        <v>60</v>
      </c>
      <c r="F47" s="2" t="s">
        <v>60</v>
      </c>
      <c r="G47" s="2" t="s">
        <v>817</v>
      </c>
      <c r="H47" s="2" t="s">
        <v>60</v>
      </c>
      <c r="I47" s="2" t="s">
        <v>60</v>
      </c>
      <c r="J47" s="2" t="s">
        <v>60</v>
      </c>
      <c r="K47" s="2" t="s">
        <v>815</v>
      </c>
      <c r="L47" s="2" t="s">
        <v>818</v>
      </c>
      <c r="M47" s="2" t="s">
        <v>115</v>
      </c>
      <c r="N47" s="2" t="s">
        <v>275</v>
      </c>
      <c r="O47" s="2" t="s">
        <v>819</v>
      </c>
      <c r="P47" s="2" t="s">
        <v>820</v>
      </c>
      <c r="Q47" s="2" t="s">
        <v>821</v>
      </c>
      <c r="R47" s="2" t="s">
        <v>822</v>
      </c>
      <c r="S47" s="2" t="s">
        <v>96</v>
      </c>
      <c r="T47" s="16">
        <v>51.17</v>
      </c>
      <c r="U47" s="2" t="s">
        <v>97</v>
      </c>
      <c r="V47" s="2" t="s">
        <v>71</v>
      </c>
      <c r="W47" s="2" t="s">
        <v>98</v>
      </c>
      <c r="X47" s="8" t="str">
        <f>HYPERLINK("http://www.niceonesa.com", "www.niceonesa.com")</f>
        <v>www.niceonesa.com</v>
      </c>
      <c r="Y47" s="8" t="str">
        <f>HYPERLINK("http://www.linkedin.com/company/niceonesa", "http://www.linkedin.com/company/niceonesa")</f>
        <v>http://www.linkedin.com/company/niceonesa</v>
      </c>
      <c r="Z47" s="28">
        <v>401</v>
      </c>
      <c r="AA47" s="2" t="s">
        <v>823</v>
      </c>
      <c r="AB47" s="2" t="s">
        <v>74</v>
      </c>
      <c r="AC47" s="2" t="s">
        <v>824</v>
      </c>
      <c r="AD47" s="40">
        <v>2017</v>
      </c>
      <c r="AE47" s="2" t="s">
        <v>60</v>
      </c>
      <c r="AF47" s="52">
        <v>208.04</v>
      </c>
      <c r="AG47" s="52">
        <v>57.58</v>
      </c>
      <c r="AH47" s="52">
        <v>8.68</v>
      </c>
      <c r="AI47" s="52" t="s">
        <v>60</v>
      </c>
      <c r="AJ47" s="52" t="s">
        <v>60</v>
      </c>
      <c r="AK47" s="52">
        <v>9.4700000000000006</v>
      </c>
      <c r="AL47" s="52">
        <v>512.53</v>
      </c>
      <c r="AM47" s="52" t="s">
        <v>60</v>
      </c>
      <c r="AN47" s="64" t="s">
        <v>60</v>
      </c>
      <c r="AO47" s="4" t="s">
        <v>455</v>
      </c>
      <c r="AP47" s="2" t="s">
        <v>825</v>
      </c>
      <c r="AQ47" s="2" t="s">
        <v>826</v>
      </c>
      <c r="AR47" s="2" t="s">
        <v>827</v>
      </c>
      <c r="AS47" s="2" t="s">
        <v>828</v>
      </c>
      <c r="AT47" s="2" t="s">
        <v>60</v>
      </c>
      <c r="AU47" s="2" t="s">
        <v>106</v>
      </c>
      <c r="AV47" s="2" t="s">
        <v>829</v>
      </c>
      <c r="AW47" s="2" t="s">
        <v>830</v>
      </c>
      <c r="AX47" s="2" t="s">
        <v>109</v>
      </c>
      <c r="AY47" s="2" t="s">
        <v>831</v>
      </c>
      <c r="AZ47" s="4" t="s">
        <v>832</v>
      </c>
      <c r="BA47" s="2" t="s">
        <v>87</v>
      </c>
      <c r="BB47" s="4" t="s">
        <v>60</v>
      </c>
      <c r="BC47" s="4" t="s">
        <v>60</v>
      </c>
      <c r="BD47" s="2" t="s">
        <v>833</v>
      </c>
      <c r="BE47" s="2" t="s">
        <v>88</v>
      </c>
      <c r="BF47" s="2" t="s">
        <v>88</v>
      </c>
    </row>
    <row r="48" spans="1:58" x14ac:dyDescent="0.2">
      <c r="A48" s="3" t="s">
        <v>834</v>
      </c>
      <c r="B48" s="3" t="s">
        <v>835</v>
      </c>
      <c r="C48" s="3" t="s">
        <v>60</v>
      </c>
      <c r="D48" s="3" t="s">
        <v>60</v>
      </c>
      <c r="E48" s="3" t="s">
        <v>836</v>
      </c>
      <c r="F48" s="3" t="s">
        <v>60</v>
      </c>
      <c r="G48" s="3" t="s">
        <v>837</v>
      </c>
      <c r="H48" s="3" t="s">
        <v>60</v>
      </c>
      <c r="I48" s="3" t="s">
        <v>60</v>
      </c>
      <c r="J48" s="3" t="s">
        <v>60</v>
      </c>
      <c r="K48" s="3" t="s">
        <v>834</v>
      </c>
      <c r="L48" s="3" t="s">
        <v>838</v>
      </c>
      <c r="M48" s="3" t="s">
        <v>241</v>
      </c>
      <c r="N48" s="3" t="s">
        <v>839</v>
      </c>
      <c r="O48" s="3" t="s">
        <v>840</v>
      </c>
      <c r="P48" s="3" t="s">
        <v>841</v>
      </c>
      <c r="Q48" s="3" t="s">
        <v>67</v>
      </c>
      <c r="R48" s="3" t="s">
        <v>842</v>
      </c>
      <c r="S48" s="3" t="s">
        <v>96</v>
      </c>
      <c r="T48" s="17">
        <v>11.22</v>
      </c>
      <c r="U48" s="3" t="s">
        <v>97</v>
      </c>
      <c r="V48" s="3" t="s">
        <v>71</v>
      </c>
      <c r="W48" s="3" t="s">
        <v>98</v>
      </c>
      <c r="X48" s="9" t="str">
        <f>HYPERLINK("http://www.albattalchem.com", "www.albattalchem.com")</f>
        <v>www.albattalchem.com</v>
      </c>
      <c r="Y48" s="9" t="str">
        <f>HYPERLINK("http://www.linkedin.com/company/al-battal-factory", "http://www.linkedin.com/company/al-battal-factory")</f>
        <v>http://www.linkedin.com/company/al-battal-factory</v>
      </c>
      <c r="Z48" s="29" t="s">
        <v>60</v>
      </c>
      <c r="AA48" s="3" t="s">
        <v>60</v>
      </c>
      <c r="AB48" s="3" t="s">
        <v>74</v>
      </c>
      <c r="AC48" s="3" t="s">
        <v>843</v>
      </c>
      <c r="AD48" s="41">
        <v>2007</v>
      </c>
      <c r="AE48" s="3" t="s">
        <v>60</v>
      </c>
      <c r="AF48" s="53">
        <v>12.98</v>
      </c>
      <c r="AG48" s="53" t="s">
        <v>60</v>
      </c>
      <c r="AH48" s="53">
        <v>0.26</v>
      </c>
      <c r="AI48" s="53">
        <v>39.76</v>
      </c>
      <c r="AJ48" s="53">
        <v>0.62</v>
      </c>
      <c r="AK48" s="53">
        <v>0.62</v>
      </c>
      <c r="AL48" s="53">
        <v>18.739999999999998</v>
      </c>
      <c r="AM48" s="53">
        <v>0</v>
      </c>
      <c r="AN48" s="65" t="s">
        <v>60</v>
      </c>
      <c r="AO48" s="5" t="s">
        <v>76</v>
      </c>
      <c r="AP48" s="3" t="s">
        <v>844</v>
      </c>
      <c r="AQ48" s="3" t="s">
        <v>845</v>
      </c>
      <c r="AR48" s="3" t="s">
        <v>215</v>
      </c>
      <c r="AS48" s="3" t="s">
        <v>60</v>
      </c>
      <c r="AT48" s="3" t="s">
        <v>846</v>
      </c>
      <c r="AU48" s="3" t="s">
        <v>847</v>
      </c>
      <c r="AV48" s="3" t="s">
        <v>848</v>
      </c>
      <c r="AW48" s="3" t="s">
        <v>60</v>
      </c>
      <c r="AX48" s="3" t="s">
        <v>849</v>
      </c>
      <c r="AY48" s="3" t="s">
        <v>60</v>
      </c>
      <c r="AZ48" s="5" t="s">
        <v>60</v>
      </c>
      <c r="BA48" s="3" t="s">
        <v>87</v>
      </c>
      <c r="BB48" s="5" t="s">
        <v>846</v>
      </c>
      <c r="BC48" s="5" t="s">
        <v>60</v>
      </c>
      <c r="BD48" s="3" t="s">
        <v>850</v>
      </c>
      <c r="BE48" s="3" t="s">
        <v>88</v>
      </c>
      <c r="BF48" s="3" t="s">
        <v>88</v>
      </c>
    </row>
    <row r="49" spans="1:58" x14ac:dyDescent="0.2">
      <c r="A49" s="2" t="s">
        <v>851</v>
      </c>
      <c r="B49" s="2" t="s">
        <v>852</v>
      </c>
      <c r="C49" s="2" t="s">
        <v>60</v>
      </c>
      <c r="D49" s="2" t="s">
        <v>60</v>
      </c>
      <c r="E49" s="2" t="s">
        <v>60</v>
      </c>
      <c r="F49" s="2" t="s">
        <v>60</v>
      </c>
      <c r="G49" s="2" t="s">
        <v>853</v>
      </c>
      <c r="H49" s="2" t="s">
        <v>60</v>
      </c>
      <c r="I49" s="2" t="s">
        <v>60</v>
      </c>
      <c r="J49" s="2" t="s">
        <v>60</v>
      </c>
      <c r="K49" s="2" t="s">
        <v>851</v>
      </c>
      <c r="L49" s="2" t="s">
        <v>854</v>
      </c>
      <c r="M49" s="2" t="s">
        <v>63</v>
      </c>
      <c r="N49" s="2" t="s">
        <v>92</v>
      </c>
      <c r="O49" s="2" t="s">
        <v>748</v>
      </c>
      <c r="P49" s="2" t="s">
        <v>855</v>
      </c>
      <c r="Q49" s="2" t="s">
        <v>60</v>
      </c>
      <c r="R49" s="2" t="s">
        <v>856</v>
      </c>
      <c r="S49" s="2" t="s">
        <v>96</v>
      </c>
      <c r="T49" s="16">
        <v>4.1399999999999997</v>
      </c>
      <c r="U49" s="2" t="s">
        <v>97</v>
      </c>
      <c r="V49" s="2" t="s">
        <v>71</v>
      </c>
      <c r="W49" s="2" t="s">
        <v>98</v>
      </c>
      <c r="X49" s="8" t="str">
        <f>HYPERLINK("http://www.drc.net.sa", "www.drc.net.sa")</f>
        <v>www.drc.net.sa</v>
      </c>
      <c r="Y49" s="8" t="str">
        <f>HYPERLINK("http://www.linkedin.com/company/digital-research-company", "http://www.linkedin.com/company/digital-research-company")</f>
        <v>http://www.linkedin.com/company/digital-research-company</v>
      </c>
      <c r="Z49" s="28">
        <v>98</v>
      </c>
      <c r="AA49" s="2" t="s">
        <v>857</v>
      </c>
      <c r="AB49" s="2" t="s">
        <v>74</v>
      </c>
      <c r="AC49" s="2" t="s">
        <v>858</v>
      </c>
      <c r="AD49" s="40">
        <v>2014</v>
      </c>
      <c r="AE49" s="2" t="s">
        <v>60</v>
      </c>
      <c r="AF49" s="52">
        <v>15.63</v>
      </c>
      <c r="AG49" s="52">
        <v>4.01</v>
      </c>
      <c r="AH49" s="52">
        <v>-0.19</v>
      </c>
      <c r="AI49" s="52">
        <v>17.84</v>
      </c>
      <c r="AJ49" s="52">
        <v>0.74</v>
      </c>
      <c r="AK49" s="52">
        <v>0.23</v>
      </c>
      <c r="AL49" s="52">
        <v>13.31</v>
      </c>
      <c r="AM49" s="52">
        <v>-2.27</v>
      </c>
      <c r="AN49" s="64" t="s">
        <v>60</v>
      </c>
      <c r="AO49" s="4" t="s">
        <v>76</v>
      </c>
      <c r="AP49" s="2" t="s">
        <v>859</v>
      </c>
      <c r="AQ49" s="2" t="s">
        <v>860</v>
      </c>
      <c r="AR49" s="2" t="s">
        <v>861</v>
      </c>
      <c r="AS49" s="2" t="s">
        <v>60</v>
      </c>
      <c r="AT49" s="2" t="s">
        <v>862</v>
      </c>
      <c r="AU49" s="2" t="s">
        <v>106</v>
      </c>
      <c r="AV49" s="2" t="s">
        <v>863</v>
      </c>
      <c r="AW49" s="2" t="s">
        <v>864</v>
      </c>
      <c r="AX49" s="2" t="s">
        <v>109</v>
      </c>
      <c r="AY49" s="2" t="s">
        <v>60</v>
      </c>
      <c r="AZ49" s="4" t="s">
        <v>60</v>
      </c>
      <c r="BA49" s="2" t="s">
        <v>87</v>
      </c>
      <c r="BB49" s="4" t="s">
        <v>862</v>
      </c>
      <c r="BC49" s="4" t="s">
        <v>60</v>
      </c>
      <c r="BD49" s="2" t="s">
        <v>865</v>
      </c>
      <c r="BE49" s="2" t="s">
        <v>88</v>
      </c>
      <c r="BF49" s="2" t="s">
        <v>88</v>
      </c>
    </row>
    <row r="50" spans="1:58" x14ac:dyDescent="0.2">
      <c r="A50" s="3" t="s">
        <v>866</v>
      </c>
      <c r="B50" s="3" t="s">
        <v>867</v>
      </c>
      <c r="C50" s="3" t="s">
        <v>60</v>
      </c>
      <c r="D50" s="3" t="s">
        <v>60</v>
      </c>
      <c r="E50" s="3" t="s">
        <v>60</v>
      </c>
      <c r="F50" s="3" t="s">
        <v>60</v>
      </c>
      <c r="G50" s="3" t="s">
        <v>868</v>
      </c>
      <c r="H50" s="3" t="s">
        <v>60</v>
      </c>
      <c r="I50" s="3" t="s">
        <v>60</v>
      </c>
      <c r="J50" s="3" t="s">
        <v>60</v>
      </c>
      <c r="K50" s="3" t="s">
        <v>866</v>
      </c>
      <c r="L50" s="3" t="s">
        <v>869</v>
      </c>
      <c r="M50" s="3" t="s">
        <v>328</v>
      </c>
      <c r="N50" s="3" t="s">
        <v>329</v>
      </c>
      <c r="O50" s="3" t="s">
        <v>330</v>
      </c>
      <c r="P50" s="3" t="s">
        <v>331</v>
      </c>
      <c r="Q50" s="3" t="s">
        <v>60</v>
      </c>
      <c r="R50" s="3" t="s">
        <v>870</v>
      </c>
      <c r="S50" s="3" t="s">
        <v>96</v>
      </c>
      <c r="T50" s="17">
        <v>3.99</v>
      </c>
      <c r="U50" s="3" t="s">
        <v>97</v>
      </c>
      <c r="V50" s="3" t="s">
        <v>71</v>
      </c>
      <c r="W50" s="3" t="s">
        <v>98</v>
      </c>
      <c r="X50" s="9" t="str">
        <f>HYPERLINK("http://www.balsmalofoq-mc.com", "www.balsmalofoq-mc.com")</f>
        <v>www.balsmalofoq-mc.com</v>
      </c>
      <c r="Y50" s="3" t="s">
        <v>60</v>
      </c>
      <c r="Z50" s="29">
        <v>100</v>
      </c>
      <c r="AA50" s="3" t="s">
        <v>871</v>
      </c>
      <c r="AB50" s="3" t="s">
        <v>74</v>
      </c>
      <c r="AC50" s="3" t="s">
        <v>872</v>
      </c>
      <c r="AD50" s="41">
        <v>2012</v>
      </c>
      <c r="AE50" s="3" t="s">
        <v>60</v>
      </c>
      <c r="AF50" s="53">
        <v>5.34</v>
      </c>
      <c r="AG50" s="53">
        <v>2.42</v>
      </c>
      <c r="AH50" s="53">
        <v>1.25</v>
      </c>
      <c r="AI50" s="53">
        <v>21.36</v>
      </c>
      <c r="AJ50" s="53">
        <v>1.67</v>
      </c>
      <c r="AK50" s="53">
        <v>1.36</v>
      </c>
      <c r="AL50" s="53">
        <v>17.309999999999999</v>
      </c>
      <c r="AM50" s="53">
        <v>-4.38</v>
      </c>
      <c r="AN50" s="65" t="s">
        <v>60</v>
      </c>
      <c r="AO50" s="5" t="s">
        <v>76</v>
      </c>
      <c r="AP50" s="3" t="s">
        <v>873</v>
      </c>
      <c r="AQ50" s="3" t="s">
        <v>874</v>
      </c>
      <c r="AR50" s="3" t="s">
        <v>215</v>
      </c>
      <c r="AS50" s="3" t="s">
        <v>875</v>
      </c>
      <c r="AT50" s="3" t="s">
        <v>60</v>
      </c>
      <c r="AU50" s="3" t="s">
        <v>87</v>
      </c>
      <c r="AV50" s="3" t="s">
        <v>876</v>
      </c>
      <c r="AW50" s="3" t="s">
        <v>60</v>
      </c>
      <c r="AX50" s="3" t="s">
        <v>60</v>
      </c>
      <c r="AY50" s="3" t="s">
        <v>60</v>
      </c>
      <c r="AZ50" s="5" t="s">
        <v>60</v>
      </c>
      <c r="BA50" s="3" t="s">
        <v>87</v>
      </c>
      <c r="BB50" s="5" t="s">
        <v>60</v>
      </c>
      <c r="BC50" s="5" t="s">
        <v>60</v>
      </c>
      <c r="BD50" s="3" t="s">
        <v>877</v>
      </c>
      <c r="BE50" s="3" t="s">
        <v>88</v>
      </c>
      <c r="BF50" s="3" t="s">
        <v>88</v>
      </c>
    </row>
    <row r="51" spans="1:58" x14ac:dyDescent="0.2">
      <c r="A51" s="2" t="s">
        <v>878</v>
      </c>
      <c r="B51" s="2" t="s">
        <v>879</v>
      </c>
      <c r="C51" s="2" t="s">
        <v>60</v>
      </c>
      <c r="D51" s="2" t="s">
        <v>60</v>
      </c>
      <c r="E51" s="2" t="s">
        <v>60</v>
      </c>
      <c r="F51" s="2" t="s">
        <v>60</v>
      </c>
      <c r="G51" s="2" t="s">
        <v>60</v>
      </c>
      <c r="H51" s="2" t="s">
        <v>60</v>
      </c>
      <c r="I51" s="2" t="s">
        <v>60</v>
      </c>
      <c r="J51" s="2" t="s">
        <v>60</v>
      </c>
      <c r="K51" s="2" t="s">
        <v>878</v>
      </c>
      <c r="L51" s="2" t="s">
        <v>880</v>
      </c>
      <c r="M51" s="2" t="s">
        <v>115</v>
      </c>
      <c r="N51" s="2" t="s">
        <v>368</v>
      </c>
      <c r="O51" s="2" t="s">
        <v>470</v>
      </c>
      <c r="P51" s="2" t="s">
        <v>471</v>
      </c>
      <c r="Q51" s="2" t="s">
        <v>60</v>
      </c>
      <c r="R51" s="2" t="s">
        <v>881</v>
      </c>
      <c r="S51" s="2" t="s">
        <v>96</v>
      </c>
      <c r="T51" s="16">
        <v>4.68</v>
      </c>
      <c r="U51" s="2" t="s">
        <v>97</v>
      </c>
      <c r="V51" s="2" t="s">
        <v>71</v>
      </c>
      <c r="W51" s="2" t="s">
        <v>98</v>
      </c>
      <c r="X51" s="8" t="str">
        <f>HYPERLINK("http://www.arabicastar.com", "www.arabicastar.com")</f>
        <v>www.arabicastar.com</v>
      </c>
      <c r="Y51" s="8" t="str">
        <f>HYPERLINK("http://www.linkedin.com/company/arabica-star", "http://www.linkedin.com/company/arabica-star")</f>
        <v>http://www.linkedin.com/company/arabica-star</v>
      </c>
      <c r="Z51" s="28" t="s">
        <v>60</v>
      </c>
      <c r="AA51" s="2" t="s">
        <v>60</v>
      </c>
      <c r="AB51" s="2" t="s">
        <v>74</v>
      </c>
      <c r="AC51" s="2" t="s">
        <v>882</v>
      </c>
      <c r="AD51" s="40">
        <v>2012</v>
      </c>
      <c r="AE51" s="2" t="s">
        <v>60</v>
      </c>
      <c r="AF51" s="52">
        <v>13.45</v>
      </c>
      <c r="AG51" s="52">
        <v>3.04</v>
      </c>
      <c r="AH51" s="52">
        <v>0.48</v>
      </c>
      <c r="AI51" s="52">
        <v>24.28</v>
      </c>
      <c r="AJ51" s="52">
        <v>3.61</v>
      </c>
      <c r="AK51" s="52">
        <v>0.99</v>
      </c>
      <c r="AL51" s="52">
        <v>12.93</v>
      </c>
      <c r="AM51" s="52">
        <v>4.2699999999999996</v>
      </c>
      <c r="AN51" s="64" t="s">
        <v>60</v>
      </c>
      <c r="AO51" s="4" t="s">
        <v>76</v>
      </c>
      <c r="AP51" s="2" t="s">
        <v>883</v>
      </c>
      <c r="AQ51" s="2" t="s">
        <v>884</v>
      </c>
      <c r="AR51" s="2" t="s">
        <v>215</v>
      </c>
      <c r="AS51" s="2" t="s">
        <v>885</v>
      </c>
      <c r="AT51" s="2" t="s">
        <v>60</v>
      </c>
      <c r="AU51" s="2" t="s">
        <v>886</v>
      </c>
      <c r="AV51" s="2" t="s">
        <v>887</v>
      </c>
      <c r="AW51" s="2" t="s">
        <v>60</v>
      </c>
      <c r="AX51" s="2" t="s">
        <v>888</v>
      </c>
      <c r="AY51" s="2" t="s">
        <v>60</v>
      </c>
      <c r="AZ51" s="4" t="s">
        <v>60</v>
      </c>
      <c r="BA51" s="2" t="s">
        <v>87</v>
      </c>
      <c r="BB51" s="4" t="s">
        <v>60</v>
      </c>
      <c r="BC51" s="4" t="s">
        <v>60</v>
      </c>
      <c r="BD51" s="2" t="s">
        <v>60</v>
      </c>
      <c r="BE51" s="2" t="s">
        <v>88</v>
      </c>
      <c r="BF51" s="2" t="s">
        <v>88</v>
      </c>
    </row>
    <row r="52" spans="1:58" x14ac:dyDescent="0.2">
      <c r="A52" s="3" t="s">
        <v>889</v>
      </c>
      <c r="B52" s="3" t="s">
        <v>890</v>
      </c>
      <c r="C52" s="3" t="s">
        <v>60</v>
      </c>
      <c r="D52" s="3" t="s">
        <v>60</v>
      </c>
      <c r="E52" s="3" t="s">
        <v>60</v>
      </c>
      <c r="F52" s="3" t="s">
        <v>60</v>
      </c>
      <c r="G52" s="3" t="s">
        <v>891</v>
      </c>
      <c r="H52" s="3" t="s">
        <v>60</v>
      </c>
      <c r="I52" s="3" t="s">
        <v>60</v>
      </c>
      <c r="J52" s="3" t="s">
        <v>60</v>
      </c>
      <c r="K52" s="3" t="s">
        <v>889</v>
      </c>
      <c r="L52" s="3" t="s">
        <v>892</v>
      </c>
      <c r="M52" s="3" t="s">
        <v>63</v>
      </c>
      <c r="N52" s="3" t="s">
        <v>92</v>
      </c>
      <c r="O52" s="3" t="s">
        <v>584</v>
      </c>
      <c r="P52" s="3" t="s">
        <v>893</v>
      </c>
      <c r="Q52" s="3" t="s">
        <v>60</v>
      </c>
      <c r="R52" s="3" t="s">
        <v>894</v>
      </c>
      <c r="S52" s="3" t="s">
        <v>96</v>
      </c>
      <c r="T52" s="17">
        <v>11.97</v>
      </c>
      <c r="U52" s="3" t="s">
        <v>97</v>
      </c>
      <c r="V52" s="3" t="s">
        <v>71</v>
      </c>
      <c r="W52" s="3" t="s">
        <v>98</v>
      </c>
      <c r="X52" s="9" t="str">
        <f>HYPERLINK("http://www.mbg.sa", "www.mbg.sa")</f>
        <v>www.mbg.sa</v>
      </c>
      <c r="Y52" s="9" t="str">
        <f>HYPERLINK("http://www.linkedin.com/company/multi-business-group", "http://www.linkedin.com/company/multi-business-group")</f>
        <v>http://www.linkedin.com/company/multi-business-group</v>
      </c>
      <c r="Z52" s="29" t="s">
        <v>60</v>
      </c>
      <c r="AA52" s="3" t="s">
        <v>60</v>
      </c>
      <c r="AB52" s="3" t="s">
        <v>74</v>
      </c>
      <c r="AC52" s="3" t="s">
        <v>895</v>
      </c>
      <c r="AD52" s="41">
        <v>2009</v>
      </c>
      <c r="AE52" s="3" t="s">
        <v>60</v>
      </c>
      <c r="AF52" s="53">
        <v>41.98</v>
      </c>
      <c r="AG52" s="53">
        <v>7.81</v>
      </c>
      <c r="AH52" s="53">
        <v>5.44</v>
      </c>
      <c r="AI52" s="53">
        <v>54.04</v>
      </c>
      <c r="AJ52" s="53">
        <v>7.27</v>
      </c>
      <c r="AK52" s="53">
        <v>6.37</v>
      </c>
      <c r="AL52" s="53">
        <v>39.950000000000003</v>
      </c>
      <c r="AM52" s="53">
        <v>-8.18</v>
      </c>
      <c r="AN52" s="65" t="s">
        <v>60</v>
      </c>
      <c r="AO52" s="5" t="s">
        <v>76</v>
      </c>
      <c r="AP52" s="3" t="s">
        <v>896</v>
      </c>
      <c r="AQ52" s="3" t="s">
        <v>897</v>
      </c>
      <c r="AR52" s="3" t="s">
        <v>266</v>
      </c>
      <c r="AS52" s="3" t="s">
        <v>898</v>
      </c>
      <c r="AT52" s="3" t="s">
        <v>899</v>
      </c>
      <c r="AU52" s="3" t="s">
        <v>106</v>
      </c>
      <c r="AV52" s="3" t="s">
        <v>900</v>
      </c>
      <c r="AW52" s="3" t="s">
        <v>901</v>
      </c>
      <c r="AX52" s="3" t="s">
        <v>109</v>
      </c>
      <c r="AY52" s="3" t="s">
        <v>60</v>
      </c>
      <c r="AZ52" s="5" t="s">
        <v>60</v>
      </c>
      <c r="BA52" s="3" t="s">
        <v>87</v>
      </c>
      <c r="BB52" s="5" t="s">
        <v>899</v>
      </c>
      <c r="BC52" s="5" t="s">
        <v>60</v>
      </c>
      <c r="BD52" s="3" t="s">
        <v>902</v>
      </c>
      <c r="BE52" s="3" t="s">
        <v>88</v>
      </c>
      <c r="BF52" s="3" t="s">
        <v>88</v>
      </c>
    </row>
    <row r="53" spans="1:58" x14ac:dyDescent="0.2">
      <c r="A53" s="2" t="s">
        <v>903</v>
      </c>
      <c r="B53" s="2" t="s">
        <v>904</v>
      </c>
      <c r="C53" s="2" t="s">
        <v>60</v>
      </c>
      <c r="D53" s="2" t="s">
        <v>60</v>
      </c>
      <c r="E53" s="2" t="s">
        <v>60</v>
      </c>
      <c r="F53" s="2" t="s">
        <v>60</v>
      </c>
      <c r="G53" s="2" t="s">
        <v>905</v>
      </c>
      <c r="H53" s="2" t="s">
        <v>60</v>
      </c>
      <c r="I53" s="2" t="s">
        <v>60</v>
      </c>
      <c r="J53" s="2" t="s">
        <v>60</v>
      </c>
      <c r="K53" s="2" t="s">
        <v>903</v>
      </c>
      <c r="L53" s="2" t="s">
        <v>906</v>
      </c>
      <c r="M53" s="2" t="s">
        <v>134</v>
      </c>
      <c r="N53" s="2" t="s">
        <v>135</v>
      </c>
      <c r="O53" s="2" t="s">
        <v>135</v>
      </c>
      <c r="P53" s="2" t="s">
        <v>907</v>
      </c>
      <c r="Q53" s="2" t="s">
        <v>60</v>
      </c>
      <c r="R53" s="2" t="s">
        <v>908</v>
      </c>
      <c r="S53" s="2" t="s">
        <v>96</v>
      </c>
      <c r="T53" s="16" t="s">
        <v>60</v>
      </c>
      <c r="U53" s="2" t="s">
        <v>97</v>
      </c>
      <c r="V53" s="2" t="s">
        <v>71</v>
      </c>
      <c r="W53" s="2" t="s">
        <v>98</v>
      </c>
      <c r="X53" s="8" t="str">
        <f>HYPERLINK("http://www.unitedholding.com.sa", "www.unitedholding.com.sa")</f>
        <v>www.unitedholding.com.sa</v>
      </c>
      <c r="Y53" s="8" t="str">
        <f>HYPERLINK("http://www.linkedin.com/company/united-international-holding", "http://www.linkedin.com/company/united-international-holding")</f>
        <v>http://www.linkedin.com/company/united-international-holding</v>
      </c>
      <c r="Z53" s="28" t="s">
        <v>60</v>
      </c>
      <c r="AA53" s="2" t="s">
        <v>60</v>
      </c>
      <c r="AB53" s="2" t="s">
        <v>74</v>
      </c>
      <c r="AC53" s="2" t="s">
        <v>909</v>
      </c>
      <c r="AD53" s="40" t="s">
        <v>60</v>
      </c>
      <c r="AE53" s="2" t="s">
        <v>60</v>
      </c>
      <c r="AF53" s="52">
        <v>196.76</v>
      </c>
      <c r="AG53" s="52">
        <v>166.78</v>
      </c>
      <c r="AH53" s="52">
        <v>70.13</v>
      </c>
      <c r="AI53" s="52">
        <v>1074.06</v>
      </c>
      <c r="AJ53" s="52">
        <v>104.82</v>
      </c>
      <c r="AK53" s="52">
        <v>102.91</v>
      </c>
      <c r="AL53" s="52">
        <v>1030.1400000000001</v>
      </c>
      <c r="AM53" s="52">
        <v>6.31</v>
      </c>
      <c r="AN53" s="64" t="s">
        <v>60</v>
      </c>
      <c r="AO53" s="4" t="s">
        <v>179</v>
      </c>
      <c r="AP53" s="2" t="s">
        <v>910</v>
      </c>
      <c r="AQ53" s="2" t="s">
        <v>911</v>
      </c>
      <c r="AR53" s="2" t="s">
        <v>79</v>
      </c>
      <c r="AS53" s="2" t="s">
        <v>912</v>
      </c>
      <c r="AT53" s="2" t="s">
        <v>913</v>
      </c>
      <c r="AU53" s="2" t="s">
        <v>700</v>
      </c>
      <c r="AV53" s="2" t="s">
        <v>914</v>
      </c>
      <c r="AW53" s="2" t="s">
        <v>915</v>
      </c>
      <c r="AX53" s="2" t="s">
        <v>703</v>
      </c>
      <c r="AY53" s="2" t="s">
        <v>916</v>
      </c>
      <c r="AZ53" s="4" t="s">
        <v>917</v>
      </c>
      <c r="BA53" s="2" t="s">
        <v>87</v>
      </c>
      <c r="BB53" s="4" t="s">
        <v>913</v>
      </c>
      <c r="BC53" s="4" t="s">
        <v>918</v>
      </c>
      <c r="BD53" s="2" t="s">
        <v>919</v>
      </c>
      <c r="BE53" s="2" t="s">
        <v>88</v>
      </c>
      <c r="BF53" s="2" t="s">
        <v>88</v>
      </c>
    </row>
    <row r="54" spans="1:58" x14ac:dyDescent="0.2">
      <c r="A54" s="3" t="s">
        <v>920</v>
      </c>
      <c r="B54" s="3" t="s">
        <v>921</v>
      </c>
      <c r="C54" s="3" t="s">
        <v>60</v>
      </c>
      <c r="D54" s="3" t="s">
        <v>60</v>
      </c>
      <c r="E54" s="3" t="s">
        <v>60</v>
      </c>
      <c r="F54" s="3" t="s">
        <v>60</v>
      </c>
      <c r="G54" s="3" t="s">
        <v>922</v>
      </c>
      <c r="H54" s="3" t="s">
        <v>60</v>
      </c>
      <c r="I54" s="3" t="s">
        <v>60</v>
      </c>
      <c r="J54" s="3" t="s">
        <v>60</v>
      </c>
      <c r="K54" s="3" t="s">
        <v>920</v>
      </c>
      <c r="L54" s="3" t="s">
        <v>923</v>
      </c>
      <c r="M54" s="3" t="s">
        <v>328</v>
      </c>
      <c r="N54" s="3" t="s">
        <v>329</v>
      </c>
      <c r="O54" s="3" t="s">
        <v>924</v>
      </c>
      <c r="P54" s="3" t="s">
        <v>925</v>
      </c>
      <c r="Q54" s="3" t="s">
        <v>67</v>
      </c>
      <c r="R54" s="3" t="s">
        <v>926</v>
      </c>
      <c r="S54" s="3" t="s">
        <v>96</v>
      </c>
      <c r="T54" s="17">
        <v>7.52</v>
      </c>
      <c r="U54" s="3" t="s">
        <v>70</v>
      </c>
      <c r="V54" s="3" t="s">
        <v>71</v>
      </c>
      <c r="W54" s="3" t="s">
        <v>98</v>
      </c>
      <c r="X54" s="9" t="str">
        <f>HYPERLINK("http://ipo.janamd.com.sa", "ipo.janamd.com.sa")</f>
        <v>ipo.janamd.com.sa</v>
      </c>
      <c r="Y54" s="9" t="str">
        <f>HYPERLINK("http://www.linkedin.com/company/janamedical", "http://www.linkedin.com/company/janamedical")</f>
        <v>http://www.linkedin.com/company/janamedical</v>
      </c>
      <c r="Z54" s="29" t="s">
        <v>60</v>
      </c>
      <c r="AA54" s="3" t="s">
        <v>60</v>
      </c>
      <c r="AB54" s="3" t="s">
        <v>74</v>
      </c>
      <c r="AC54" s="3" t="s">
        <v>927</v>
      </c>
      <c r="AD54" s="41">
        <v>2014</v>
      </c>
      <c r="AE54" s="3" t="s">
        <v>60</v>
      </c>
      <c r="AF54" s="53" t="s">
        <v>60</v>
      </c>
      <c r="AG54" s="53" t="s">
        <v>60</v>
      </c>
      <c r="AH54" s="53" t="s">
        <v>60</v>
      </c>
      <c r="AI54" s="53" t="s">
        <v>60</v>
      </c>
      <c r="AJ54" s="53" t="s">
        <v>60</v>
      </c>
      <c r="AK54" s="53" t="s">
        <v>60</v>
      </c>
      <c r="AL54" s="53">
        <v>12.14</v>
      </c>
      <c r="AM54" s="53" t="s">
        <v>60</v>
      </c>
      <c r="AN54" s="65" t="s">
        <v>60</v>
      </c>
      <c r="AO54" s="5" t="s">
        <v>60</v>
      </c>
      <c r="AP54" s="3" t="s">
        <v>928</v>
      </c>
      <c r="AQ54" s="3" t="s">
        <v>929</v>
      </c>
      <c r="AR54" s="3" t="s">
        <v>124</v>
      </c>
      <c r="AS54" s="3" t="s">
        <v>60</v>
      </c>
      <c r="AT54" s="3" t="s">
        <v>930</v>
      </c>
      <c r="AU54" s="3" t="s">
        <v>106</v>
      </c>
      <c r="AV54" s="3" t="s">
        <v>931</v>
      </c>
      <c r="AW54" s="3" t="s">
        <v>60</v>
      </c>
      <c r="AX54" s="3" t="s">
        <v>109</v>
      </c>
      <c r="AY54" s="3" t="s">
        <v>932</v>
      </c>
      <c r="AZ54" s="5" t="s">
        <v>933</v>
      </c>
      <c r="BA54" s="3" t="s">
        <v>87</v>
      </c>
      <c r="BB54" s="5" t="s">
        <v>930</v>
      </c>
      <c r="BC54" s="5" t="s">
        <v>930</v>
      </c>
      <c r="BD54" s="3" t="s">
        <v>934</v>
      </c>
      <c r="BE54" s="3" t="s">
        <v>88</v>
      </c>
      <c r="BF54" s="3" t="s">
        <v>88</v>
      </c>
    </row>
    <row r="55" spans="1:58" x14ac:dyDescent="0.2">
      <c r="A55" s="2" t="s">
        <v>935</v>
      </c>
      <c r="B55" s="2" t="s">
        <v>936</v>
      </c>
      <c r="C55" s="2" t="s">
        <v>60</v>
      </c>
      <c r="D55" s="2" t="s">
        <v>60</v>
      </c>
      <c r="E55" s="2" t="s">
        <v>937</v>
      </c>
      <c r="F55" s="2" t="s">
        <v>938</v>
      </c>
      <c r="G55" s="2" t="s">
        <v>939</v>
      </c>
      <c r="H55" s="2" t="s">
        <v>60</v>
      </c>
      <c r="I55" s="2" t="s">
        <v>60</v>
      </c>
      <c r="J55" s="2" t="s">
        <v>60</v>
      </c>
      <c r="K55" s="2" t="s">
        <v>935</v>
      </c>
      <c r="L55" s="2" t="s">
        <v>940</v>
      </c>
      <c r="M55" s="2" t="s">
        <v>115</v>
      </c>
      <c r="N55" s="2" t="s">
        <v>386</v>
      </c>
      <c r="O55" s="2" t="s">
        <v>941</v>
      </c>
      <c r="P55" s="2" t="s">
        <v>942</v>
      </c>
      <c r="Q55" s="2" t="s">
        <v>311</v>
      </c>
      <c r="R55" s="2" t="s">
        <v>943</v>
      </c>
      <c r="S55" s="2" t="s">
        <v>372</v>
      </c>
      <c r="T55" s="16">
        <v>294.41000000000003</v>
      </c>
      <c r="U55" s="2" t="s">
        <v>70</v>
      </c>
      <c r="V55" s="2" t="s">
        <v>71</v>
      </c>
      <c r="W55" s="2" t="s">
        <v>373</v>
      </c>
      <c r="X55" s="8" t="str">
        <f>HYPERLINK("http://www.srmg.com", "www.srmg.com")</f>
        <v>www.srmg.com</v>
      </c>
      <c r="Y55" s="8" t="str">
        <f>HYPERLINK("http://www.linkedin.com/company/saudi-research-and-media-group", "http://www.linkedin.com/company/saudi-research-and-media-group")</f>
        <v>http://www.linkedin.com/company/saudi-research-and-media-group</v>
      </c>
      <c r="Z55" s="28">
        <v>1900</v>
      </c>
      <c r="AA55" s="2" t="s">
        <v>944</v>
      </c>
      <c r="AB55" s="2" t="s">
        <v>74</v>
      </c>
      <c r="AC55" s="2" t="s">
        <v>945</v>
      </c>
      <c r="AD55" s="40">
        <v>1972</v>
      </c>
      <c r="AE55" s="2" t="s">
        <v>60</v>
      </c>
      <c r="AF55" s="52">
        <v>741.44</v>
      </c>
      <c r="AG55" s="52">
        <v>129.41</v>
      </c>
      <c r="AH55" s="52">
        <v>-33.090000000000003</v>
      </c>
      <c r="AI55" s="52">
        <v>3967.99</v>
      </c>
      <c r="AJ55" s="52">
        <v>51.86</v>
      </c>
      <c r="AK55" s="52">
        <v>-23.25</v>
      </c>
      <c r="AL55" s="52">
        <v>2448.37</v>
      </c>
      <c r="AM55" s="52">
        <v>59.11</v>
      </c>
      <c r="AN55" s="64">
        <v>-16.829999999999998</v>
      </c>
      <c r="AO55" s="4" t="s">
        <v>179</v>
      </c>
      <c r="AP55" s="2" t="s">
        <v>946</v>
      </c>
      <c r="AQ55" s="2" t="s">
        <v>947</v>
      </c>
      <c r="AR55" s="2" t="s">
        <v>948</v>
      </c>
      <c r="AS55" s="2" t="s">
        <v>949</v>
      </c>
      <c r="AT55" s="2" t="s">
        <v>950</v>
      </c>
      <c r="AU55" s="2" t="s">
        <v>106</v>
      </c>
      <c r="AV55" s="2" t="s">
        <v>951</v>
      </c>
      <c r="AW55" s="2" t="s">
        <v>952</v>
      </c>
      <c r="AX55" s="2" t="s">
        <v>109</v>
      </c>
      <c r="AY55" s="2" t="s">
        <v>60</v>
      </c>
      <c r="AZ55" s="4" t="s">
        <v>60</v>
      </c>
      <c r="BA55" s="2" t="s">
        <v>87</v>
      </c>
      <c r="BB55" s="4" t="s">
        <v>950</v>
      </c>
      <c r="BC55" s="4" t="s">
        <v>60</v>
      </c>
      <c r="BD55" s="2" t="s">
        <v>953</v>
      </c>
      <c r="BE55" s="2" t="s">
        <v>88</v>
      </c>
      <c r="BF55" s="2" t="s">
        <v>88</v>
      </c>
    </row>
    <row r="56" spans="1:58" x14ac:dyDescent="0.2">
      <c r="A56" s="3" t="s">
        <v>954</v>
      </c>
      <c r="B56" s="3" t="s">
        <v>955</v>
      </c>
      <c r="C56" s="3" t="s">
        <v>60</v>
      </c>
      <c r="D56" s="3" t="s">
        <v>60</v>
      </c>
      <c r="E56" s="3" t="s">
        <v>60</v>
      </c>
      <c r="F56" s="3" t="s">
        <v>60</v>
      </c>
      <c r="G56" s="3" t="s">
        <v>956</v>
      </c>
      <c r="H56" s="3" t="s">
        <v>60</v>
      </c>
      <c r="I56" s="3" t="s">
        <v>60</v>
      </c>
      <c r="J56" s="3" t="s">
        <v>60</v>
      </c>
      <c r="K56" s="3" t="s">
        <v>954</v>
      </c>
      <c r="L56" s="3" t="s">
        <v>957</v>
      </c>
      <c r="M56" s="3" t="s">
        <v>115</v>
      </c>
      <c r="N56" s="3" t="s">
        <v>308</v>
      </c>
      <c r="O56" s="3" t="s">
        <v>309</v>
      </c>
      <c r="P56" s="3" t="s">
        <v>958</v>
      </c>
      <c r="Q56" s="3" t="s">
        <v>60</v>
      </c>
      <c r="R56" s="3" t="s">
        <v>959</v>
      </c>
      <c r="S56" s="3" t="s">
        <v>96</v>
      </c>
      <c r="T56" s="17">
        <v>9.58</v>
      </c>
      <c r="U56" s="3" t="s">
        <v>97</v>
      </c>
      <c r="V56" s="3" t="s">
        <v>71</v>
      </c>
      <c r="W56" s="3" t="s">
        <v>98</v>
      </c>
      <c r="X56" s="9" t="str">
        <f>HYPERLINK("http://www.alfakhera.com", "www.alfakhera.com")</f>
        <v>www.alfakhera.com</v>
      </c>
      <c r="Y56" s="9" t="str">
        <f>HYPERLINK("http://www.linkedin.com/company/alfakhera", "http://www.linkedin.com/company/alfakhera")</f>
        <v>http://www.linkedin.com/company/alfakhera</v>
      </c>
      <c r="Z56" s="29" t="s">
        <v>60</v>
      </c>
      <c r="AA56" s="3" t="s">
        <v>60</v>
      </c>
      <c r="AB56" s="3" t="s">
        <v>74</v>
      </c>
      <c r="AC56" s="3" t="s">
        <v>960</v>
      </c>
      <c r="AD56" s="41">
        <v>1976</v>
      </c>
      <c r="AE56" s="3" t="s">
        <v>60</v>
      </c>
      <c r="AF56" s="53">
        <v>31.79</v>
      </c>
      <c r="AG56" s="53">
        <v>17.420000000000002</v>
      </c>
      <c r="AH56" s="53">
        <v>2.9</v>
      </c>
      <c r="AI56" s="53">
        <v>57.34</v>
      </c>
      <c r="AJ56" s="53" t="s">
        <v>60</v>
      </c>
      <c r="AK56" s="53">
        <v>4.71</v>
      </c>
      <c r="AL56" s="53">
        <v>50.92</v>
      </c>
      <c r="AM56" s="53">
        <v>0</v>
      </c>
      <c r="AN56" s="65" t="s">
        <v>60</v>
      </c>
      <c r="AO56" s="5" t="s">
        <v>76</v>
      </c>
      <c r="AP56" s="3" t="s">
        <v>961</v>
      </c>
      <c r="AQ56" s="3" t="s">
        <v>962</v>
      </c>
      <c r="AR56" s="3" t="s">
        <v>79</v>
      </c>
      <c r="AS56" s="3" t="s">
        <v>963</v>
      </c>
      <c r="AT56" s="3" t="s">
        <v>964</v>
      </c>
      <c r="AU56" s="3" t="s">
        <v>106</v>
      </c>
      <c r="AV56" s="3" t="s">
        <v>965</v>
      </c>
      <c r="AW56" s="3" t="s">
        <v>966</v>
      </c>
      <c r="AX56" s="3" t="s">
        <v>109</v>
      </c>
      <c r="AY56" s="3" t="s">
        <v>60</v>
      </c>
      <c r="AZ56" s="5" t="s">
        <v>967</v>
      </c>
      <c r="BA56" s="3" t="s">
        <v>87</v>
      </c>
      <c r="BB56" s="5" t="s">
        <v>964</v>
      </c>
      <c r="BC56" s="5" t="s">
        <v>60</v>
      </c>
      <c r="BD56" s="3" t="s">
        <v>968</v>
      </c>
      <c r="BE56" s="3" t="s">
        <v>88</v>
      </c>
      <c r="BF56" s="3" t="s">
        <v>88</v>
      </c>
    </row>
    <row r="57" spans="1:58" x14ac:dyDescent="0.2">
      <c r="A57" s="2" t="s">
        <v>969</v>
      </c>
      <c r="B57" s="2" t="s">
        <v>970</v>
      </c>
      <c r="C57" s="2" t="s">
        <v>60</v>
      </c>
      <c r="D57" s="2" t="s">
        <v>60</v>
      </c>
      <c r="E57" s="2" t="s">
        <v>60</v>
      </c>
      <c r="F57" s="2" t="s">
        <v>60</v>
      </c>
      <c r="G57" s="2" t="s">
        <v>971</v>
      </c>
      <c r="H57" s="2" t="s">
        <v>60</v>
      </c>
      <c r="I57" s="2" t="s">
        <v>60</v>
      </c>
      <c r="J57" s="2" t="s">
        <v>60</v>
      </c>
      <c r="K57" s="2" t="s">
        <v>969</v>
      </c>
      <c r="L57" s="2" t="s">
        <v>972</v>
      </c>
      <c r="M57" s="2" t="s">
        <v>63</v>
      </c>
      <c r="N57" s="2" t="s">
        <v>92</v>
      </c>
      <c r="O57" s="2" t="s">
        <v>973</v>
      </c>
      <c r="P57" s="2" t="s">
        <v>974</v>
      </c>
      <c r="Q57" s="2" t="s">
        <v>60</v>
      </c>
      <c r="R57" s="2" t="s">
        <v>975</v>
      </c>
      <c r="S57" s="2" t="s">
        <v>174</v>
      </c>
      <c r="T57" s="16" t="s">
        <v>60</v>
      </c>
      <c r="U57" s="2" t="s">
        <v>97</v>
      </c>
      <c r="V57" s="2" t="s">
        <v>71</v>
      </c>
      <c r="W57" s="2" t="s">
        <v>175</v>
      </c>
      <c r="X57" s="8" t="str">
        <f>HYPERLINK("http://www.tamkeenhr.com", "www.tamkeenhr.com")</f>
        <v>www.tamkeenhr.com</v>
      </c>
      <c r="Y57" s="8" t="str">
        <f>HYPERLINK("http://www.linkedin.com/company/tamkeen-hr", "http://www.linkedin.com/company/tamkeen-hr")</f>
        <v>http://www.linkedin.com/company/tamkeen-hr</v>
      </c>
      <c r="Z57" s="28">
        <v>148</v>
      </c>
      <c r="AA57" s="2" t="s">
        <v>976</v>
      </c>
      <c r="AB57" s="2" t="s">
        <v>74</v>
      </c>
      <c r="AC57" s="2" t="s">
        <v>977</v>
      </c>
      <c r="AD57" s="40">
        <v>2018</v>
      </c>
      <c r="AE57" s="2" t="s">
        <v>60</v>
      </c>
      <c r="AF57" s="52">
        <v>259.66000000000003</v>
      </c>
      <c r="AG57" s="52">
        <v>47.34</v>
      </c>
      <c r="AH57" s="52">
        <v>26.45</v>
      </c>
      <c r="AI57" s="52">
        <v>358.57</v>
      </c>
      <c r="AJ57" s="52">
        <v>37.15</v>
      </c>
      <c r="AK57" s="52">
        <v>26.75</v>
      </c>
      <c r="AL57" s="52">
        <v>380.1</v>
      </c>
      <c r="AM57" s="52">
        <v>-40.950000000000003</v>
      </c>
      <c r="AN57" s="64" t="s">
        <v>60</v>
      </c>
      <c r="AO57" s="4" t="s">
        <v>179</v>
      </c>
      <c r="AP57" s="2" t="s">
        <v>978</v>
      </c>
      <c r="AQ57" s="2" t="s">
        <v>979</v>
      </c>
      <c r="AR57" s="2" t="s">
        <v>124</v>
      </c>
      <c r="AS57" s="2" t="s">
        <v>980</v>
      </c>
      <c r="AT57" s="2" t="s">
        <v>981</v>
      </c>
      <c r="AU57" s="2" t="s">
        <v>106</v>
      </c>
      <c r="AV57" s="2" t="s">
        <v>982</v>
      </c>
      <c r="AW57" s="2" t="s">
        <v>983</v>
      </c>
      <c r="AX57" s="2" t="s">
        <v>109</v>
      </c>
      <c r="AY57" s="2" t="s">
        <v>984</v>
      </c>
      <c r="AZ57" s="4" t="s">
        <v>985</v>
      </c>
      <c r="BA57" s="2" t="s">
        <v>87</v>
      </c>
      <c r="BB57" s="4" t="s">
        <v>981</v>
      </c>
      <c r="BC57" s="4" t="s">
        <v>60</v>
      </c>
      <c r="BD57" s="2" t="s">
        <v>986</v>
      </c>
      <c r="BE57" s="2" t="s">
        <v>88</v>
      </c>
      <c r="BF57" s="2" t="s">
        <v>88</v>
      </c>
    </row>
    <row r="58" spans="1:58" x14ac:dyDescent="0.2">
      <c r="A58" s="3" t="s">
        <v>987</v>
      </c>
      <c r="B58" s="3" t="s">
        <v>988</v>
      </c>
      <c r="C58" s="3" t="s">
        <v>60</v>
      </c>
      <c r="D58" s="3" t="s">
        <v>60</v>
      </c>
      <c r="E58" s="3" t="s">
        <v>60</v>
      </c>
      <c r="F58" s="3" t="s">
        <v>60</v>
      </c>
      <c r="G58" s="3" t="s">
        <v>989</v>
      </c>
      <c r="H58" s="3" t="s">
        <v>60</v>
      </c>
      <c r="I58" s="3" t="s">
        <v>60</v>
      </c>
      <c r="J58" s="3" t="s">
        <v>60</v>
      </c>
      <c r="K58" s="3" t="s">
        <v>987</v>
      </c>
      <c r="L58" s="3" t="s">
        <v>990</v>
      </c>
      <c r="M58" s="3" t="s">
        <v>115</v>
      </c>
      <c r="N58" s="3" t="s">
        <v>386</v>
      </c>
      <c r="O58" s="3" t="s">
        <v>991</v>
      </c>
      <c r="P58" s="3" t="s">
        <v>992</v>
      </c>
      <c r="Q58" s="3" t="s">
        <v>60</v>
      </c>
      <c r="R58" s="3" t="s">
        <v>993</v>
      </c>
      <c r="S58" s="3" t="s">
        <v>96</v>
      </c>
      <c r="T58" s="17">
        <v>12.29</v>
      </c>
      <c r="U58" s="3" t="s">
        <v>97</v>
      </c>
      <c r="V58" s="3" t="s">
        <v>71</v>
      </c>
      <c r="W58" s="3" t="s">
        <v>98</v>
      </c>
      <c r="X58" s="9" t="str">
        <f>HYPERLINK("http://www.mufeed.com", "www.mufeed.com")</f>
        <v>www.mufeed.com</v>
      </c>
      <c r="Y58" s="9" t="str">
        <f>HYPERLINK("http://www.linkedin.com/company/mufeed-ksa", "http://www.linkedin.com/company/mufeed-ksa")</f>
        <v>http://www.linkedin.com/company/mufeed-ksa</v>
      </c>
      <c r="Z58" s="29" t="s">
        <v>60</v>
      </c>
      <c r="AA58" s="3" t="s">
        <v>60</v>
      </c>
      <c r="AB58" s="3" t="s">
        <v>74</v>
      </c>
      <c r="AC58" s="3" t="s">
        <v>994</v>
      </c>
      <c r="AD58" s="41">
        <v>2009</v>
      </c>
      <c r="AE58" s="3" t="s">
        <v>60</v>
      </c>
      <c r="AF58" s="53">
        <v>44.46</v>
      </c>
      <c r="AG58" s="53" t="s">
        <v>60</v>
      </c>
      <c r="AH58" s="53">
        <v>8.69</v>
      </c>
      <c r="AI58" s="53">
        <v>103.03</v>
      </c>
      <c r="AJ58" s="53">
        <v>9.4700000000000006</v>
      </c>
      <c r="AK58" s="53">
        <v>9.4700000000000006</v>
      </c>
      <c r="AL58" s="53">
        <v>61.18</v>
      </c>
      <c r="AM58" s="53">
        <v>0</v>
      </c>
      <c r="AN58" s="65" t="s">
        <v>60</v>
      </c>
      <c r="AO58" s="5" t="s">
        <v>76</v>
      </c>
      <c r="AP58" s="3" t="s">
        <v>995</v>
      </c>
      <c r="AQ58" s="3" t="s">
        <v>996</v>
      </c>
      <c r="AR58" s="3" t="s">
        <v>997</v>
      </c>
      <c r="AS58" s="3" t="s">
        <v>998</v>
      </c>
      <c r="AT58" s="3" t="s">
        <v>999</v>
      </c>
      <c r="AU58" s="3" t="s">
        <v>106</v>
      </c>
      <c r="AV58" s="3" t="s">
        <v>1000</v>
      </c>
      <c r="AW58" s="3" t="s">
        <v>1001</v>
      </c>
      <c r="AX58" s="3" t="s">
        <v>109</v>
      </c>
      <c r="AY58" s="3" t="s">
        <v>60</v>
      </c>
      <c r="AZ58" s="5" t="s">
        <v>1002</v>
      </c>
      <c r="BA58" s="3" t="s">
        <v>87</v>
      </c>
      <c r="BB58" s="5" t="s">
        <v>999</v>
      </c>
      <c r="BC58" s="5" t="s">
        <v>60</v>
      </c>
      <c r="BD58" s="3" t="s">
        <v>1003</v>
      </c>
      <c r="BE58" s="3" t="s">
        <v>88</v>
      </c>
      <c r="BF58" s="3" t="s">
        <v>88</v>
      </c>
    </row>
    <row r="59" spans="1:58" x14ac:dyDescent="0.2">
      <c r="A59" s="2" t="s">
        <v>1004</v>
      </c>
      <c r="B59" s="2" t="s">
        <v>1005</v>
      </c>
      <c r="C59" s="2" t="s">
        <v>60</v>
      </c>
      <c r="D59" s="2" t="s">
        <v>60</v>
      </c>
      <c r="E59" s="2" t="s">
        <v>60</v>
      </c>
      <c r="F59" s="2" t="s">
        <v>60</v>
      </c>
      <c r="G59" s="2" t="s">
        <v>1006</v>
      </c>
      <c r="H59" s="2" t="s">
        <v>60</v>
      </c>
      <c r="I59" s="2" t="s">
        <v>60</v>
      </c>
      <c r="J59" s="2" t="s">
        <v>60</v>
      </c>
      <c r="K59" s="2" t="s">
        <v>1004</v>
      </c>
      <c r="L59" s="2" t="s">
        <v>1007</v>
      </c>
      <c r="M59" s="2" t="s">
        <v>63</v>
      </c>
      <c r="N59" s="2" t="s">
        <v>92</v>
      </c>
      <c r="O59" s="2" t="s">
        <v>1008</v>
      </c>
      <c r="P59" s="2" t="s">
        <v>1009</v>
      </c>
      <c r="Q59" s="2" t="s">
        <v>60</v>
      </c>
      <c r="R59" s="2" t="s">
        <v>1010</v>
      </c>
      <c r="S59" s="2" t="s">
        <v>96</v>
      </c>
      <c r="T59" s="16">
        <v>10.220000000000001</v>
      </c>
      <c r="U59" s="2" t="s">
        <v>97</v>
      </c>
      <c r="V59" s="2" t="s">
        <v>71</v>
      </c>
      <c r="W59" s="2" t="s">
        <v>98</v>
      </c>
      <c r="X59" s="8" t="str">
        <f>HYPERLINK("http://www.shalfa.sa", "www.shalfa.sa")</f>
        <v>www.shalfa.sa</v>
      </c>
      <c r="Y59" s="8" t="str">
        <f>HYPERLINK("http://www.linkedin.com/company/shalfa", "http://www.linkedin.com/company/shalfa")</f>
        <v>http://www.linkedin.com/company/shalfa</v>
      </c>
      <c r="Z59" s="28" t="s">
        <v>60</v>
      </c>
      <c r="AA59" s="2" t="s">
        <v>60</v>
      </c>
      <c r="AB59" s="2" t="s">
        <v>74</v>
      </c>
      <c r="AC59" s="2" t="s">
        <v>1011</v>
      </c>
      <c r="AD59" s="40">
        <v>1981</v>
      </c>
      <c r="AE59" s="2" t="s">
        <v>60</v>
      </c>
      <c r="AF59" s="52">
        <v>91.75</v>
      </c>
      <c r="AG59" s="52">
        <v>15.08</v>
      </c>
      <c r="AH59" s="52">
        <v>6.37</v>
      </c>
      <c r="AI59" s="52">
        <v>92.76</v>
      </c>
      <c r="AJ59" s="52">
        <v>7.45</v>
      </c>
      <c r="AK59" s="52">
        <v>7.45</v>
      </c>
      <c r="AL59" s="52">
        <v>59.74</v>
      </c>
      <c r="AM59" s="52">
        <v>22.88</v>
      </c>
      <c r="AN59" s="64" t="s">
        <v>60</v>
      </c>
      <c r="AO59" s="4" t="s">
        <v>76</v>
      </c>
      <c r="AP59" s="2" t="s">
        <v>1012</v>
      </c>
      <c r="AQ59" s="2" t="s">
        <v>1013</v>
      </c>
      <c r="AR59" s="2" t="s">
        <v>79</v>
      </c>
      <c r="AS59" s="2" t="s">
        <v>60</v>
      </c>
      <c r="AT59" s="2" t="s">
        <v>1014</v>
      </c>
      <c r="AU59" s="2" t="s">
        <v>106</v>
      </c>
      <c r="AV59" s="2" t="s">
        <v>1015</v>
      </c>
      <c r="AW59" s="2" t="s">
        <v>60</v>
      </c>
      <c r="AX59" s="2" t="s">
        <v>109</v>
      </c>
      <c r="AY59" s="2" t="s">
        <v>60</v>
      </c>
      <c r="AZ59" s="4" t="s">
        <v>1016</v>
      </c>
      <c r="BA59" s="2" t="s">
        <v>87</v>
      </c>
      <c r="BB59" s="4" t="s">
        <v>1014</v>
      </c>
      <c r="BC59" s="4" t="s">
        <v>1017</v>
      </c>
      <c r="BD59" s="2" t="s">
        <v>1018</v>
      </c>
      <c r="BE59" s="2" t="s">
        <v>88</v>
      </c>
      <c r="BF59" s="2" t="s">
        <v>88</v>
      </c>
    </row>
    <row r="60" spans="1:58" x14ac:dyDescent="0.2">
      <c r="A60" s="3" t="s">
        <v>1019</v>
      </c>
      <c r="B60" s="3" t="s">
        <v>1020</v>
      </c>
      <c r="C60" s="3" t="s">
        <v>60</v>
      </c>
      <c r="D60" s="3" t="s">
        <v>60</v>
      </c>
      <c r="E60" s="3" t="s">
        <v>60</v>
      </c>
      <c r="F60" s="3" t="s">
        <v>60</v>
      </c>
      <c r="G60" s="3" t="s">
        <v>1021</v>
      </c>
      <c r="H60" s="3" t="s">
        <v>60</v>
      </c>
      <c r="I60" s="3" t="s">
        <v>60</v>
      </c>
      <c r="J60" s="3" t="s">
        <v>60</v>
      </c>
      <c r="K60" s="3" t="s">
        <v>1019</v>
      </c>
      <c r="L60" s="3" t="s">
        <v>1022</v>
      </c>
      <c r="M60" s="3" t="s">
        <v>485</v>
      </c>
      <c r="N60" s="3" t="s">
        <v>1023</v>
      </c>
      <c r="O60" s="3" t="s">
        <v>1024</v>
      </c>
      <c r="P60" s="3" t="s">
        <v>1025</v>
      </c>
      <c r="Q60" s="3" t="s">
        <v>1026</v>
      </c>
      <c r="R60" s="3" t="s">
        <v>1027</v>
      </c>
      <c r="S60" s="3" t="s">
        <v>620</v>
      </c>
      <c r="T60" s="17">
        <v>6.38</v>
      </c>
      <c r="U60" s="3" t="s">
        <v>97</v>
      </c>
      <c r="V60" s="3" t="s">
        <v>71</v>
      </c>
      <c r="W60" s="3" t="s">
        <v>621</v>
      </c>
      <c r="X60" s="9" t="str">
        <f>HYPERLINK("http://www.purity.sa", "www.purity.sa")</f>
        <v>www.purity.sa</v>
      </c>
      <c r="Y60" s="9" t="str">
        <f>HYPERLINK("http://www.linkedin.com/company/purityksa", "http://www.linkedin.com/company/purityksa")</f>
        <v>http://www.linkedin.com/company/purityksa</v>
      </c>
      <c r="Z60" s="29" t="s">
        <v>60</v>
      </c>
      <c r="AA60" s="3" t="s">
        <v>60</v>
      </c>
      <c r="AB60" s="3" t="s">
        <v>74</v>
      </c>
      <c r="AC60" s="3" t="s">
        <v>1028</v>
      </c>
      <c r="AD60" s="41">
        <v>2012</v>
      </c>
      <c r="AE60" s="3" t="s">
        <v>60</v>
      </c>
      <c r="AF60" s="53">
        <v>25.3</v>
      </c>
      <c r="AG60" s="53">
        <v>3.69</v>
      </c>
      <c r="AH60" s="53">
        <v>0.41</v>
      </c>
      <c r="AI60" s="53">
        <v>86.2</v>
      </c>
      <c r="AJ60" s="53">
        <v>1.1399999999999999</v>
      </c>
      <c r="AK60" s="53">
        <v>0.97</v>
      </c>
      <c r="AL60" s="53">
        <v>83.9</v>
      </c>
      <c r="AM60" s="53">
        <v>0.46</v>
      </c>
      <c r="AN60" s="65">
        <v>2.39</v>
      </c>
      <c r="AO60" s="5" t="s">
        <v>141</v>
      </c>
      <c r="AP60" s="3" t="s">
        <v>1029</v>
      </c>
      <c r="AQ60" s="3" t="s">
        <v>1030</v>
      </c>
      <c r="AR60" s="3" t="s">
        <v>79</v>
      </c>
      <c r="AS60" s="3" t="s">
        <v>60</v>
      </c>
      <c r="AT60" s="3" t="s">
        <v>1031</v>
      </c>
      <c r="AU60" s="3" t="s">
        <v>106</v>
      </c>
      <c r="AV60" s="3" t="s">
        <v>1032</v>
      </c>
      <c r="AW60" s="3" t="s">
        <v>1033</v>
      </c>
      <c r="AX60" s="3" t="s">
        <v>109</v>
      </c>
      <c r="AY60" s="3" t="s">
        <v>60</v>
      </c>
      <c r="AZ60" s="5" t="s">
        <v>1034</v>
      </c>
      <c r="BA60" s="3" t="s">
        <v>87</v>
      </c>
      <c r="BB60" s="5" t="s">
        <v>1031</v>
      </c>
      <c r="BC60" s="5" t="s">
        <v>60</v>
      </c>
      <c r="BD60" s="3" t="s">
        <v>1035</v>
      </c>
      <c r="BE60" s="3" t="s">
        <v>88</v>
      </c>
      <c r="BF60" s="3" t="s">
        <v>88</v>
      </c>
    </row>
    <row r="61" spans="1:58" x14ac:dyDescent="0.2">
      <c r="A61" s="2" t="s">
        <v>1036</v>
      </c>
      <c r="B61" s="2" t="s">
        <v>1037</v>
      </c>
      <c r="C61" s="2" t="s">
        <v>60</v>
      </c>
      <c r="D61" s="2" t="s">
        <v>60</v>
      </c>
      <c r="E61" s="2" t="s">
        <v>1038</v>
      </c>
      <c r="F61" s="2" t="s">
        <v>1039</v>
      </c>
      <c r="G61" s="2" t="s">
        <v>1040</v>
      </c>
      <c r="H61" s="2" t="s">
        <v>60</v>
      </c>
      <c r="I61" s="2" t="s">
        <v>60</v>
      </c>
      <c r="J61" s="2" t="s">
        <v>60</v>
      </c>
      <c r="K61" s="2" t="s">
        <v>1036</v>
      </c>
      <c r="L61" s="2" t="s">
        <v>1041</v>
      </c>
      <c r="M61" s="2" t="s">
        <v>115</v>
      </c>
      <c r="N61" s="2" t="s">
        <v>386</v>
      </c>
      <c r="O61" s="2" t="s">
        <v>1042</v>
      </c>
      <c r="P61" s="2" t="s">
        <v>1043</v>
      </c>
      <c r="Q61" s="2" t="s">
        <v>311</v>
      </c>
      <c r="R61" s="2" t="s">
        <v>1044</v>
      </c>
      <c r="S61" s="2" t="s">
        <v>69</v>
      </c>
      <c r="T61" s="16">
        <v>220.59</v>
      </c>
      <c r="U61" s="2" t="s">
        <v>97</v>
      </c>
      <c r="V61" s="2" t="s">
        <v>71</v>
      </c>
      <c r="W61" s="2" t="s">
        <v>72</v>
      </c>
      <c r="X61" s="8" t="str">
        <f>HYPERLINK("http://www.mbc.net", "www.mbc.net")</f>
        <v>www.mbc.net</v>
      </c>
      <c r="Y61" s="8" t="str">
        <f>HYPERLINK("http://www.linkedin.com/company/mbcgroup", "http://www.linkedin.com/company/mbcgroup")</f>
        <v>http://www.linkedin.com/company/mbcgroup</v>
      </c>
      <c r="Z61" s="28">
        <v>2956</v>
      </c>
      <c r="AA61" s="2" t="s">
        <v>1045</v>
      </c>
      <c r="AB61" s="2" t="s">
        <v>74</v>
      </c>
      <c r="AC61" s="2" t="s">
        <v>1046</v>
      </c>
      <c r="AD61" s="40">
        <v>1991</v>
      </c>
      <c r="AE61" s="2" t="s">
        <v>60</v>
      </c>
      <c r="AF61" s="52">
        <v>1352.92</v>
      </c>
      <c r="AG61" s="52">
        <v>375.5</v>
      </c>
      <c r="AH61" s="52">
        <v>154.80000000000001</v>
      </c>
      <c r="AI61" s="52">
        <v>3018.8</v>
      </c>
      <c r="AJ61" s="52">
        <v>178.73</v>
      </c>
      <c r="AK61" s="52">
        <v>151.30000000000001</v>
      </c>
      <c r="AL61" s="52">
        <v>2532.94</v>
      </c>
      <c r="AM61" s="52">
        <v>-273.82</v>
      </c>
      <c r="AN61" s="64" t="s">
        <v>60</v>
      </c>
      <c r="AO61" s="4" t="s">
        <v>179</v>
      </c>
      <c r="AP61" s="2" t="s">
        <v>1047</v>
      </c>
      <c r="AQ61" s="2" t="s">
        <v>1048</v>
      </c>
      <c r="AR61" s="2" t="s">
        <v>1049</v>
      </c>
      <c r="AS61" s="2" t="s">
        <v>1050</v>
      </c>
      <c r="AT61" s="2" t="s">
        <v>1051</v>
      </c>
      <c r="AU61" s="2" t="s">
        <v>106</v>
      </c>
      <c r="AV61" s="2" t="s">
        <v>1052</v>
      </c>
      <c r="AW61" s="2" t="s">
        <v>1053</v>
      </c>
      <c r="AX61" s="2" t="s">
        <v>109</v>
      </c>
      <c r="AY61" s="2" t="s">
        <v>60</v>
      </c>
      <c r="AZ61" s="4" t="s">
        <v>1054</v>
      </c>
      <c r="BA61" s="2" t="s">
        <v>87</v>
      </c>
      <c r="BB61" s="4" t="s">
        <v>1051</v>
      </c>
      <c r="BC61" s="4" t="s">
        <v>1055</v>
      </c>
      <c r="BD61" s="2" t="s">
        <v>1056</v>
      </c>
      <c r="BE61" s="2" t="s">
        <v>88</v>
      </c>
      <c r="BF61" s="2" t="s">
        <v>88</v>
      </c>
    </row>
    <row r="62" spans="1:58" x14ac:dyDescent="0.2">
      <c r="A62" s="3" t="s">
        <v>1057</v>
      </c>
      <c r="B62" s="3" t="s">
        <v>1058</v>
      </c>
      <c r="C62" s="3" t="s">
        <v>60</v>
      </c>
      <c r="D62" s="3" t="s">
        <v>60</v>
      </c>
      <c r="E62" s="3" t="s">
        <v>60</v>
      </c>
      <c r="F62" s="3" t="s">
        <v>60</v>
      </c>
      <c r="G62" s="3" t="s">
        <v>1059</v>
      </c>
      <c r="H62" s="3" t="s">
        <v>60</v>
      </c>
      <c r="I62" s="3" t="s">
        <v>60</v>
      </c>
      <c r="J62" s="3" t="s">
        <v>60</v>
      </c>
      <c r="K62" s="3" t="s">
        <v>1057</v>
      </c>
      <c r="L62" s="3" t="s">
        <v>1060</v>
      </c>
      <c r="M62" s="3" t="s">
        <v>115</v>
      </c>
      <c r="N62" s="3" t="s">
        <v>208</v>
      </c>
      <c r="O62" s="3" t="s">
        <v>226</v>
      </c>
      <c r="P62" s="3" t="s">
        <v>1061</v>
      </c>
      <c r="Q62" s="3" t="s">
        <v>60</v>
      </c>
      <c r="R62" s="3" t="s">
        <v>1062</v>
      </c>
      <c r="S62" s="3" t="s">
        <v>174</v>
      </c>
      <c r="T62" s="17" t="s">
        <v>60</v>
      </c>
      <c r="U62" s="3" t="s">
        <v>97</v>
      </c>
      <c r="V62" s="3" t="s">
        <v>71</v>
      </c>
      <c r="W62" s="3" t="s">
        <v>175</v>
      </c>
      <c r="X62" s="9" t="str">
        <f>HYPERLINK("http://www.mc4.com.sa", "www.mc4.com.sa")</f>
        <v>www.mc4.com.sa</v>
      </c>
      <c r="Y62" s="3" t="s">
        <v>60</v>
      </c>
      <c r="Z62" s="29">
        <v>532</v>
      </c>
      <c r="AA62" s="3" t="s">
        <v>1063</v>
      </c>
      <c r="AB62" s="3" t="s">
        <v>74</v>
      </c>
      <c r="AC62" s="3" t="s">
        <v>1064</v>
      </c>
      <c r="AD62" s="41">
        <v>1972</v>
      </c>
      <c r="AE62" s="3" t="s">
        <v>60</v>
      </c>
      <c r="AF62" s="53">
        <v>172.13</v>
      </c>
      <c r="AG62" s="53">
        <v>81.14</v>
      </c>
      <c r="AH62" s="53">
        <v>48.18</v>
      </c>
      <c r="AI62" s="53">
        <v>594.39</v>
      </c>
      <c r="AJ62" s="53">
        <v>65.510000000000005</v>
      </c>
      <c r="AK62" s="53">
        <v>50.94</v>
      </c>
      <c r="AL62" s="53">
        <v>522.12</v>
      </c>
      <c r="AM62" s="53">
        <v>55.14</v>
      </c>
      <c r="AN62" s="65">
        <v>6.04</v>
      </c>
      <c r="AO62" s="5" t="s">
        <v>179</v>
      </c>
      <c r="AP62" s="3" t="s">
        <v>1065</v>
      </c>
      <c r="AQ62" s="3" t="s">
        <v>1066</v>
      </c>
      <c r="AR62" s="3" t="s">
        <v>1067</v>
      </c>
      <c r="AS62" s="3" t="s">
        <v>60</v>
      </c>
      <c r="AT62" s="3" t="s">
        <v>1068</v>
      </c>
      <c r="AU62" s="3" t="s">
        <v>847</v>
      </c>
      <c r="AV62" s="3" t="s">
        <v>1069</v>
      </c>
      <c r="AW62" s="3" t="s">
        <v>60</v>
      </c>
      <c r="AX62" s="3" t="s">
        <v>849</v>
      </c>
      <c r="AY62" s="3" t="s">
        <v>60</v>
      </c>
      <c r="AZ62" s="5" t="s">
        <v>1070</v>
      </c>
      <c r="BA62" s="3" t="s">
        <v>87</v>
      </c>
      <c r="BB62" s="5" t="s">
        <v>1068</v>
      </c>
      <c r="BC62" s="5" t="s">
        <v>1071</v>
      </c>
      <c r="BD62" s="3" t="s">
        <v>1072</v>
      </c>
      <c r="BE62" s="3" t="s">
        <v>88</v>
      </c>
      <c r="BF62" s="3" t="s">
        <v>88</v>
      </c>
    </row>
    <row r="63" spans="1:58" x14ac:dyDescent="0.2">
      <c r="A63" s="2" t="s">
        <v>1073</v>
      </c>
      <c r="B63" s="2" t="s">
        <v>1074</v>
      </c>
      <c r="C63" s="2" t="s">
        <v>60</v>
      </c>
      <c r="D63" s="2" t="s">
        <v>60</v>
      </c>
      <c r="E63" s="2" t="s">
        <v>60</v>
      </c>
      <c r="F63" s="2" t="s">
        <v>60</v>
      </c>
      <c r="G63" s="2" t="s">
        <v>1075</v>
      </c>
      <c r="H63" s="2" t="s">
        <v>60</v>
      </c>
      <c r="I63" s="2" t="s">
        <v>60</v>
      </c>
      <c r="J63" s="2" t="s">
        <v>60</v>
      </c>
      <c r="K63" s="2" t="s">
        <v>1073</v>
      </c>
      <c r="L63" s="2" t="s">
        <v>1076</v>
      </c>
      <c r="M63" s="2" t="s">
        <v>115</v>
      </c>
      <c r="N63" s="2" t="s">
        <v>208</v>
      </c>
      <c r="O63" s="2" t="s">
        <v>710</v>
      </c>
      <c r="P63" s="2" t="s">
        <v>1077</v>
      </c>
      <c r="Q63" s="2" t="s">
        <v>67</v>
      </c>
      <c r="R63" s="2" t="s">
        <v>1078</v>
      </c>
      <c r="S63" s="2" t="s">
        <v>96</v>
      </c>
      <c r="T63" s="16">
        <v>7.18</v>
      </c>
      <c r="U63" s="2" t="s">
        <v>97</v>
      </c>
      <c r="V63" s="2" t="s">
        <v>71</v>
      </c>
      <c r="W63" s="2" t="s">
        <v>98</v>
      </c>
      <c r="X63" s="8" t="str">
        <f>HYPERLINK("http://www.samawaterco.com", "www.samawaterco.com")</f>
        <v>www.samawaterco.com</v>
      </c>
      <c r="Y63" s="8" t="str">
        <f>HYPERLINK("http://www.linkedin.com/company/sama-water-company", "http://www.linkedin.com/company/sama-water-company")</f>
        <v>http://www.linkedin.com/company/sama-water-company</v>
      </c>
      <c r="Z63" s="28">
        <v>343</v>
      </c>
      <c r="AA63" s="2" t="s">
        <v>1079</v>
      </c>
      <c r="AB63" s="2" t="s">
        <v>74</v>
      </c>
      <c r="AC63" s="2" t="s">
        <v>1080</v>
      </c>
      <c r="AD63" s="40">
        <v>2008</v>
      </c>
      <c r="AE63" s="2" t="s">
        <v>60</v>
      </c>
      <c r="AF63" s="52">
        <v>22.66</v>
      </c>
      <c r="AG63" s="52">
        <v>11.74</v>
      </c>
      <c r="AH63" s="52">
        <v>2.62</v>
      </c>
      <c r="AI63" s="52">
        <v>36.64</v>
      </c>
      <c r="AJ63" s="52">
        <v>4.71</v>
      </c>
      <c r="AK63" s="52">
        <v>2.76</v>
      </c>
      <c r="AL63" s="52">
        <v>25.44</v>
      </c>
      <c r="AM63" s="52">
        <v>2.96</v>
      </c>
      <c r="AN63" s="64" t="s">
        <v>60</v>
      </c>
      <c r="AO63" s="4" t="s">
        <v>76</v>
      </c>
      <c r="AP63" s="2" t="s">
        <v>1081</v>
      </c>
      <c r="AQ63" s="2" t="s">
        <v>1082</v>
      </c>
      <c r="AR63" s="2" t="s">
        <v>299</v>
      </c>
      <c r="AS63" s="2" t="s">
        <v>1083</v>
      </c>
      <c r="AT63" s="2" t="s">
        <v>1084</v>
      </c>
      <c r="AU63" s="2" t="s">
        <v>1085</v>
      </c>
      <c r="AV63" s="2" t="s">
        <v>1086</v>
      </c>
      <c r="AW63" s="2" t="s">
        <v>60</v>
      </c>
      <c r="AX63" s="2" t="s">
        <v>1087</v>
      </c>
      <c r="AY63" s="2" t="s">
        <v>60</v>
      </c>
      <c r="AZ63" s="4" t="s">
        <v>1088</v>
      </c>
      <c r="BA63" s="2" t="s">
        <v>87</v>
      </c>
      <c r="BB63" s="4" t="s">
        <v>1084</v>
      </c>
      <c r="BC63" s="4" t="s">
        <v>1089</v>
      </c>
      <c r="BD63" s="2" t="s">
        <v>1090</v>
      </c>
      <c r="BE63" s="2" t="s">
        <v>88</v>
      </c>
      <c r="BF63" s="2" t="s">
        <v>88</v>
      </c>
    </row>
    <row r="64" spans="1:58" x14ac:dyDescent="0.2">
      <c r="A64" s="3" t="s">
        <v>1091</v>
      </c>
      <c r="B64" s="3" t="s">
        <v>1092</v>
      </c>
      <c r="C64" s="3" t="s">
        <v>60</v>
      </c>
      <c r="D64" s="3" t="s">
        <v>60</v>
      </c>
      <c r="E64" s="3" t="s">
        <v>60</v>
      </c>
      <c r="F64" s="3" t="s">
        <v>60</v>
      </c>
      <c r="G64" s="3" t="s">
        <v>1093</v>
      </c>
      <c r="H64" s="3" t="s">
        <v>60</v>
      </c>
      <c r="I64" s="3" t="s">
        <v>60</v>
      </c>
      <c r="J64" s="3" t="s">
        <v>60</v>
      </c>
      <c r="K64" s="3" t="s">
        <v>1091</v>
      </c>
      <c r="L64" s="3" t="s">
        <v>1094</v>
      </c>
      <c r="M64" s="3" t="s">
        <v>328</v>
      </c>
      <c r="N64" s="3" t="s">
        <v>401</v>
      </c>
      <c r="O64" s="3" t="s">
        <v>1095</v>
      </c>
      <c r="P64" s="3" t="s">
        <v>1096</v>
      </c>
      <c r="Q64" s="3" t="s">
        <v>60</v>
      </c>
      <c r="R64" s="3" t="s">
        <v>1097</v>
      </c>
      <c r="S64" s="3" t="s">
        <v>372</v>
      </c>
      <c r="T64" s="17">
        <v>68.349999999999994</v>
      </c>
      <c r="U64" s="3" t="s">
        <v>97</v>
      </c>
      <c r="V64" s="3" t="s">
        <v>71</v>
      </c>
      <c r="W64" s="3" t="s">
        <v>423</v>
      </c>
      <c r="X64" s="9" t="str">
        <f>HYPERLINK("http://www.promedex.com", "www.promedex.com")</f>
        <v>www.promedex.com</v>
      </c>
      <c r="Y64" s="9" t="str">
        <f>HYPERLINK("http://www.linkedin.com/company/professional-medical-expertise-co-.-promedex-.", "http://www.linkedin.com/company/professional-medical-expertise-co-.-promedex-.")</f>
        <v>http://www.linkedin.com/company/professional-medical-expertise-co-.-promedex-.</v>
      </c>
      <c r="Z64" s="29">
        <v>130</v>
      </c>
      <c r="AA64" s="3" t="s">
        <v>1098</v>
      </c>
      <c r="AB64" s="3" t="s">
        <v>74</v>
      </c>
      <c r="AC64" s="3" t="s">
        <v>1099</v>
      </c>
      <c r="AD64" s="41">
        <v>2010</v>
      </c>
      <c r="AE64" s="3" t="s">
        <v>60</v>
      </c>
      <c r="AF64" s="53">
        <v>94.17</v>
      </c>
      <c r="AG64" s="53">
        <v>42.47</v>
      </c>
      <c r="AH64" s="53">
        <v>10.02</v>
      </c>
      <c r="AI64" s="53">
        <v>105.97</v>
      </c>
      <c r="AJ64" s="53">
        <v>15.84</v>
      </c>
      <c r="AK64" s="53">
        <v>13.89</v>
      </c>
      <c r="AL64" s="53">
        <v>93.78</v>
      </c>
      <c r="AM64" s="53">
        <v>27.75</v>
      </c>
      <c r="AN64" s="65">
        <v>26.02</v>
      </c>
      <c r="AO64" s="5" t="s">
        <v>76</v>
      </c>
      <c r="AP64" s="3" t="s">
        <v>1100</v>
      </c>
      <c r="AQ64" s="3" t="s">
        <v>1101</v>
      </c>
      <c r="AR64" s="3" t="s">
        <v>1102</v>
      </c>
      <c r="AS64" s="3" t="s">
        <v>1103</v>
      </c>
      <c r="AT64" s="3" t="s">
        <v>1104</v>
      </c>
      <c r="AU64" s="3" t="s">
        <v>82</v>
      </c>
      <c r="AV64" s="3" t="s">
        <v>1105</v>
      </c>
      <c r="AW64" s="3" t="s">
        <v>1106</v>
      </c>
      <c r="AX64" s="3" t="s">
        <v>85</v>
      </c>
      <c r="AY64" s="3" t="s">
        <v>60</v>
      </c>
      <c r="AZ64" s="5" t="s">
        <v>1107</v>
      </c>
      <c r="BA64" s="3" t="s">
        <v>87</v>
      </c>
      <c r="BB64" s="5" t="s">
        <v>1104</v>
      </c>
      <c r="BC64" s="5" t="s">
        <v>1108</v>
      </c>
      <c r="BD64" s="3" t="s">
        <v>1109</v>
      </c>
      <c r="BE64" s="3" t="s">
        <v>88</v>
      </c>
      <c r="BF64" s="3" t="s">
        <v>88</v>
      </c>
    </row>
    <row r="65" spans="1:58" x14ac:dyDescent="0.2">
      <c r="A65" s="2" t="s">
        <v>1110</v>
      </c>
      <c r="B65" s="2" t="s">
        <v>1111</v>
      </c>
      <c r="C65" s="2" t="s">
        <v>60</v>
      </c>
      <c r="D65" s="2" t="s">
        <v>60</v>
      </c>
      <c r="E65" s="2" t="s">
        <v>1112</v>
      </c>
      <c r="F65" s="2" t="s">
        <v>60</v>
      </c>
      <c r="G65" s="2" t="s">
        <v>60</v>
      </c>
      <c r="H65" s="2" t="s">
        <v>60</v>
      </c>
      <c r="I65" s="2" t="s">
        <v>60</v>
      </c>
      <c r="J65" s="2" t="s">
        <v>60</v>
      </c>
      <c r="K65" s="2" t="s">
        <v>1110</v>
      </c>
      <c r="L65" s="2" t="s">
        <v>1113</v>
      </c>
      <c r="M65" s="2" t="s">
        <v>115</v>
      </c>
      <c r="N65" s="2" t="s">
        <v>208</v>
      </c>
      <c r="O65" s="2" t="s">
        <v>226</v>
      </c>
      <c r="P65" s="2" t="s">
        <v>227</v>
      </c>
      <c r="Q65" s="2" t="s">
        <v>60</v>
      </c>
      <c r="R65" s="2" t="s">
        <v>1114</v>
      </c>
      <c r="S65" s="2" t="s">
        <v>372</v>
      </c>
      <c r="T65" s="16" t="s">
        <v>60</v>
      </c>
      <c r="U65" s="2" t="s">
        <v>97</v>
      </c>
      <c r="V65" s="2" t="s">
        <v>71</v>
      </c>
      <c r="W65" s="2" t="s">
        <v>72</v>
      </c>
      <c r="X65" s="8" t="str">
        <f>HYPERLINK("http://www.arabianmills.com", "www.arabianmills.com")</f>
        <v>www.arabianmills.com</v>
      </c>
      <c r="Y65" s="8" t="str">
        <f>HYPERLINK("http://www.linkedin.com/company/شركة-المطاحن-الثانية", "http://www.linkedin.com/company/شركة-المطاحن-الثانية")</f>
        <v>http://www.linkedin.com/company/شركة-المطاحن-الثانية</v>
      </c>
      <c r="Z65" s="28">
        <v>622</v>
      </c>
      <c r="AA65" s="2" t="s">
        <v>1115</v>
      </c>
      <c r="AB65" s="2" t="s">
        <v>74</v>
      </c>
      <c r="AC65" s="2" t="s">
        <v>1116</v>
      </c>
      <c r="AD65" s="40">
        <v>2016</v>
      </c>
      <c r="AE65" s="2" t="s">
        <v>1117</v>
      </c>
      <c r="AF65" s="52">
        <v>263.45999999999998</v>
      </c>
      <c r="AG65" s="52">
        <v>123.3</v>
      </c>
      <c r="AH65" s="52">
        <v>63.18</v>
      </c>
      <c r="AI65" s="52">
        <v>816.84</v>
      </c>
      <c r="AJ65" s="52">
        <v>100.04</v>
      </c>
      <c r="AK65" s="52">
        <v>79.459999999999994</v>
      </c>
      <c r="AL65" s="52">
        <v>531.97</v>
      </c>
      <c r="AM65" s="52">
        <v>216.42</v>
      </c>
      <c r="AN65" s="64">
        <v>4.91</v>
      </c>
      <c r="AO65" s="4" t="s">
        <v>179</v>
      </c>
      <c r="AP65" s="2" t="s">
        <v>1118</v>
      </c>
      <c r="AQ65" s="2" t="s">
        <v>1119</v>
      </c>
      <c r="AR65" s="2" t="s">
        <v>1120</v>
      </c>
      <c r="AS65" s="2" t="s">
        <v>60</v>
      </c>
      <c r="AT65" s="2" t="s">
        <v>60</v>
      </c>
      <c r="AU65" s="2" t="s">
        <v>106</v>
      </c>
      <c r="AV65" s="2" t="s">
        <v>1121</v>
      </c>
      <c r="AW65" s="2" t="s">
        <v>60</v>
      </c>
      <c r="AX65" s="2" t="s">
        <v>109</v>
      </c>
      <c r="AY65" s="2" t="s">
        <v>60</v>
      </c>
      <c r="AZ65" s="4" t="s">
        <v>1122</v>
      </c>
      <c r="BA65" s="2" t="s">
        <v>87</v>
      </c>
      <c r="BB65" s="4" t="s">
        <v>60</v>
      </c>
      <c r="BC65" s="4" t="s">
        <v>60</v>
      </c>
      <c r="BD65" s="2" t="s">
        <v>1123</v>
      </c>
      <c r="BE65" s="2" t="s">
        <v>88</v>
      </c>
      <c r="BF65" s="2" t="s">
        <v>88</v>
      </c>
    </row>
    <row r="66" spans="1:58" x14ac:dyDescent="0.2">
      <c r="A66" s="3" t="s">
        <v>1124</v>
      </c>
      <c r="B66" s="3" t="s">
        <v>1125</v>
      </c>
      <c r="C66" s="3" t="s">
        <v>60</v>
      </c>
      <c r="D66" s="3" t="s">
        <v>60</v>
      </c>
      <c r="E66" s="3" t="s">
        <v>60</v>
      </c>
      <c r="F66" s="3" t="s">
        <v>60</v>
      </c>
      <c r="G66" s="3" t="s">
        <v>1126</v>
      </c>
      <c r="H66" s="3" t="s">
        <v>60</v>
      </c>
      <c r="I66" s="3" t="s">
        <v>60</v>
      </c>
      <c r="J66" s="3" t="s">
        <v>60</v>
      </c>
      <c r="K66" s="3" t="s">
        <v>1124</v>
      </c>
      <c r="L66" s="3" t="s">
        <v>1127</v>
      </c>
      <c r="M66" s="3" t="s">
        <v>63</v>
      </c>
      <c r="N66" s="3" t="s">
        <v>64</v>
      </c>
      <c r="O66" s="3" t="s">
        <v>1128</v>
      </c>
      <c r="P66" s="3" t="s">
        <v>1129</v>
      </c>
      <c r="Q66" s="3" t="s">
        <v>1130</v>
      </c>
      <c r="R66" s="3" t="s">
        <v>1131</v>
      </c>
      <c r="S66" s="3" t="s">
        <v>96</v>
      </c>
      <c r="T66" s="17" t="s">
        <v>60</v>
      </c>
      <c r="U66" s="3" t="s">
        <v>97</v>
      </c>
      <c r="V66" s="3" t="s">
        <v>71</v>
      </c>
      <c r="W66" s="3" t="s">
        <v>98</v>
      </c>
      <c r="X66" s="9" t="str">
        <f>HYPERLINK("http://www.sa.almajed4oud.com", "www.sa.almajed4oud.com")</f>
        <v>www.sa.almajed4oud.com</v>
      </c>
      <c r="Y66" s="9" t="str">
        <f>HYPERLINK("http://www.linkedin.com/company/almajed4oud", "http://www.linkedin.com/company/almajed4oud")</f>
        <v>http://www.linkedin.com/company/almajed4oud</v>
      </c>
      <c r="Z66" s="29">
        <v>1863</v>
      </c>
      <c r="AA66" s="3" t="s">
        <v>1132</v>
      </c>
      <c r="AB66" s="3" t="s">
        <v>74</v>
      </c>
      <c r="AC66" s="3" t="s">
        <v>1133</v>
      </c>
      <c r="AD66" s="41">
        <v>1956</v>
      </c>
      <c r="AE66" s="3" t="s">
        <v>60</v>
      </c>
      <c r="AF66" s="53">
        <v>288.97000000000003</v>
      </c>
      <c r="AG66" s="53">
        <v>187.58</v>
      </c>
      <c r="AH66" s="53">
        <v>50.69</v>
      </c>
      <c r="AI66" s="53">
        <v>831.68</v>
      </c>
      <c r="AJ66" s="53">
        <v>92.36</v>
      </c>
      <c r="AK66" s="53">
        <v>57.73</v>
      </c>
      <c r="AL66" s="53">
        <v>1044.1199999999999</v>
      </c>
      <c r="AM66" s="53">
        <v>2.56</v>
      </c>
      <c r="AN66" s="65">
        <v>18.02</v>
      </c>
      <c r="AO66" s="5" t="s">
        <v>179</v>
      </c>
      <c r="AP66" s="3" t="s">
        <v>1134</v>
      </c>
      <c r="AQ66" s="3" t="s">
        <v>1135</v>
      </c>
      <c r="AR66" s="3" t="s">
        <v>1136</v>
      </c>
      <c r="AS66" s="3" t="s">
        <v>1137</v>
      </c>
      <c r="AT66" s="3" t="s">
        <v>1138</v>
      </c>
      <c r="AU66" s="3" t="s">
        <v>106</v>
      </c>
      <c r="AV66" s="3" t="s">
        <v>1139</v>
      </c>
      <c r="AW66" s="3" t="s">
        <v>60</v>
      </c>
      <c r="AX66" s="3" t="s">
        <v>109</v>
      </c>
      <c r="AY66" s="3" t="s">
        <v>1140</v>
      </c>
      <c r="AZ66" s="5" t="s">
        <v>381</v>
      </c>
      <c r="BA66" s="3" t="s">
        <v>87</v>
      </c>
      <c r="BB66" s="5" t="s">
        <v>1138</v>
      </c>
      <c r="BC66" s="5" t="s">
        <v>60</v>
      </c>
      <c r="BD66" s="3" t="s">
        <v>1141</v>
      </c>
      <c r="BE66" s="3" t="s">
        <v>88</v>
      </c>
      <c r="BF66" s="3" t="s">
        <v>88</v>
      </c>
    </row>
    <row r="67" spans="1:58" x14ac:dyDescent="0.2">
      <c r="A67" s="2" t="s">
        <v>1142</v>
      </c>
      <c r="B67" s="2" t="s">
        <v>1143</v>
      </c>
      <c r="C67" s="2" t="s">
        <v>60</v>
      </c>
      <c r="D67" s="2" t="s">
        <v>60</v>
      </c>
      <c r="E67" s="2" t="s">
        <v>60</v>
      </c>
      <c r="F67" s="2" t="s">
        <v>60</v>
      </c>
      <c r="G67" s="2" t="s">
        <v>1144</v>
      </c>
      <c r="H67" s="2" t="s">
        <v>60</v>
      </c>
      <c r="I67" s="2" t="s">
        <v>60</v>
      </c>
      <c r="J67" s="2" t="s">
        <v>60</v>
      </c>
      <c r="K67" s="2" t="s">
        <v>1142</v>
      </c>
      <c r="L67" s="2" t="s">
        <v>1145</v>
      </c>
      <c r="M67" s="2" t="s">
        <v>63</v>
      </c>
      <c r="N67" s="2" t="s">
        <v>64</v>
      </c>
      <c r="O67" s="2" t="s">
        <v>65</v>
      </c>
      <c r="P67" s="2" t="s">
        <v>657</v>
      </c>
      <c r="Q67" s="2" t="s">
        <v>67</v>
      </c>
      <c r="R67" s="2" t="s">
        <v>1146</v>
      </c>
      <c r="S67" s="2" t="s">
        <v>96</v>
      </c>
      <c r="T67" s="16" t="s">
        <v>60</v>
      </c>
      <c r="U67" s="2" t="s">
        <v>97</v>
      </c>
      <c r="V67" s="2" t="s">
        <v>71</v>
      </c>
      <c r="W67" s="2" t="s">
        <v>98</v>
      </c>
      <c r="X67" s="8" t="str">
        <f>HYPERLINK("http://www.aufgc.com", "www.aufgc.com")</f>
        <v>www.aufgc.com</v>
      </c>
      <c r="Y67" s="8" t="str">
        <f>HYPERLINK("http://www.linkedin.com/company/arabian-united-float-glass-company-yanbu-ksa", "http://www.linkedin.com/company/arabian-united-float-glass-company-yanbu-ksa")</f>
        <v>http://www.linkedin.com/company/arabian-united-float-glass-company-yanbu-ksa</v>
      </c>
      <c r="Z67" s="28" t="s">
        <v>60</v>
      </c>
      <c r="AA67" s="2" t="s">
        <v>60</v>
      </c>
      <c r="AB67" s="2" t="s">
        <v>74</v>
      </c>
      <c r="AC67" s="2" t="s">
        <v>1147</v>
      </c>
      <c r="AD67" s="40">
        <v>2006</v>
      </c>
      <c r="AE67" s="2" t="s">
        <v>60</v>
      </c>
      <c r="AF67" s="52">
        <v>83.63</v>
      </c>
      <c r="AG67" s="52">
        <v>34.130000000000003</v>
      </c>
      <c r="AH67" s="52">
        <v>17.739999999999998</v>
      </c>
      <c r="AI67" s="52">
        <v>189.28</v>
      </c>
      <c r="AJ67" s="52">
        <v>26.42</v>
      </c>
      <c r="AK67" s="52">
        <v>20.49</v>
      </c>
      <c r="AL67" s="52">
        <v>154.35</v>
      </c>
      <c r="AM67" s="52">
        <v>21.34</v>
      </c>
      <c r="AN67" s="64" t="s">
        <v>60</v>
      </c>
      <c r="AO67" s="4" t="s">
        <v>179</v>
      </c>
      <c r="AP67" s="2" t="s">
        <v>1148</v>
      </c>
      <c r="AQ67" s="2" t="s">
        <v>1149</v>
      </c>
      <c r="AR67" s="2" t="s">
        <v>79</v>
      </c>
      <c r="AS67" s="2" t="s">
        <v>1150</v>
      </c>
      <c r="AT67" s="2" t="s">
        <v>60</v>
      </c>
      <c r="AU67" s="2" t="s">
        <v>106</v>
      </c>
      <c r="AV67" s="2" t="s">
        <v>1151</v>
      </c>
      <c r="AW67" s="2" t="s">
        <v>1152</v>
      </c>
      <c r="AX67" s="2" t="s">
        <v>109</v>
      </c>
      <c r="AY67" s="2" t="s">
        <v>60</v>
      </c>
      <c r="AZ67" s="4" t="s">
        <v>60</v>
      </c>
      <c r="BA67" s="2" t="s">
        <v>87</v>
      </c>
      <c r="BB67" s="4" t="s">
        <v>60</v>
      </c>
      <c r="BC67" s="4" t="s">
        <v>60</v>
      </c>
      <c r="BD67" s="2" t="s">
        <v>60</v>
      </c>
      <c r="BE67" s="2" t="s">
        <v>88</v>
      </c>
      <c r="BF67" s="2" t="s">
        <v>88</v>
      </c>
    </row>
    <row r="68" spans="1:58" x14ac:dyDescent="0.2">
      <c r="A68" s="3" t="s">
        <v>1153</v>
      </c>
      <c r="B68" s="3" t="s">
        <v>1154</v>
      </c>
      <c r="C68" s="3" t="s">
        <v>60</v>
      </c>
      <c r="D68" s="3" t="s">
        <v>60</v>
      </c>
      <c r="E68" s="3" t="s">
        <v>60</v>
      </c>
      <c r="F68" s="3" t="s">
        <v>1155</v>
      </c>
      <c r="G68" s="3" t="s">
        <v>1156</v>
      </c>
      <c r="H68" s="3" t="s">
        <v>60</v>
      </c>
      <c r="I68" s="3" t="s">
        <v>60</v>
      </c>
      <c r="J68" s="3" t="s">
        <v>1157</v>
      </c>
      <c r="K68" s="3" t="s">
        <v>1153</v>
      </c>
      <c r="L68" s="3" t="s">
        <v>1158</v>
      </c>
      <c r="M68" s="3" t="s">
        <v>134</v>
      </c>
      <c r="N68" s="3" t="s">
        <v>135</v>
      </c>
      <c r="O68" s="3" t="s">
        <v>136</v>
      </c>
      <c r="P68" s="3" t="s">
        <v>1159</v>
      </c>
      <c r="Q68" s="3" t="s">
        <v>67</v>
      </c>
      <c r="R68" s="3" t="s">
        <v>1160</v>
      </c>
      <c r="S68" s="3" t="s">
        <v>96</v>
      </c>
      <c r="T68" s="17">
        <v>2324.52</v>
      </c>
      <c r="U68" s="3" t="s">
        <v>97</v>
      </c>
      <c r="V68" s="3" t="s">
        <v>71</v>
      </c>
      <c r="W68" s="3" t="s">
        <v>98</v>
      </c>
      <c r="X68" s="9" t="str">
        <f>HYPERLINK("http://www.savola.com", "www.savola.com")</f>
        <v>www.savola.com</v>
      </c>
      <c r="Y68" s="9" t="str">
        <f>HYPERLINK("http://www.linkedin.com/company/savola-group", "http://www.linkedin.com/company/savola-group")</f>
        <v>http://www.linkedin.com/company/savola-group</v>
      </c>
      <c r="Z68" s="29">
        <v>29759</v>
      </c>
      <c r="AA68" s="3" t="s">
        <v>1161</v>
      </c>
      <c r="AB68" s="3" t="s">
        <v>74</v>
      </c>
      <c r="AC68" s="3" t="s">
        <v>1162</v>
      </c>
      <c r="AD68" s="41">
        <v>1979</v>
      </c>
      <c r="AE68" s="3" t="s">
        <v>60</v>
      </c>
      <c r="AF68" s="53">
        <v>7021.81</v>
      </c>
      <c r="AG68" s="53">
        <v>1358.3</v>
      </c>
      <c r="AH68" s="53">
        <v>2659.7</v>
      </c>
      <c r="AI68" s="53">
        <v>3448.41</v>
      </c>
      <c r="AJ68" s="53">
        <v>3508.36</v>
      </c>
      <c r="AK68" s="53">
        <v>3185.93</v>
      </c>
      <c r="AL68" s="53">
        <v>1866.1</v>
      </c>
      <c r="AM68" s="53">
        <v>1190.3</v>
      </c>
      <c r="AN68" s="65">
        <v>21.04</v>
      </c>
      <c r="AO68" s="5" t="s">
        <v>179</v>
      </c>
      <c r="AP68" s="3" t="s">
        <v>1163</v>
      </c>
      <c r="AQ68" s="3" t="s">
        <v>1164</v>
      </c>
      <c r="AR68" s="3" t="s">
        <v>124</v>
      </c>
      <c r="AS68" s="3" t="s">
        <v>1165</v>
      </c>
      <c r="AT68" s="3" t="s">
        <v>1166</v>
      </c>
      <c r="AU68" s="3" t="s">
        <v>82</v>
      </c>
      <c r="AV68" s="3" t="s">
        <v>1167</v>
      </c>
      <c r="AW68" s="3" t="s">
        <v>1168</v>
      </c>
      <c r="AX68" s="3" t="s">
        <v>85</v>
      </c>
      <c r="AY68" s="3" t="s">
        <v>1169</v>
      </c>
      <c r="AZ68" s="5" t="s">
        <v>60</v>
      </c>
      <c r="BA68" s="3" t="s">
        <v>87</v>
      </c>
      <c r="BB68" s="5" t="s">
        <v>1166</v>
      </c>
      <c r="BC68" s="5" t="s">
        <v>60</v>
      </c>
      <c r="BD68" s="3" t="s">
        <v>1170</v>
      </c>
      <c r="BE68" s="3" t="s">
        <v>88</v>
      </c>
      <c r="BF68" s="3" t="s">
        <v>88</v>
      </c>
    </row>
    <row r="69" spans="1:58" x14ac:dyDescent="0.2">
      <c r="A69" s="2" t="s">
        <v>1171</v>
      </c>
      <c r="B69" s="2" t="s">
        <v>1172</v>
      </c>
      <c r="C69" s="2" t="s">
        <v>60</v>
      </c>
      <c r="D69" s="2" t="s">
        <v>60</v>
      </c>
      <c r="E69" s="2" t="s">
        <v>60</v>
      </c>
      <c r="F69" s="2" t="s">
        <v>60</v>
      </c>
      <c r="G69" s="2" t="s">
        <v>1173</v>
      </c>
      <c r="H69" s="2" t="s">
        <v>60</v>
      </c>
      <c r="I69" s="2" t="s">
        <v>60</v>
      </c>
      <c r="J69" s="2" t="s">
        <v>60</v>
      </c>
      <c r="K69" s="2" t="s">
        <v>1171</v>
      </c>
      <c r="L69" s="2" t="s">
        <v>1174</v>
      </c>
      <c r="M69" s="2" t="s">
        <v>1175</v>
      </c>
      <c r="N69" s="2" t="s">
        <v>1176</v>
      </c>
      <c r="O69" s="2" t="s">
        <v>1177</v>
      </c>
      <c r="P69" s="2" t="s">
        <v>1178</v>
      </c>
      <c r="Q69" s="2" t="s">
        <v>1179</v>
      </c>
      <c r="R69" s="2" t="s">
        <v>1180</v>
      </c>
      <c r="S69" s="2" t="s">
        <v>96</v>
      </c>
      <c r="T69" s="16" t="s">
        <v>60</v>
      </c>
      <c r="U69" s="2" t="s">
        <v>97</v>
      </c>
      <c r="V69" s="2" t="s">
        <v>71</v>
      </c>
      <c r="W69" s="2" t="s">
        <v>98</v>
      </c>
      <c r="X69" s="8" t="str">
        <f>HYPERLINK("http://www.naaspetrol.com", "www.naaspetrol.com")</f>
        <v>www.naaspetrol.com</v>
      </c>
      <c r="Y69" s="8" t="str">
        <f>HYPERLINK("http://www.linkedin.com/company/naaspetrol", "http://www.linkedin.com/company/naaspetrol")</f>
        <v>http://www.linkedin.com/company/naaspetrol</v>
      </c>
      <c r="Z69" s="28" t="s">
        <v>60</v>
      </c>
      <c r="AA69" s="2" t="s">
        <v>60</v>
      </c>
      <c r="AB69" s="2" t="s">
        <v>74</v>
      </c>
      <c r="AC69" s="2" t="s">
        <v>1181</v>
      </c>
      <c r="AD69" s="40">
        <v>2010</v>
      </c>
      <c r="AE69" s="2" t="s">
        <v>60</v>
      </c>
      <c r="AF69" s="52">
        <v>20.05</v>
      </c>
      <c r="AG69" s="52">
        <v>4.04</v>
      </c>
      <c r="AH69" s="52">
        <v>1.26</v>
      </c>
      <c r="AI69" s="52">
        <v>45.27</v>
      </c>
      <c r="AJ69" s="52">
        <v>2.39</v>
      </c>
      <c r="AK69" s="52">
        <v>1.51</v>
      </c>
      <c r="AL69" s="52">
        <v>28</v>
      </c>
      <c r="AM69" s="52">
        <v>1.21</v>
      </c>
      <c r="AN69" s="64" t="s">
        <v>60</v>
      </c>
      <c r="AO69" s="4" t="s">
        <v>76</v>
      </c>
      <c r="AP69" s="2" t="s">
        <v>1182</v>
      </c>
      <c r="AQ69" s="2" t="s">
        <v>1183</v>
      </c>
      <c r="AR69" s="2" t="s">
        <v>124</v>
      </c>
      <c r="AS69" s="2" t="s">
        <v>1184</v>
      </c>
      <c r="AT69" s="2" t="s">
        <v>1185</v>
      </c>
      <c r="AU69" s="2" t="s">
        <v>106</v>
      </c>
      <c r="AV69" s="2" t="s">
        <v>1186</v>
      </c>
      <c r="AW69" s="2" t="s">
        <v>60</v>
      </c>
      <c r="AX69" s="2" t="s">
        <v>109</v>
      </c>
      <c r="AY69" s="2" t="s">
        <v>60</v>
      </c>
      <c r="AZ69" s="4" t="s">
        <v>60</v>
      </c>
      <c r="BA69" s="2" t="s">
        <v>87</v>
      </c>
      <c r="BB69" s="4" t="s">
        <v>1185</v>
      </c>
      <c r="BC69" s="4" t="s">
        <v>60</v>
      </c>
      <c r="BD69" s="2" t="s">
        <v>1187</v>
      </c>
      <c r="BE69" s="2" t="s">
        <v>88</v>
      </c>
      <c r="BF69" s="2" t="s">
        <v>88</v>
      </c>
    </row>
    <row r="70" spans="1:58" x14ac:dyDescent="0.2">
      <c r="A70" s="3" t="s">
        <v>1188</v>
      </c>
      <c r="B70" s="3" t="s">
        <v>1189</v>
      </c>
      <c r="C70" s="3" t="s">
        <v>60</v>
      </c>
      <c r="D70" s="3" t="s">
        <v>60</v>
      </c>
      <c r="E70" s="3" t="s">
        <v>60</v>
      </c>
      <c r="F70" s="3" t="s">
        <v>60</v>
      </c>
      <c r="G70" s="3" t="s">
        <v>1190</v>
      </c>
      <c r="H70" s="3" t="s">
        <v>60</v>
      </c>
      <c r="I70" s="3" t="s">
        <v>60</v>
      </c>
      <c r="J70" s="3" t="s">
        <v>60</v>
      </c>
      <c r="K70" s="3" t="s">
        <v>1188</v>
      </c>
      <c r="L70" s="3" t="s">
        <v>1191</v>
      </c>
      <c r="M70" s="3" t="s">
        <v>63</v>
      </c>
      <c r="N70" s="3" t="s">
        <v>92</v>
      </c>
      <c r="O70" s="3" t="s">
        <v>584</v>
      </c>
      <c r="P70" s="3" t="s">
        <v>893</v>
      </c>
      <c r="Q70" s="3" t="s">
        <v>60</v>
      </c>
      <c r="R70" s="3" t="s">
        <v>1192</v>
      </c>
      <c r="S70" s="3" t="s">
        <v>96</v>
      </c>
      <c r="T70" s="17">
        <v>26.22</v>
      </c>
      <c r="U70" s="3" t="s">
        <v>97</v>
      </c>
      <c r="V70" s="3" t="s">
        <v>71</v>
      </c>
      <c r="W70" s="3" t="s">
        <v>175</v>
      </c>
      <c r="X70" s="9" t="str">
        <f>HYPERLINK("http://www.the1stavenue.com.sa", "www.the1stavenue.com.sa")</f>
        <v>www.the1stavenue.com.sa</v>
      </c>
      <c r="Y70" s="3" t="s">
        <v>60</v>
      </c>
      <c r="Z70" s="29" t="s">
        <v>60</v>
      </c>
      <c r="AA70" s="3" t="s">
        <v>60</v>
      </c>
      <c r="AB70" s="3" t="s">
        <v>74</v>
      </c>
      <c r="AC70" s="3" t="s">
        <v>1193</v>
      </c>
      <c r="AD70" s="41">
        <v>2017</v>
      </c>
      <c r="AE70" s="3" t="s">
        <v>60</v>
      </c>
      <c r="AF70" s="53">
        <v>20.21</v>
      </c>
      <c r="AG70" s="53" t="s">
        <v>60</v>
      </c>
      <c r="AH70" s="53">
        <v>28.32</v>
      </c>
      <c r="AI70" s="53">
        <v>432.79</v>
      </c>
      <c r="AJ70" s="53">
        <v>30.67</v>
      </c>
      <c r="AK70" s="53">
        <v>30.67</v>
      </c>
      <c r="AL70" s="53">
        <v>321.70999999999998</v>
      </c>
      <c r="AM70" s="53">
        <v>-45.72</v>
      </c>
      <c r="AN70" s="65" t="s">
        <v>60</v>
      </c>
      <c r="AO70" s="5" t="s">
        <v>76</v>
      </c>
      <c r="AP70" s="3" t="s">
        <v>1194</v>
      </c>
      <c r="AQ70" s="3" t="s">
        <v>1195</v>
      </c>
      <c r="AR70" s="3" t="s">
        <v>79</v>
      </c>
      <c r="AS70" s="3" t="s">
        <v>60</v>
      </c>
      <c r="AT70" s="3" t="s">
        <v>1196</v>
      </c>
      <c r="AU70" s="3" t="s">
        <v>106</v>
      </c>
      <c r="AV70" s="3" t="s">
        <v>1197</v>
      </c>
      <c r="AW70" s="3" t="s">
        <v>1198</v>
      </c>
      <c r="AX70" s="3" t="s">
        <v>109</v>
      </c>
      <c r="AY70" s="3" t="s">
        <v>60</v>
      </c>
      <c r="AZ70" s="5" t="s">
        <v>689</v>
      </c>
      <c r="BA70" s="3" t="s">
        <v>87</v>
      </c>
      <c r="BB70" s="5" t="s">
        <v>1196</v>
      </c>
      <c r="BC70" s="5" t="s">
        <v>60</v>
      </c>
      <c r="BD70" s="3" t="s">
        <v>60</v>
      </c>
      <c r="BE70" s="3" t="s">
        <v>88</v>
      </c>
      <c r="BF70" s="3" t="s">
        <v>88</v>
      </c>
    </row>
    <row r="71" spans="1:58" x14ac:dyDescent="0.2">
      <c r="A71" s="2" t="s">
        <v>1199</v>
      </c>
      <c r="B71" s="2" t="s">
        <v>1200</v>
      </c>
      <c r="C71" s="2" t="s">
        <v>60</v>
      </c>
      <c r="D71" s="2" t="s">
        <v>60</v>
      </c>
      <c r="E71" s="2" t="s">
        <v>60</v>
      </c>
      <c r="F71" s="2" t="s">
        <v>60</v>
      </c>
      <c r="G71" s="2" t="s">
        <v>1201</v>
      </c>
      <c r="H71" s="2" t="s">
        <v>60</v>
      </c>
      <c r="I71" s="2" t="s">
        <v>60</v>
      </c>
      <c r="J71" s="2" t="s">
        <v>60</v>
      </c>
      <c r="K71" s="2" t="s">
        <v>1199</v>
      </c>
      <c r="L71" s="2" t="s">
        <v>1202</v>
      </c>
      <c r="M71" s="2" t="s">
        <v>63</v>
      </c>
      <c r="N71" s="2" t="s">
        <v>92</v>
      </c>
      <c r="O71" s="2" t="s">
        <v>973</v>
      </c>
      <c r="P71" s="2" t="s">
        <v>1203</v>
      </c>
      <c r="Q71" s="2" t="s">
        <v>60</v>
      </c>
      <c r="R71" s="2" t="s">
        <v>1204</v>
      </c>
      <c r="S71" s="2" t="s">
        <v>96</v>
      </c>
      <c r="T71" s="16">
        <v>11.65</v>
      </c>
      <c r="U71" s="2" t="s">
        <v>97</v>
      </c>
      <c r="V71" s="2" t="s">
        <v>71</v>
      </c>
      <c r="W71" s="2" t="s">
        <v>98</v>
      </c>
      <c r="X71" s="8" t="str">
        <f>HYPERLINK("http://www.tharwah.net", "www.tharwah.net")</f>
        <v>www.tharwah.net</v>
      </c>
      <c r="Y71" s="8" t="str">
        <f>HYPERLINK("http://www.linkedin.com/company/tharwah", "http://www.linkedin.com/company/tharwah")</f>
        <v>http://www.linkedin.com/company/tharwah</v>
      </c>
      <c r="Z71" s="28" t="s">
        <v>60</v>
      </c>
      <c r="AA71" s="2" t="s">
        <v>60</v>
      </c>
      <c r="AB71" s="2" t="s">
        <v>74</v>
      </c>
      <c r="AC71" s="2" t="s">
        <v>1205</v>
      </c>
      <c r="AD71" s="40">
        <v>2012</v>
      </c>
      <c r="AE71" s="2" t="s">
        <v>60</v>
      </c>
      <c r="AF71" s="52">
        <v>26.51</v>
      </c>
      <c r="AG71" s="52">
        <v>11</v>
      </c>
      <c r="AH71" s="52">
        <v>4.9000000000000004</v>
      </c>
      <c r="AI71" s="52">
        <v>37.15</v>
      </c>
      <c r="AJ71" s="52">
        <v>5.69</v>
      </c>
      <c r="AK71" s="52">
        <v>5.69</v>
      </c>
      <c r="AL71" s="52">
        <v>46.08</v>
      </c>
      <c r="AM71" s="52">
        <v>0</v>
      </c>
      <c r="AN71" s="64" t="s">
        <v>60</v>
      </c>
      <c r="AO71" s="4" t="s">
        <v>76</v>
      </c>
      <c r="AP71" s="2" t="s">
        <v>1206</v>
      </c>
      <c r="AQ71" s="2" t="s">
        <v>1207</v>
      </c>
      <c r="AR71" s="2" t="s">
        <v>1208</v>
      </c>
      <c r="AS71" s="2" t="s">
        <v>1209</v>
      </c>
      <c r="AT71" s="2" t="s">
        <v>1210</v>
      </c>
      <c r="AU71" s="2" t="s">
        <v>106</v>
      </c>
      <c r="AV71" s="2" t="s">
        <v>1211</v>
      </c>
      <c r="AW71" s="2" t="s">
        <v>1212</v>
      </c>
      <c r="AX71" s="2" t="s">
        <v>109</v>
      </c>
      <c r="AY71" s="2" t="s">
        <v>60</v>
      </c>
      <c r="AZ71" s="4" t="s">
        <v>1213</v>
      </c>
      <c r="BA71" s="2" t="s">
        <v>87</v>
      </c>
      <c r="BB71" s="4" t="s">
        <v>1210</v>
      </c>
      <c r="BC71" s="4" t="s">
        <v>60</v>
      </c>
      <c r="BD71" s="2" t="s">
        <v>1214</v>
      </c>
      <c r="BE71" s="2" t="s">
        <v>88</v>
      </c>
      <c r="BF71" s="2" t="s">
        <v>88</v>
      </c>
    </row>
    <row r="72" spans="1:58" x14ac:dyDescent="0.2">
      <c r="A72" s="3" t="s">
        <v>1215</v>
      </c>
      <c r="B72" s="3" t="s">
        <v>1216</v>
      </c>
      <c r="C72" s="3" t="s">
        <v>60</v>
      </c>
      <c r="D72" s="3" t="s">
        <v>60</v>
      </c>
      <c r="E72" s="3" t="s">
        <v>60</v>
      </c>
      <c r="F72" s="3" t="s">
        <v>60</v>
      </c>
      <c r="G72" s="3" t="s">
        <v>1217</v>
      </c>
      <c r="H72" s="3" t="s">
        <v>60</v>
      </c>
      <c r="I72" s="3" t="s">
        <v>60</v>
      </c>
      <c r="J72" s="3" t="s">
        <v>60</v>
      </c>
      <c r="K72" s="3" t="s">
        <v>1215</v>
      </c>
      <c r="L72" s="3" t="s">
        <v>1218</v>
      </c>
      <c r="M72" s="3" t="s">
        <v>241</v>
      </c>
      <c r="N72" s="3" t="s">
        <v>1219</v>
      </c>
      <c r="O72" s="3" t="s">
        <v>1220</v>
      </c>
      <c r="P72" s="3" t="s">
        <v>1221</v>
      </c>
      <c r="Q72" s="3" t="s">
        <v>60</v>
      </c>
      <c r="R72" s="3" t="s">
        <v>1222</v>
      </c>
      <c r="S72" s="3" t="s">
        <v>96</v>
      </c>
      <c r="T72" s="17">
        <v>159.26</v>
      </c>
      <c r="U72" s="3" t="s">
        <v>97</v>
      </c>
      <c r="V72" s="3" t="s">
        <v>71</v>
      </c>
      <c r="W72" s="3" t="s">
        <v>98</v>
      </c>
      <c r="X72" s="9" t="str">
        <f>HYPERLINK("http://www.balady-sa.com", "www.balady-sa.com")</f>
        <v>www.balady-sa.com</v>
      </c>
      <c r="Y72" s="9" t="str">
        <f>HYPERLINK("http://www.linkedin.com/company/baladypoultry", "http://www.linkedin.com/company/baladypoultry")</f>
        <v>http://www.linkedin.com/company/baladypoultry</v>
      </c>
      <c r="Z72" s="29">
        <v>635</v>
      </c>
      <c r="AA72" s="3" t="s">
        <v>1223</v>
      </c>
      <c r="AB72" s="3" t="s">
        <v>74</v>
      </c>
      <c r="AC72" s="3" t="s">
        <v>1224</v>
      </c>
      <c r="AD72" s="41">
        <v>2007</v>
      </c>
      <c r="AE72" s="3" t="s">
        <v>60</v>
      </c>
      <c r="AF72" s="53">
        <v>227.36</v>
      </c>
      <c r="AG72" s="53">
        <v>20.66</v>
      </c>
      <c r="AH72" s="53">
        <v>11.61</v>
      </c>
      <c r="AI72" s="53">
        <v>290.10000000000002</v>
      </c>
      <c r="AJ72" s="53">
        <v>18.43</v>
      </c>
      <c r="AK72" s="53">
        <v>12.84</v>
      </c>
      <c r="AL72" s="53">
        <v>185.32</v>
      </c>
      <c r="AM72" s="53">
        <v>23.08</v>
      </c>
      <c r="AN72" s="65">
        <v>-4.9400000000000004</v>
      </c>
      <c r="AO72" s="5" t="s">
        <v>179</v>
      </c>
      <c r="AP72" s="3" t="s">
        <v>1225</v>
      </c>
      <c r="AQ72" s="3" t="s">
        <v>1226</v>
      </c>
      <c r="AR72" s="3" t="s">
        <v>79</v>
      </c>
      <c r="AS72" s="3" t="s">
        <v>1227</v>
      </c>
      <c r="AT72" s="3" t="s">
        <v>1228</v>
      </c>
      <c r="AU72" s="3" t="s">
        <v>1229</v>
      </c>
      <c r="AV72" s="3" t="s">
        <v>1230</v>
      </c>
      <c r="AW72" s="3" t="s">
        <v>1231</v>
      </c>
      <c r="AX72" s="3" t="s">
        <v>1232</v>
      </c>
      <c r="AY72" s="3" t="s">
        <v>60</v>
      </c>
      <c r="AZ72" s="5" t="s">
        <v>1233</v>
      </c>
      <c r="BA72" s="3" t="s">
        <v>87</v>
      </c>
      <c r="BB72" s="5" t="s">
        <v>1228</v>
      </c>
      <c r="BC72" s="5" t="s">
        <v>60</v>
      </c>
      <c r="BD72" s="3" t="s">
        <v>1234</v>
      </c>
      <c r="BE72" s="3" t="s">
        <v>88</v>
      </c>
      <c r="BF72" s="3" t="s">
        <v>88</v>
      </c>
    </row>
    <row r="73" spans="1:58" x14ac:dyDescent="0.2">
      <c r="A73" s="2" t="s">
        <v>1235</v>
      </c>
      <c r="B73" s="2" t="s">
        <v>1236</v>
      </c>
      <c r="C73" s="2" t="s">
        <v>60</v>
      </c>
      <c r="D73" s="2" t="s">
        <v>60</v>
      </c>
      <c r="E73" s="2" t="s">
        <v>60</v>
      </c>
      <c r="F73" s="2" t="s">
        <v>60</v>
      </c>
      <c r="G73" s="2" t="s">
        <v>1237</v>
      </c>
      <c r="H73" s="2" t="s">
        <v>60</v>
      </c>
      <c r="I73" s="2" t="s">
        <v>60</v>
      </c>
      <c r="J73" s="2" t="s">
        <v>60</v>
      </c>
      <c r="K73" s="2" t="s">
        <v>1235</v>
      </c>
      <c r="L73" s="2" t="s">
        <v>1238</v>
      </c>
      <c r="M73" s="2" t="s">
        <v>134</v>
      </c>
      <c r="N73" s="2" t="s">
        <v>565</v>
      </c>
      <c r="O73" s="2" t="s">
        <v>1239</v>
      </c>
      <c r="P73" s="2" t="s">
        <v>1240</v>
      </c>
      <c r="Q73" s="2" t="s">
        <v>60</v>
      </c>
      <c r="R73" s="2" t="s">
        <v>1241</v>
      </c>
      <c r="S73" s="2" t="s">
        <v>96</v>
      </c>
      <c r="T73" s="16" t="s">
        <v>60</v>
      </c>
      <c r="U73" s="2" t="s">
        <v>97</v>
      </c>
      <c r="V73" s="2" t="s">
        <v>71</v>
      </c>
      <c r="W73" s="2" t="s">
        <v>175</v>
      </c>
      <c r="X73" s="8" t="str">
        <f>HYPERLINK("http://www.malath.com.sa", "www.malath.com.sa")</f>
        <v>www.malath.com.sa</v>
      </c>
      <c r="Y73" s="8" t="str">
        <f>HYPERLINK("http://www.linkedin.com/company/malath-insurance", "http://www.linkedin.com/company/malath-insurance")</f>
        <v>http://www.linkedin.com/company/malath-insurance</v>
      </c>
      <c r="Z73" s="28">
        <v>430</v>
      </c>
      <c r="AA73" s="2" t="s">
        <v>1242</v>
      </c>
      <c r="AB73" s="2" t="s">
        <v>74</v>
      </c>
      <c r="AC73" s="2" t="s">
        <v>1243</v>
      </c>
      <c r="AD73" s="40">
        <v>2007</v>
      </c>
      <c r="AE73" s="2" t="s">
        <v>60</v>
      </c>
      <c r="AF73" s="52">
        <v>367.22</v>
      </c>
      <c r="AG73" s="52" t="s">
        <v>60</v>
      </c>
      <c r="AH73" s="52">
        <v>7.17</v>
      </c>
      <c r="AI73" s="52">
        <v>126.79</v>
      </c>
      <c r="AJ73" s="52">
        <v>9.99</v>
      </c>
      <c r="AK73" s="52">
        <v>9.44</v>
      </c>
      <c r="AL73" s="52">
        <v>132.65</v>
      </c>
      <c r="AM73" s="52">
        <v>-38.76</v>
      </c>
      <c r="AN73" s="64">
        <v>52.72</v>
      </c>
      <c r="AO73" s="4" t="s">
        <v>179</v>
      </c>
      <c r="AP73" s="2" t="s">
        <v>1244</v>
      </c>
      <c r="AQ73" s="2" t="s">
        <v>1245</v>
      </c>
      <c r="AR73" s="2" t="s">
        <v>215</v>
      </c>
      <c r="AS73" s="2" t="s">
        <v>1246</v>
      </c>
      <c r="AT73" s="2" t="s">
        <v>1247</v>
      </c>
      <c r="AU73" s="2" t="s">
        <v>106</v>
      </c>
      <c r="AV73" s="2" t="s">
        <v>1248</v>
      </c>
      <c r="AW73" s="2" t="s">
        <v>1249</v>
      </c>
      <c r="AX73" s="2" t="s">
        <v>109</v>
      </c>
      <c r="AY73" s="2" t="s">
        <v>60</v>
      </c>
      <c r="AZ73" s="4" t="s">
        <v>1250</v>
      </c>
      <c r="BA73" s="2" t="s">
        <v>87</v>
      </c>
      <c r="BB73" s="4" t="s">
        <v>1247</v>
      </c>
      <c r="BC73" s="4" t="s">
        <v>1251</v>
      </c>
      <c r="BD73" s="2" t="s">
        <v>1252</v>
      </c>
      <c r="BE73" s="2" t="s">
        <v>88</v>
      </c>
      <c r="BF73" s="2" t="s">
        <v>88</v>
      </c>
    </row>
    <row r="74" spans="1:58" x14ac:dyDescent="0.2">
      <c r="A74" s="3" t="s">
        <v>1253</v>
      </c>
      <c r="B74" s="3" t="s">
        <v>1254</v>
      </c>
      <c r="C74" s="3" t="s">
        <v>60</v>
      </c>
      <c r="D74" s="3" t="s">
        <v>60</v>
      </c>
      <c r="E74" s="3" t="s">
        <v>60</v>
      </c>
      <c r="F74" s="3" t="s">
        <v>60</v>
      </c>
      <c r="G74" s="3" t="s">
        <v>1255</v>
      </c>
      <c r="H74" s="3" t="s">
        <v>60</v>
      </c>
      <c r="I74" s="3" t="s">
        <v>60</v>
      </c>
      <c r="J74" s="3" t="s">
        <v>60</v>
      </c>
      <c r="K74" s="3" t="s">
        <v>1253</v>
      </c>
      <c r="L74" s="3" t="s">
        <v>1256</v>
      </c>
      <c r="M74" s="3" t="s">
        <v>115</v>
      </c>
      <c r="N74" s="3" t="s">
        <v>208</v>
      </c>
      <c r="O74" s="3" t="s">
        <v>209</v>
      </c>
      <c r="P74" s="3" t="s">
        <v>1257</v>
      </c>
      <c r="Q74" s="3" t="s">
        <v>67</v>
      </c>
      <c r="R74" s="3" t="s">
        <v>1258</v>
      </c>
      <c r="S74" s="3" t="s">
        <v>96</v>
      </c>
      <c r="T74" s="17" t="s">
        <v>60</v>
      </c>
      <c r="U74" s="3" t="s">
        <v>97</v>
      </c>
      <c r="V74" s="3" t="s">
        <v>71</v>
      </c>
      <c r="W74" s="3" t="s">
        <v>98</v>
      </c>
      <c r="X74" s="9" t="str">
        <f>HYPERLINK("http://www.asgplastic.sa", "www.asgplastic.sa")</f>
        <v>www.asgplastic.sa</v>
      </c>
      <c r="Y74" s="9" t="str">
        <f>HYPERLINK("http://www.linkedin.com/company/asg-plastic-company", "http://www.linkedin.com/company/asg-plastic-company")</f>
        <v>http://www.linkedin.com/company/asg-plastic-company</v>
      </c>
      <c r="Z74" s="29">
        <v>393</v>
      </c>
      <c r="AA74" s="3" t="s">
        <v>1259</v>
      </c>
      <c r="AB74" s="3" t="s">
        <v>74</v>
      </c>
      <c r="AC74" s="3" t="s">
        <v>1260</v>
      </c>
      <c r="AD74" s="41">
        <v>2005</v>
      </c>
      <c r="AE74" s="3" t="s">
        <v>60</v>
      </c>
      <c r="AF74" s="53">
        <v>42.59</v>
      </c>
      <c r="AG74" s="53">
        <v>17.46</v>
      </c>
      <c r="AH74" s="53">
        <v>8.02</v>
      </c>
      <c r="AI74" s="53">
        <v>92.42</v>
      </c>
      <c r="AJ74" s="53">
        <v>10.68</v>
      </c>
      <c r="AK74" s="53">
        <v>8.66</v>
      </c>
      <c r="AL74" s="53">
        <v>84.65</v>
      </c>
      <c r="AM74" s="53">
        <v>-0.56000000000000005</v>
      </c>
      <c r="AN74" s="65" t="s">
        <v>60</v>
      </c>
      <c r="AO74" s="5" t="s">
        <v>76</v>
      </c>
      <c r="AP74" s="3" t="s">
        <v>1261</v>
      </c>
      <c r="AQ74" s="3" t="s">
        <v>1262</v>
      </c>
      <c r="AR74" s="3" t="s">
        <v>124</v>
      </c>
      <c r="AS74" s="3" t="s">
        <v>60</v>
      </c>
      <c r="AT74" s="3" t="s">
        <v>60</v>
      </c>
      <c r="AU74" s="3" t="s">
        <v>106</v>
      </c>
      <c r="AV74" s="3" t="s">
        <v>109</v>
      </c>
      <c r="AW74" s="3" t="s">
        <v>60</v>
      </c>
      <c r="AX74" s="3" t="s">
        <v>109</v>
      </c>
      <c r="AY74" s="3" t="s">
        <v>60</v>
      </c>
      <c r="AZ74" s="5" t="s">
        <v>60</v>
      </c>
      <c r="BA74" s="3" t="s">
        <v>87</v>
      </c>
      <c r="BB74" s="5" t="s">
        <v>60</v>
      </c>
      <c r="BC74" s="5" t="s">
        <v>60</v>
      </c>
      <c r="BD74" s="3" t="s">
        <v>60</v>
      </c>
      <c r="BE74" s="3" t="s">
        <v>88</v>
      </c>
      <c r="BF74" s="3" t="s">
        <v>88</v>
      </c>
    </row>
    <row r="75" spans="1:58" x14ac:dyDescent="0.2">
      <c r="A75" s="2" t="s">
        <v>1263</v>
      </c>
      <c r="B75" s="2" t="s">
        <v>1264</v>
      </c>
      <c r="C75" s="2" t="s">
        <v>60</v>
      </c>
      <c r="D75" s="2" t="s">
        <v>60</v>
      </c>
      <c r="E75" s="2" t="s">
        <v>60</v>
      </c>
      <c r="F75" s="2" t="s">
        <v>60</v>
      </c>
      <c r="G75" s="2" t="s">
        <v>1265</v>
      </c>
      <c r="H75" s="2" t="s">
        <v>60</v>
      </c>
      <c r="I75" s="2" t="s">
        <v>60</v>
      </c>
      <c r="J75" s="2" t="s">
        <v>60</v>
      </c>
      <c r="K75" s="2" t="s">
        <v>1263</v>
      </c>
      <c r="L75" s="2" t="s">
        <v>1266</v>
      </c>
      <c r="M75" s="2" t="s">
        <v>63</v>
      </c>
      <c r="N75" s="2" t="s">
        <v>292</v>
      </c>
      <c r="O75" s="2" t="s">
        <v>292</v>
      </c>
      <c r="P75" s="2" t="s">
        <v>1267</v>
      </c>
      <c r="Q75" s="2" t="s">
        <v>60</v>
      </c>
      <c r="R75" s="2" t="s">
        <v>1268</v>
      </c>
      <c r="S75" s="2" t="s">
        <v>96</v>
      </c>
      <c r="T75" s="16" t="s">
        <v>60</v>
      </c>
      <c r="U75" s="2" t="s">
        <v>97</v>
      </c>
      <c r="V75" s="2" t="s">
        <v>71</v>
      </c>
      <c r="W75" s="2" t="s">
        <v>98</v>
      </c>
      <c r="X75" s="8" t="str">
        <f>HYPERLINK("http://www.ashamco.net.sa", "www.ashamco.net.sa")</f>
        <v>www.ashamco.net.sa</v>
      </c>
      <c r="Y75" s="2" t="s">
        <v>60</v>
      </c>
      <c r="Z75" s="28" t="s">
        <v>60</v>
      </c>
      <c r="AA75" s="2" t="s">
        <v>60</v>
      </c>
      <c r="AB75" s="2" t="s">
        <v>74</v>
      </c>
      <c r="AC75" s="2" t="s">
        <v>1269</v>
      </c>
      <c r="AD75" s="40">
        <v>2013</v>
      </c>
      <c r="AE75" s="2" t="s">
        <v>60</v>
      </c>
      <c r="AF75" s="52">
        <v>15.82</v>
      </c>
      <c r="AG75" s="52">
        <v>4.6100000000000003</v>
      </c>
      <c r="AH75" s="52">
        <v>2</v>
      </c>
      <c r="AI75" s="52">
        <v>35.049999999999997</v>
      </c>
      <c r="AJ75" s="52" t="s">
        <v>60</v>
      </c>
      <c r="AK75" s="52">
        <v>2.27</v>
      </c>
      <c r="AL75" s="52">
        <v>22.76</v>
      </c>
      <c r="AM75" s="52">
        <v>0.01</v>
      </c>
      <c r="AN75" s="64" t="s">
        <v>60</v>
      </c>
      <c r="AO75" s="4" t="s">
        <v>76</v>
      </c>
      <c r="AP75" s="2" t="s">
        <v>1270</v>
      </c>
      <c r="AQ75" s="2" t="s">
        <v>1271</v>
      </c>
      <c r="AR75" s="2" t="s">
        <v>215</v>
      </c>
      <c r="AS75" s="2" t="s">
        <v>1272</v>
      </c>
      <c r="AT75" s="2" t="s">
        <v>1273</v>
      </c>
      <c r="AU75" s="2" t="s">
        <v>1274</v>
      </c>
      <c r="AV75" s="2" t="s">
        <v>1032</v>
      </c>
      <c r="AW75" s="2" t="s">
        <v>1275</v>
      </c>
      <c r="AX75" s="2" t="s">
        <v>1276</v>
      </c>
      <c r="AY75" s="2" t="s">
        <v>1277</v>
      </c>
      <c r="AZ75" s="4" t="s">
        <v>1278</v>
      </c>
      <c r="BA75" s="2" t="s">
        <v>87</v>
      </c>
      <c r="BB75" s="4" t="s">
        <v>1273</v>
      </c>
      <c r="BC75" s="4" t="s">
        <v>1279</v>
      </c>
      <c r="BD75" s="2" t="s">
        <v>1280</v>
      </c>
      <c r="BE75" s="2" t="s">
        <v>88</v>
      </c>
      <c r="BF75" s="2" t="s">
        <v>88</v>
      </c>
    </row>
    <row r="76" spans="1:58" x14ac:dyDescent="0.2">
      <c r="A76" s="3" t="s">
        <v>1281</v>
      </c>
      <c r="B76" s="3" t="s">
        <v>1282</v>
      </c>
      <c r="C76" s="3" t="s">
        <v>60</v>
      </c>
      <c r="D76" s="3" t="s">
        <v>60</v>
      </c>
      <c r="E76" s="3" t="s">
        <v>1283</v>
      </c>
      <c r="F76" s="3" t="s">
        <v>60</v>
      </c>
      <c r="G76" s="3" t="s">
        <v>60</v>
      </c>
      <c r="H76" s="3" t="s">
        <v>60</v>
      </c>
      <c r="I76" s="3" t="s">
        <v>60</v>
      </c>
      <c r="J76" s="3" t="s">
        <v>1284</v>
      </c>
      <c r="K76" s="3" t="s">
        <v>1281</v>
      </c>
      <c r="L76" s="3" t="s">
        <v>1285</v>
      </c>
      <c r="M76" s="3" t="s">
        <v>134</v>
      </c>
      <c r="N76" s="3" t="s">
        <v>638</v>
      </c>
      <c r="O76" s="3" t="s">
        <v>639</v>
      </c>
      <c r="P76" s="3" t="s">
        <v>1286</v>
      </c>
      <c r="Q76" s="3" t="s">
        <v>60</v>
      </c>
      <c r="R76" s="3" t="s">
        <v>1287</v>
      </c>
      <c r="S76" s="3" t="s">
        <v>96</v>
      </c>
      <c r="T76" s="17">
        <v>81.680000000000007</v>
      </c>
      <c r="U76" s="3" t="s">
        <v>70</v>
      </c>
      <c r="V76" s="3" t="s">
        <v>71</v>
      </c>
      <c r="W76" s="3" t="s">
        <v>98</v>
      </c>
      <c r="X76" s="3" t="s">
        <v>60</v>
      </c>
      <c r="Y76" s="9" t="str">
        <f>HYPERLINK("http://www.linkedin.com/company/sedco-capital", "http://www.linkedin.com/company/sedco-capital")</f>
        <v>http://www.linkedin.com/company/sedco-capital</v>
      </c>
      <c r="Z76" s="29">
        <v>134</v>
      </c>
      <c r="AA76" s="3" t="s">
        <v>1288</v>
      </c>
      <c r="AB76" s="3" t="s">
        <v>74</v>
      </c>
      <c r="AC76" s="3" t="s">
        <v>1289</v>
      </c>
      <c r="AD76" s="41">
        <v>2024</v>
      </c>
      <c r="AE76" s="3" t="s">
        <v>60</v>
      </c>
      <c r="AF76" s="53" t="s">
        <v>60</v>
      </c>
      <c r="AG76" s="53" t="s">
        <v>60</v>
      </c>
      <c r="AH76" s="53" t="s">
        <v>60</v>
      </c>
      <c r="AI76" s="53" t="s">
        <v>60</v>
      </c>
      <c r="AJ76" s="53" t="s">
        <v>60</v>
      </c>
      <c r="AK76" s="53" t="s">
        <v>60</v>
      </c>
      <c r="AL76" s="53" t="s">
        <v>60</v>
      </c>
      <c r="AM76" s="53" t="s">
        <v>60</v>
      </c>
      <c r="AN76" s="65" t="s">
        <v>60</v>
      </c>
      <c r="AO76" s="5" t="s">
        <v>60</v>
      </c>
      <c r="AP76" s="3" t="s">
        <v>1290</v>
      </c>
      <c r="AQ76" s="3" t="s">
        <v>1291</v>
      </c>
      <c r="AR76" s="3" t="s">
        <v>1292</v>
      </c>
      <c r="AS76" s="3" t="s">
        <v>1293</v>
      </c>
      <c r="AT76" s="3" t="s">
        <v>1294</v>
      </c>
      <c r="AU76" s="3" t="s">
        <v>82</v>
      </c>
      <c r="AV76" s="3" t="s">
        <v>1295</v>
      </c>
      <c r="AW76" s="3" t="s">
        <v>1296</v>
      </c>
      <c r="AX76" s="3" t="s">
        <v>85</v>
      </c>
      <c r="AY76" s="3" t="s">
        <v>60</v>
      </c>
      <c r="AZ76" s="5" t="s">
        <v>1297</v>
      </c>
      <c r="BA76" s="3" t="s">
        <v>87</v>
      </c>
      <c r="BB76" s="5" t="s">
        <v>1294</v>
      </c>
      <c r="BC76" s="5" t="s">
        <v>60</v>
      </c>
      <c r="BD76" s="3" t="s">
        <v>60</v>
      </c>
      <c r="BE76" s="3" t="s">
        <v>88</v>
      </c>
      <c r="BF76" s="3" t="s">
        <v>88</v>
      </c>
    </row>
    <row r="77" spans="1:58" x14ac:dyDescent="0.2">
      <c r="A77" s="2" t="s">
        <v>1298</v>
      </c>
      <c r="B77" s="2" t="s">
        <v>1299</v>
      </c>
      <c r="C77" s="2" t="s">
        <v>60</v>
      </c>
      <c r="D77" s="2" t="s">
        <v>60</v>
      </c>
      <c r="E77" s="2" t="s">
        <v>60</v>
      </c>
      <c r="F77" s="2" t="s">
        <v>60</v>
      </c>
      <c r="G77" s="2" t="s">
        <v>1300</v>
      </c>
      <c r="H77" s="2" t="s">
        <v>60</v>
      </c>
      <c r="I77" s="2" t="s">
        <v>60</v>
      </c>
      <c r="J77" s="2" t="s">
        <v>60</v>
      </c>
      <c r="K77" s="2" t="s">
        <v>1298</v>
      </c>
      <c r="L77" s="2" t="s">
        <v>1301</v>
      </c>
      <c r="M77" s="2" t="s">
        <v>134</v>
      </c>
      <c r="N77" s="2" t="s">
        <v>638</v>
      </c>
      <c r="O77" s="2" t="s">
        <v>639</v>
      </c>
      <c r="P77" s="2" t="s">
        <v>1286</v>
      </c>
      <c r="Q77" s="2" t="s">
        <v>60</v>
      </c>
      <c r="R77" s="2" t="s">
        <v>1302</v>
      </c>
      <c r="S77" s="2" t="s">
        <v>96</v>
      </c>
      <c r="T77" s="16">
        <v>81.290000000000006</v>
      </c>
      <c r="U77" s="2" t="s">
        <v>70</v>
      </c>
      <c r="V77" s="2" t="s">
        <v>71</v>
      </c>
      <c r="W77" s="2" t="s">
        <v>98</v>
      </c>
      <c r="X77" s="2" t="s">
        <v>60</v>
      </c>
      <c r="Y77" s="2" t="s">
        <v>60</v>
      </c>
      <c r="Z77" s="28" t="s">
        <v>60</v>
      </c>
      <c r="AA77" s="2" t="s">
        <v>60</v>
      </c>
      <c r="AB77" s="2" t="s">
        <v>60</v>
      </c>
      <c r="AC77" s="2" t="s">
        <v>60</v>
      </c>
      <c r="AD77" s="40">
        <v>2024</v>
      </c>
      <c r="AE77" s="2" t="s">
        <v>60</v>
      </c>
      <c r="AF77" s="52" t="s">
        <v>60</v>
      </c>
      <c r="AG77" s="52" t="s">
        <v>60</v>
      </c>
      <c r="AH77" s="52" t="s">
        <v>60</v>
      </c>
      <c r="AI77" s="52" t="s">
        <v>60</v>
      </c>
      <c r="AJ77" s="52" t="s">
        <v>60</v>
      </c>
      <c r="AK77" s="52" t="s">
        <v>60</v>
      </c>
      <c r="AL77" s="52" t="s">
        <v>60</v>
      </c>
      <c r="AM77" s="52" t="s">
        <v>60</v>
      </c>
      <c r="AN77" s="64" t="s">
        <v>60</v>
      </c>
      <c r="AO77" s="4" t="s">
        <v>60</v>
      </c>
      <c r="AP77" s="2" t="s">
        <v>60</v>
      </c>
      <c r="AQ77" s="2" t="s">
        <v>60</v>
      </c>
      <c r="AR77" s="2" t="s">
        <v>60</v>
      </c>
      <c r="AS77" s="2" t="s">
        <v>60</v>
      </c>
      <c r="AT77" s="2" t="s">
        <v>60</v>
      </c>
      <c r="AU77" s="2" t="s">
        <v>82</v>
      </c>
      <c r="AV77" s="2" t="s">
        <v>1303</v>
      </c>
      <c r="AW77" s="2" t="s">
        <v>60</v>
      </c>
      <c r="AX77" s="2" t="s">
        <v>85</v>
      </c>
      <c r="AY77" s="2" t="s">
        <v>60</v>
      </c>
      <c r="AZ77" s="4" t="s">
        <v>1304</v>
      </c>
      <c r="BA77" s="2" t="s">
        <v>87</v>
      </c>
      <c r="BB77" s="4" t="s">
        <v>1305</v>
      </c>
      <c r="BC77" s="4" t="s">
        <v>1306</v>
      </c>
      <c r="BD77" s="2" t="s">
        <v>60</v>
      </c>
      <c r="BE77" s="2" t="s">
        <v>88</v>
      </c>
      <c r="BF77" s="2" t="s">
        <v>88</v>
      </c>
    </row>
    <row r="78" spans="1:58" x14ac:dyDescent="0.2">
      <c r="A78" s="3" t="s">
        <v>1307</v>
      </c>
      <c r="B78" s="3" t="s">
        <v>1308</v>
      </c>
      <c r="C78" s="3" t="s">
        <v>60</v>
      </c>
      <c r="D78" s="3" t="s">
        <v>60</v>
      </c>
      <c r="E78" s="3" t="s">
        <v>60</v>
      </c>
      <c r="F78" s="3" t="s">
        <v>1309</v>
      </c>
      <c r="G78" s="3" t="s">
        <v>60</v>
      </c>
      <c r="H78" s="3" t="s">
        <v>60</v>
      </c>
      <c r="I78" s="3" t="s">
        <v>60</v>
      </c>
      <c r="J78" s="3" t="s">
        <v>60</v>
      </c>
      <c r="K78" s="3" t="s">
        <v>1307</v>
      </c>
      <c r="L78" s="3" t="s">
        <v>1310</v>
      </c>
      <c r="M78" s="3" t="s">
        <v>134</v>
      </c>
      <c r="N78" s="3" t="s">
        <v>728</v>
      </c>
      <c r="O78" s="3" t="s">
        <v>729</v>
      </c>
      <c r="P78" s="3" t="s">
        <v>730</v>
      </c>
      <c r="Q78" s="3" t="s">
        <v>60</v>
      </c>
      <c r="R78" s="3" t="s">
        <v>1311</v>
      </c>
      <c r="S78" s="3" t="s">
        <v>96</v>
      </c>
      <c r="T78" s="17">
        <v>874.57</v>
      </c>
      <c r="U78" s="3" t="s">
        <v>70</v>
      </c>
      <c r="V78" s="3" t="s">
        <v>71</v>
      </c>
      <c r="W78" s="3" t="s">
        <v>175</v>
      </c>
      <c r="X78" s="9" t="str">
        <f>HYPERLINK("http://www.saib.com.sa", "www.saib.com.sa")</f>
        <v>www.saib.com.sa</v>
      </c>
      <c r="Y78" s="9" t="str">
        <f>HYPERLINK("http://www.linkedin.com/company/saudi-investment-bank", "http://www.linkedin.com/company/saudi-investment-bank")</f>
        <v>http://www.linkedin.com/company/saudi-investment-bank</v>
      </c>
      <c r="Z78" s="29">
        <v>1483</v>
      </c>
      <c r="AA78" s="3" t="s">
        <v>1312</v>
      </c>
      <c r="AB78" s="3" t="s">
        <v>74</v>
      </c>
      <c r="AC78" s="3" t="s">
        <v>1313</v>
      </c>
      <c r="AD78" s="41">
        <v>1976</v>
      </c>
      <c r="AE78" s="3" t="s">
        <v>60</v>
      </c>
      <c r="AF78" s="53">
        <v>1127.42</v>
      </c>
      <c r="AG78" s="53" t="s">
        <v>60</v>
      </c>
      <c r="AH78" s="53">
        <v>544.26</v>
      </c>
      <c r="AI78" s="53" t="s">
        <v>60</v>
      </c>
      <c r="AJ78" s="53" t="s">
        <v>60</v>
      </c>
      <c r="AK78" s="53" t="s">
        <v>60</v>
      </c>
      <c r="AL78" s="53">
        <v>4770.9399999999996</v>
      </c>
      <c r="AM78" s="53">
        <v>37792.21</v>
      </c>
      <c r="AN78" s="65">
        <v>3.67</v>
      </c>
      <c r="AO78" s="5" t="s">
        <v>179</v>
      </c>
      <c r="AP78" s="3" t="s">
        <v>1314</v>
      </c>
      <c r="AQ78" s="3" t="s">
        <v>1315</v>
      </c>
      <c r="AR78" s="3" t="s">
        <v>1316</v>
      </c>
      <c r="AS78" s="3" t="s">
        <v>1317</v>
      </c>
      <c r="AT78" s="3" t="s">
        <v>60</v>
      </c>
      <c r="AU78" s="3" t="s">
        <v>106</v>
      </c>
      <c r="AV78" s="3" t="s">
        <v>1318</v>
      </c>
      <c r="AW78" s="3" t="s">
        <v>1319</v>
      </c>
      <c r="AX78" s="3" t="s">
        <v>109</v>
      </c>
      <c r="AY78" s="3" t="s">
        <v>60</v>
      </c>
      <c r="AZ78" s="5" t="s">
        <v>1320</v>
      </c>
      <c r="BA78" s="3" t="s">
        <v>87</v>
      </c>
      <c r="BB78" s="5" t="s">
        <v>60</v>
      </c>
      <c r="BC78" s="5" t="s">
        <v>60</v>
      </c>
      <c r="BD78" s="3" t="s">
        <v>1321</v>
      </c>
      <c r="BE78" s="3" t="s">
        <v>88</v>
      </c>
      <c r="BF78" s="3" t="s">
        <v>88</v>
      </c>
    </row>
    <row r="79" spans="1:58" x14ac:dyDescent="0.2">
      <c r="A79" s="2" t="s">
        <v>1322</v>
      </c>
      <c r="B79" s="2" t="s">
        <v>1323</v>
      </c>
      <c r="C79" s="2" t="s">
        <v>60</v>
      </c>
      <c r="D79" s="2" t="s">
        <v>60</v>
      </c>
      <c r="E79" s="2" t="s">
        <v>60</v>
      </c>
      <c r="F79" s="2" t="s">
        <v>60</v>
      </c>
      <c r="G79" s="2" t="s">
        <v>1324</v>
      </c>
      <c r="H79" s="2" t="s">
        <v>60</v>
      </c>
      <c r="I79" s="2" t="s">
        <v>60</v>
      </c>
      <c r="J79" s="2" t="s">
        <v>60</v>
      </c>
      <c r="K79" s="2" t="s">
        <v>1322</v>
      </c>
      <c r="L79" s="2" t="s">
        <v>1325</v>
      </c>
      <c r="M79" s="2" t="s">
        <v>63</v>
      </c>
      <c r="N79" s="2" t="s">
        <v>92</v>
      </c>
      <c r="O79" s="2" t="s">
        <v>171</v>
      </c>
      <c r="P79" s="2" t="s">
        <v>1326</v>
      </c>
      <c r="Q79" s="2" t="s">
        <v>60</v>
      </c>
      <c r="R79" s="2" t="s">
        <v>1327</v>
      </c>
      <c r="S79" s="2" t="s">
        <v>96</v>
      </c>
      <c r="T79" s="16" t="s">
        <v>60</v>
      </c>
      <c r="U79" s="2" t="s">
        <v>97</v>
      </c>
      <c r="V79" s="2" t="s">
        <v>71</v>
      </c>
      <c r="W79" s="2" t="s">
        <v>98</v>
      </c>
      <c r="X79" s="8" t="str">
        <f>HYPERLINK("http://www.leafglobal.com.sa", "www.leafglobal.com.sa")</f>
        <v>www.leafglobal.com.sa</v>
      </c>
      <c r="Y79" s="8" t="str">
        <f>HYPERLINK("http://www.linkedin.com/company/leaf-global-environmental-services", "http://www.linkedin.com/company/leaf-global-environmental-services")</f>
        <v>http://www.linkedin.com/company/leaf-global-environmental-services</v>
      </c>
      <c r="Z79" s="28" t="s">
        <v>60</v>
      </c>
      <c r="AA79" s="2" t="s">
        <v>60</v>
      </c>
      <c r="AB79" s="2" t="s">
        <v>74</v>
      </c>
      <c r="AC79" s="2" t="s">
        <v>1328</v>
      </c>
      <c r="AD79" s="40">
        <v>2018</v>
      </c>
      <c r="AE79" s="2" t="s">
        <v>60</v>
      </c>
      <c r="AF79" s="52">
        <v>11.98</v>
      </c>
      <c r="AG79" s="52">
        <v>5.44</v>
      </c>
      <c r="AH79" s="52">
        <v>2.85</v>
      </c>
      <c r="AI79" s="52">
        <v>123.33</v>
      </c>
      <c r="AJ79" s="52">
        <v>3.55</v>
      </c>
      <c r="AK79" s="52">
        <v>3.16</v>
      </c>
      <c r="AL79" s="52">
        <v>35.96</v>
      </c>
      <c r="AM79" s="52">
        <v>-3.24</v>
      </c>
      <c r="AN79" s="64">
        <v>-5.83</v>
      </c>
      <c r="AO79" s="4" t="s">
        <v>76</v>
      </c>
      <c r="AP79" s="2" t="s">
        <v>1329</v>
      </c>
      <c r="AQ79" s="2" t="s">
        <v>1330</v>
      </c>
      <c r="AR79" s="2" t="s">
        <v>1331</v>
      </c>
      <c r="AS79" s="2" t="s">
        <v>60</v>
      </c>
      <c r="AT79" s="2" t="s">
        <v>1332</v>
      </c>
      <c r="AU79" s="2" t="s">
        <v>82</v>
      </c>
      <c r="AV79" s="2" t="s">
        <v>1333</v>
      </c>
      <c r="AW79" s="2" t="s">
        <v>60</v>
      </c>
      <c r="AX79" s="2" t="s">
        <v>85</v>
      </c>
      <c r="AY79" s="2" t="s">
        <v>60</v>
      </c>
      <c r="AZ79" s="4" t="s">
        <v>60</v>
      </c>
      <c r="BA79" s="2" t="s">
        <v>87</v>
      </c>
      <c r="BB79" s="4" t="s">
        <v>1332</v>
      </c>
      <c r="BC79" s="4" t="s">
        <v>60</v>
      </c>
      <c r="BD79" s="2" t="s">
        <v>1334</v>
      </c>
      <c r="BE79" s="2" t="s">
        <v>88</v>
      </c>
      <c r="BF79" s="2" t="s">
        <v>88</v>
      </c>
    </row>
    <row r="80" spans="1:58" x14ac:dyDescent="0.2">
      <c r="A80" s="3" t="s">
        <v>1335</v>
      </c>
      <c r="B80" s="3" t="s">
        <v>1336</v>
      </c>
      <c r="C80" s="3" t="s">
        <v>60</v>
      </c>
      <c r="D80" s="3" t="s">
        <v>60</v>
      </c>
      <c r="E80" s="3" t="s">
        <v>60</v>
      </c>
      <c r="F80" s="3" t="s">
        <v>1337</v>
      </c>
      <c r="G80" s="3" t="s">
        <v>1338</v>
      </c>
      <c r="H80" s="3" t="s">
        <v>60</v>
      </c>
      <c r="I80" s="3" t="s">
        <v>60</v>
      </c>
      <c r="J80" s="3" t="s">
        <v>60</v>
      </c>
      <c r="K80" s="3" t="s">
        <v>1335</v>
      </c>
      <c r="L80" s="3" t="s">
        <v>1339</v>
      </c>
      <c r="M80" s="3" t="s">
        <v>134</v>
      </c>
      <c r="N80" s="3" t="s">
        <v>638</v>
      </c>
      <c r="O80" s="3" t="s">
        <v>1340</v>
      </c>
      <c r="P80" s="3" t="s">
        <v>1341</v>
      </c>
      <c r="Q80" s="3" t="s">
        <v>60</v>
      </c>
      <c r="R80" s="3" t="s">
        <v>1342</v>
      </c>
      <c r="S80" s="3" t="s">
        <v>372</v>
      </c>
      <c r="T80" s="17">
        <v>31.94</v>
      </c>
      <c r="U80" s="3" t="s">
        <v>97</v>
      </c>
      <c r="V80" s="3" t="s">
        <v>71</v>
      </c>
      <c r="W80" s="3" t="s">
        <v>373</v>
      </c>
      <c r="X80" s="9" t="str">
        <f>HYPERLINK("http://www.yaqeen.sa", "www.yaqeen.sa")</f>
        <v>www.yaqeen.sa</v>
      </c>
      <c r="Y80" s="9" t="str">
        <f>HYPERLINK("http://www.linkedin.com/company/yaqeen-capital", "http://www.linkedin.com/company/yaqeen-capital")</f>
        <v>http://www.linkedin.com/company/yaqeen-capital</v>
      </c>
      <c r="Z80" s="29">
        <v>162</v>
      </c>
      <c r="AA80" s="3" t="s">
        <v>1343</v>
      </c>
      <c r="AB80" s="3" t="s">
        <v>74</v>
      </c>
      <c r="AC80" s="3" t="s">
        <v>1344</v>
      </c>
      <c r="AD80" s="41">
        <v>2006</v>
      </c>
      <c r="AE80" s="3" t="s">
        <v>60</v>
      </c>
      <c r="AF80" s="53">
        <v>25.03</v>
      </c>
      <c r="AG80" s="53">
        <v>12.13</v>
      </c>
      <c r="AH80" s="53">
        <v>6.75</v>
      </c>
      <c r="AI80" s="53">
        <v>47.43</v>
      </c>
      <c r="AJ80" s="53">
        <v>9.4499999999999993</v>
      </c>
      <c r="AK80" s="53">
        <v>8.7899999999999991</v>
      </c>
      <c r="AL80" s="53">
        <v>66.22</v>
      </c>
      <c r="AM80" s="53">
        <v>-24.47</v>
      </c>
      <c r="AN80" s="65">
        <v>18.04</v>
      </c>
      <c r="AO80" s="5" t="s">
        <v>76</v>
      </c>
      <c r="AP80" s="3" t="s">
        <v>1345</v>
      </c>
      <c r="AQ80" s="3" t="s">
        <v>1346</v>
      </c>
      <c r="AR80" s="3" t="s">
        <v>1067</v>
      </c>
      <c r="AS80" s="3" t="s">
        <v>1347</v>
      </c>
      <c r="AT80" s="3" t="s">
        <v>60</v>
      </c>
      <c r="AU80" s="3" t="s">
        <v>106</v>
      </c>
      <c r="AV80" s="3" t="s">
        <v>1348</v>
      </c>
      <c r="AW80" s="3" t="s">
        <v>1349</v>
      </c>
      <c r="AX80" s="3" t="s">
        <v>109</v>
      </c>
      <c r="AY80" s="3" t="s">
        <v>60</v>
      </c>
      <c r="AZ80" s="5" t="s">
        <v>1350</v>
      </c>
      <c r="BA80" s="3" t="s">
        <v>87</v>
      </c>
      <c r="BB80" s="5" t="s">
        <v>60</v>
      </c>
      <c r="BC80" s="5" t="s">
        <v>1351</v>
      </c>
      <c r="BD80" s="3" t="s">
        <v>60</v>
      </c>
      <c r="BE80" s="3" t="s">
        <v>88</v>
      </c>
      <c r="BF80" s="3" t="s">
        <v>88</v>
      </c>
    </row>
    <row r="81" spans="1:58" x14ac:dyDescent="0.2">
      <c r="A81" s="2" t="s">
        <v>1352</v>
      </c>
      <c r="B81" s="2" t="s">
        <v>1353</v>
      </c>
      <c r="C81" s="2" t="s">
        <v>60</v>
      </c>
      <c r="D81" s="2" t="s">
        <v>60</v>
      </c>
      <c r="E81" s="2" t="s">
        <v>60</v>
      </c>
      <c r="F81" s="2" t="s">
        <v>60</v>
      </c>
      <c r="G81" s="2" t="s">
        <v>1354</v>
      </c>
      <c r="H81" s="2" t="s">
        <v>60</v>
      </c>
      <c r="I81" s="2" t="s">
        <v>60</v>
      </c>
      <c r="J81" s="2" t="s">
        <v>60</v>
      </c>
      <c r="K81" s="2" t="s">
        <v>1352</v>
      </c>
      <c r="L81" s="2" t="s">
        <v>1355</v>
      </c>
      <c r="M81" s="2" t="s">
        <v>241</v>
      </c>
      <c r="N81" s="2" t="s">
        <v>839</v>
      </c>
      <c r="O81" s="2" t="s">
        <v>840</v>
      </c>
      <c r="P81" s="2" t="s">
        <v>1356</v>
      </c>
      <c r="Q81" s="2" t="s">
        <v>1357</v>
      </c>
      <c r="R81" s="2" t="s">
        <v>1358</v>
      </c>
      <c r="S81" s="2" t="s">
        <v>96</v>
      </c>
      <c r="T81" s="16">
        <v>4.79</v>
      </c>
      <c r="U81" s="2" t="s">
        <v>97</v>
      </c>
      <c r="V81" s="2" t="s">
        <v>71</v>
      </c>
      <c r="W81" s="2" t="s">
        <v>98</v>
      </c>
      <c r="X81" s="8" t="str">
        <f>HYPERLINK("http://www.neftalsharq.com", "www.neftalsharq.com")</f>
        <v>www.neftalsharq.com</v>
      </c>
      <c r="Y81" s="8" t="str">
        <f>HYPERLINK("http://www.linkedin.com/company/neftalsharq", "http://www.linkedin.com/company/neftalsharq")</f>
        <v>http://www.linkedin.com/company/neftalsharq</v>
      </c>
      <c r="Z81" s="28" t="s">
        <v>60</v>
      </c>
      <c r="AA81" s="2" t="s">
        <v>60</v>
      </c>
      <c r="AB81" s="2" t="s">
        <v>74</v>
      </c>
      <c r="AC81" s="2" t="s">
        <v>1359</v>
      </c>
      <c r="AD81" s="40">
        <v>2012</v>
      </c>
      <c r="AE81" s="2" t="s">
        <v>60</v>
      </c>
      <c r="AF81" s="52">
        <v>19.95</v>
      </c>
      <c r="AG81" s="52">
        <v>3.29</v>
      </c>
      <c r="AH81" s="52">
        <v>0.11</v>
      </c>
      <c r="AI81" s="52">
        <v>25.39</v>
      </c>
      <c r="AJ81" s="52">
        <v>1.23</v>
      </c>
      <c r="AK81" s="52">
        <v>0.51</v>
      </c>
      <c r="AL81" s="52">
        <v>18.510000000000002</v>
      </c>
      <c r="AM81" s="52">
        <v>2.92</v>
      </c>
      <c r="AN81" s="64">
        <v>45.09</v>
      </c>
      <c r="AO81" s="4" t="s">
        <v>76</v>
      </c>
      <c r="AP81" s="2" t="s">
        <v>1360</v>
      </c>
      <c r="AQ81" s="2" t="s">
        <v>1361</v>
      </c>
      <c r="AR81" s="2" t="s">
        <v>124</v>
      </c>
      <c r="AS81" s="2" t="s">
        <v>1362</v>
      </c>
      <c r="AT81" s="2" t="s">
        <v>1363</v>
      </c>
      <c r="AU81" s="2" t="s">
        <v>106</v>
      </c>
      <c r="AV81" s="2" t="s">
        <v>1364</v>
      </c>
      <c r="AW81" s="2" t="s">
        <v>1365</v>
      </c>
      <c r="AX81" s="2" t="s">
        <v>109</v>
      </c>
      <c r="AY81" s="2" t="s">
        <v>60</v>
      </c>
      <c r="AZ81" s="4" t="s">
        <v>60</v>
      </c>
      <c r="BA81" s="2" t="s">
        <v>87</v>
      </c>
      <c r="BB81" s="4" t="s">
        <v>1363</v>
      </c>
      <c r="BC81" s="4" t="s">
        <v>60</v>
      </c>
      <c r="BD81" s="2" t="s">
        <v>1366</v>
      </c>
      <c r="BE81" s="2" t="s">
        <v>88</v>
      </c>
      <c r="BF81" s="2" t="s">
        <v>88</v>
      </c>
    </row>
    <row r="82" spans="1:58" x14ac:dyDescent="0.2">
      <c r="A82" s="3" t="s">
        <v>1367</v>
      </c>
      <c r="B82" s="3" t="s">
        <v>1368</v>
      </c>
      <c r="C82" s="3" t="s">
        <v>60</v>
      </c>
      <c r="D82" s="3" t="s">
        <v>60</v>
      </c>
      <c r="E82" s="3" t="s">
        <v>60</v>
      </c>
      <c r="F82" s="3" t="s">
        <v>60</v>
      </c>
      <c r="G82" s="3" t="s">
        <v>1369</v>
      </c>
      <c r="H82" s="3" t="s">
        <v>60</v>
      </c>
      <c r="I82" s="3" t="s">
        <v>60</v>
      </c>
      <c r="J82" s="3" t="s">
        <v>60</v>
      </c>
      <c r="K82" s="3" t="s">
        <v>1367</v>
      </c>
      <c r="L82" s="3" t="s">
        <v>1370</v>
      </c>
      <c r="M82" s="3" t="s">
        <v>63</v>
      </c>
      <c r="N82" s="3" t="s">
        <v>64</v>
      </c>
      <c r="O82" s="3" t="s">
        <v>530</v>
      </c>
      <c r="P82" s="3" t="s">
        <v>1371</v>
      </c>
      <c r="Q82" s="3" t="s">
        <v>67</v>
      </c>
      <c r="R82" s="3" t="s">
        <v>1372</v>
      </c>
      <c r="S82" s="3" t="s">
        <v>96</v>
      </c>
      <c r="T82" s="17" t="s">
        <v>60</v>
      </c>
      <c r="U82" s="3" t="s">
        <v>97</v>
      </c>
      <c r="V82" s="3" t="s">
        <v>71</v>
      </c>
      <c r="W82" s="3" t="s">
        <v>98</v>
      </c>
      <c r="X82" s="9" t="str">
        <f>HYPERLINK("http://www.altaiseer.com", "www.altaiseer.com")</f>
        <v>www.altaiseer.com</v>
      </c>
      <c r="Y82" s="9" t="str">
        <f>HYPERLINK("http://www.linkedin.com/company/altaiseer-talco", "http://www.linkedin.com/company/altaiseer-talco")</f>
        <v>http://www.linkedin.com/company/altaiseer-talco</v>
      </c>
      <c r="Z82" s="29">
        <v>694</v>
      </c>
      <c r="AA82" s="3" t="s">
        <v>1373</v>
      </c>
      <c r="AB82" s="3" t="s">
        <v>74</v>
      </c>
      <c r="AC82" s="3" t="s">
        <v>1374</v>
      </c>
      <c r="AD82" s="41">
        <v>1976</v>
      </c>
      <c r="AE82" s="3" t="s">
        <v>60</v>
      </c>
      <c r="AF82" s="53">
        <v>211.53</v>
      </c>
      <c r="AG82" s="53">
        <v>44.91</v>
      </c>
      <c r="AH82" s="53">
        <v>23.03</v>
      </c>
      <c r="AI82" s="53">
        <v>432.71</v>
      </c>
      <c r="AJ82" s="53">
        <v>32.549999999999997</v>
      </c>
      <c r="AK82" s="53">
        <v>26.3</v>
      </c>
      <c r="AL82" s="53">
        <v>365.02</v>
      </c>
      <c r="AM82" s="53">
        <v>-25.26</v>
      </c>
      <c r="AN82" s="65">
        <v>17.850000000000001</v>
      </c>
      <c r="AO82" s="5" t="s">
        <v>179</v>
      </c>
      <c r="AP82" s="3" t="s">
        <v>1375</v>
      </c>
      <c r="AQ82" s="3" t="s">
        <v>1376</v>
      </c>
      <c r="AR82" s="3" t="s">
        <v>1377</v>
      </c>
      <c r="AS82" s="3" t="s">
        <v>60</v>
      </c>
      <c r="AT82" s="3" t="s">
        <v>1378</v>
      </c>
      <c r="AU82" s="3" t="s">
        <v>106</v>
      </c>
      <c r="AV82" s="3" t="s">
        <v>1379</v>
      </c>
      <c r="AW82" s="3" t="s">
        <v>1380</v>
      </c>
      <c r="AX82" s="3" t="s">
        <v>109</v>
      </c>
      <c r="AY82" s="3" t="s">
        <v>60</v>
      </c>
      <c r="AZ82" s="5" t="s">
        <v>1381</v>
      </c>
      <c r="BA82" s="3" t="s">
        <v>87</v>
      </c>
      <c r="BB82" s="5" t="s">
        <v>1378</v>
      </c>
      <c r="BC82" s="5" t="s">
        <v>1382</v>
      </c>
      <c r="BD82" s="3" t="s">
        <v>1383</v>
      </c>
      <c r="BE82" s="3" t="s">
        <v>88</v>
      </c>
      <c r="BF82" s="3" t="s">
        <v>88</v>
      </c>
    </row>
    <row r="83" spans="1:58" x14ac:dyDescent="0.2">
      <c r="A83" s="2" t="s">
        <v>1384</v>
      </c>
      <c r="B83" s="2" t="s">
        <v>1385</v>
      </c>
      <c r="C83" s="2" t="s">
        <v>60</v>
      </c>
      <c r="D83" s="2" t="s">
        <v>60</v>
      </c>
      <c r="E83" s="2" t="s">
        <v>60</v>
      </c>
      <c r="F83" s="2" t="s">
        <v>1386</v>
      </c>
      <c r="G83" s="2" t="s">
        <v>1387</v>
      </c>
      <c r="H83" s="2" t="s">
        <v>60</v>
      </c>
      <c r="I83" s="2" t="s">
        <v>60</v>
      </c>
      <c r="J83" s="2" t="s">
        <v>1388</v>
      </c>
      <c r="K83" s="2" t="s">
        <v>1384</v>
      </c>
      <c r="L83" s="2" t="s">
        <v>1389</v>
      </c>
      <c r="M83" s="2" t="s">
        <v>1175</v>
      </c>
      <c r="N83" s="2" t="s">
        <v>1176</v>
      </c>
      <c r="O83" s="2" t="s">
        <v>1390</v>
      </c>
      <c r="P83" s="2" t="s">
        <v>1391</v>
      </c>
      <c r="Q83" s="2" t="s">
        <v>1392</v>
      </c>
      <c r="R83" s="2" t="s">
        <v>1393</v>
      </c>
      <c r="S83" s="2" t="s">
        <v>96</v>
      </c>
      <c r="T83" s="16">
        <v>36815</v>
      </c>
      <c r="U83" s="2" t="s">
        <v>97</v>
      </c>
      <c r="V83" s="2" t="s">
        <v>71</v>
      </c>
      <c r="W83" s="2" t="s">
        <v>1394</v>
      </c>
      <c r="X83" s="8" t="str">
        <f>HYPERLINK("http://www.aramco.com", "www.aramco.com")</f>
        <v>www.aramco.com</v>
      </c>
      <c r="Y83" s="8" t="str">
        <f>HYPERLINK("http://www.linkedin.com/company/aramco", "http://www.linkedin.com/company/aramco")</f>
        <v>http://www.linkedin.com/company/aramco</v>
      </c>
      <c r="Z83" s="28">
        <v>75118</v>
      </c>
      <c r="AA83" s="2" t="s">
        <v>1395</v>
      </c>
      <c r="AB83" s="2" t="s">
        <v>74</v>
      </c>
      <c r="AC83" s="2" t="s">
        <v>1396</v>
      </c>
      <c r="AD83" s="40">
        <v>1933</v>
      </c>
      <c r="AE83" s="2" t="s">
        <v>60</v>
      </c>
      <c r="AF83" s="52">
        <v>448229.45</v>
      </c>
      <c r="AG83" s="52">
        <v>220110.23</v>
      </c>
      <c r="AH83" s="52">
        <v>97267.77</v>
      </c>
      <c r="AI83" s="52">
        <v>1676449.57</v>
      </c>
      <c r="AJ83" s="52">
        <v>220208.47</v>
      </c>
      <c r="AK83" s="52">
        <v>192547.72</v>
      </c>
      <c r="AL83" s="52">
        <v>1653018</v>
      </c>
      <c r="AM83" s="52">
        <v>38920.76</v>
      </c>
      <c r="AN83" s="64">
        <v>-8.1199999999999992</v>
      </c>
      <c r="AO83" s="4" t="s">
        <v>179</v>
      </c>
      <c r="AP83" s="2" t="s">
        <v>1397</v>
      </c>
      <c r="AQ83" s="2" t="s">
        <v>1398</v>
      </c>
      <c r="AR83" s="2" t="s">
        <v>1399</v>
      </c>
      <c r="AS83" s="2" t="s">
        <v>1400</v>
      </c>
      <c r="AT83" s="2" t="s">
        <v>1401</v>
      </c>
      <c r="AU83" s="2" t="s">
        <v>1402</v>
      </c>
      <c r="AV83" s="2" t="s">
        <v>1403</v>
      </c>
      <c r="AW83" s="2" t="s">
        <v>60</v>
      </c>
      <c r="AX83" s="2" t="s">
        <v>1404</v>
      </c>
      <c r="AY83" s="2" t="s">
        <v>60</v>
      </c>
      <c r="AZ83" s="4" t="s">
        <v>1405</v>
      </c>
      <c r="BA83" s="2" t="s">
        <v>87</v>
      </c>
      <c r="BB83" s="4" t="s">
        <v>1401</v>
      </c>
      <c r="BC83" s="4" t="s">
        <v>60</v>
      </c>
      <c r="BD83" s="2" t="s">
        <v>1406</v>
      </c>
      <c r="BE83" s="2" t="s">
        <v>88</v>
      </c>
      <c r="BF83" s="2" t="s">
        <v>88</v>
      </c>
    </row>
    <row r="84" spans="1:58" x14ac:dyDescent="0.2">
      <c r="A84" s="3" t="s">
        <v>1407</v>
      </c>
      <c r="B84" s="3" t="s">
        <v>1408</v>
      </c>
      <c r="C84" s="3" t="s">
        <v>60</v>
      </c>
      <c r="D84" s="3" t="s">
        <v>60</v>
      </c>
      <c r="E84" s="3" t="s">
        <v>60</v>
      </c>
      <c r="F84" s="3" t="s">
        <v>60</v>
      </c>
      <c r="G84" s="3" t="s">
        <v>1409</v>
      </c>
      <c r="H84" s="3" t="s">
        <v>60</v>
      </c>
      <c r="I84" s="3" t="s">
        <v>60</v>
      </c>
      <c r="J84" s="3" t="s">
        <v>60</v>
      </c>
      <c r="K84" s="3" t="s">
        <v>1407</v>
      </c>
      <c r="L84" s="3" t="s">
        <v>1410</v>
      </c>
      <c r="M84" s="3" t="s">
        <v>63</v>
      </c>
      <c r="N84" s="3" t="s">
        <v>92</v>
      </c>
      <c r="O84" s="3" t="s">
        <v>973</v>
      </c>
      <c r="P84" s="3" t="s">
        <v>1203</v>
      </c>
      <c r="Q84" s="3" t="s">
        <v>60</v>
      </c>
      <c r="R84" s="3" t="s">
        <v>1411</v>
      </c>
      <c r="S84" s="3" t="s">
        <v>372</v>
      </c>
      <c r="T84" s="17">
        <v>239.74</v>
      </c>
      <c r="U84" s="3" t="s">
        <v>97</v>
      </c>
      <c r="V84" s="3" t="s">
        <v>71</v>
      </c>
      <c r="W84" s="3" t="s">
        <v>373</v>
      </c>
      <c r="X84" s="9" t="str">
        <f>HYPERLINK("http://www.smasco.com", "www.smasco.com")</f>
        <v>www.smasco.com</v>
      </c>
      <c r="Y84" s="9" t="str">
        <f>HYPERLINK("http://www.linkedin.com/company/saudi-manpower-services-company-smasco-", "http://www.linkedin.com/company/saudi-manpower-services-company-smasco-")</f>
        <v>http://www.linkedin.com/company/saudi-manpower-services-company-smasco-</v>
      </c>
      <c r="Z84" s="29">
        <v>36593</v>
      </c>
      <c r="AA84" s="3" t="s">
        <v>1412</v>
      </c>
      <c r="AB84" s="3" t="s">
        <v>74</v>
      </c>
      <c r="AC84" s="3" t="s">
        <v>1413</v>
      </c>
      <c r="AD84" s="41">
        <v>2012</v>
      </c>
      <c r="AE84" s="3" t="s">
        <v>60</v>
      </c>
      <c r="AF84" s="53">
        <v>538.24</v>
      </c>
      <c r="AG84" s="53">
        <v>70.7</v>
      </c>
      <c r="AH84" s="53">
        <v>35.67</v>
      </c>
      <c r="AI84" s="53">
        <v>587.44000000000005</v>
      </c>
      <c r="AJ84" s="53">
        <v>49.77</v>
      </c>
      <c r="AK84" s="53">
        <v>38.9</v>
      </c>
      <c r="AL84" s="53">
        <v>636.05999999999995</v>
      </c>
      <c r="AM84" s="53">
        <v>-54.26</v>
      </c>
      <c r="AN84" s="65">
        <v>7.67</v>
      </c>
      <c r="AO84" s="5" t="s">
        <v>179</v>
      </c>
      <c r="AP84" s="3" t="s">
        <v>1414</v>
      </c>
      <c r="AQ84" s="3" t="s">
        <v>1415</v>
      </c>
      <c r="AR84" s="3" t="s">
        <v>1416</v>
      </c>
      <c r="AS84" s="3" t="s">
        <v>1417</v>
      </c>
      <c r="AT84" s="3" t="s">
        <v>1418</v>
      </c>
      <c r="AU84" s="3" t="s">
        <v>106</v>
      </c>
      <c r="AV84" s="3" t="s">
        <v>1419</v>
      </c>
      <c r="AW84" s="3" t="s">
        <v>1420</v>
      </c>
      <c r="AX84" s="3" t="s">
        <v>109</v>
      </c>
      <c r="AY84" s="3" t="s">
        <v>60</v>
      </c>
      <c r="AZ84" s="5" t="s">
        <v>1421</v>
      </c>
      <c r="BA84" s="3" t="s">
        <v>87</v>
      </c>
      <c r="BB84" s="5" t="s">
        <v>1422</v>
      </c>
      <c r="BC84" s="5" t="s">
        <v>1423</v>
      </c>
      <c r="BD84" s="3" t="s">
        <v>1424</v>
      </c>
      <c r="BE84" s="3" t="s">
        <v>88</v>
      </c>
      <c r="BF84" s="3" t="s">
        <v>88</v>
      </c>
    </row>
    <row r="85" spans="1:58" x14ac:dyDescent="0.2">
      <c r="A85" s="2" t="s">
        <v>1425</v>
      </c>
      <c r="B85" s="2" t="s">
        <v>1426</v>
      </c>
      <c r="C85" s="2" t="s">
        <v>60</v>
      </c>
      <c r="D85" s="2" t="s">
        <v>60</v>
      </c>
      <c r="E85" s="2" t="s">
        <v>60</v>
      </c>
      <c r="F85" s="2" t="s">
        <v>60</v>
      </c>
      <c r="G85" s="2" t="s">
        <v>1427</v>
      </c>
      <c r="H85" s="2" t="s">
        <v>60</v>
      </c>
      <c r="I85" s="2" t="s">
        <v>60</v>
      </c>
      <c r="J85" s="2" t="s">
        <v>60</v>
      </c>
      <c r="K85" s="2" t="s">
        <v>1425</v>
      </c>
      <c r="L85" s="2" t="s">
        <v>1428</v>
      </c>
      <c r="M85" s="2" t="s">
        <v>328</v>
      </c>
      <c r="N85" s="2" t="s">
        <v>401</v>
      </c>
      <c r="O85" s="2" t="s">
        <v>402</v>
      </c>
      <c r="P85" s="2" t="s">
        <v>1429</v>
      </c>
      <c r="Q85" s="2" t="s">
        <v>60</v>
      </c>
      <c r="R85" s="2" t="s">
        <v>1430</v>
      </c>
      <c r="S85" s="2" t="s">
        <v>96</v>
      </c>
      <c r="T85" s="16">
        <v>459.57</v>
      </c>
      <c r="U85" s="2" t="s">
        <v>70</v>
      </c>
      <c r="V85" s="2" t="s">
        <v>71</v>
      </c>
      <c r="W85" s="2" t="s">
        <v>98</v>
      </c>
      <c r="X85" s="8" t="str">
        <f>HYPERLINK("http://www.fakeeh.care", "www.fakeeh.care")</f>
        <v>www.fakeeh.care</v>
      </c>
      <c r="Y85" s="8" t="str">
        <f>HYPERLINK("http://www.linkedin.com/company/fakeeh-care-group", "http://www.linkedin.com/company/fakeeh-care-group")</f>
        <v>http://www.linkedin.com/company/fakeeh-care-group</v>
      </c>
      <c r="Z85" s="28">
        <v>900</v>
      </c>
      <c r="AA85" s="2" t="s">
        <v>1431</v>
      </c>
      <c r="AB85" s="2" t="s">
        <v>74</v>
      </c>
      <c r="AC85" s="2" t="s">
        <v>1432</v>
      </c>
      <c r="AD85" s="40">
        <v>1978</v>
      </c>
      <c r="AE85" s="2" t="s">
        <v>60</v>
      </c>
      <c r="AF85" s="52">
        <v>807.74</v>
      </c>
      <c r="AG85" s="52">
        <v>186.04</v>
      </c>
      <c r="AH85" s="52">
        <v>79.8</v>
      </c>
      <c r="AI85" s="52">
        <v>2854.34</v>
      </c>
      <c r="AJ85" s="52">
        <v>129.79</v>
      </c>
      <c r="AK85" s="52">
        <v>81.19</v>
      </c>
      <c r="AL85" s="52">
        <v>2144.19</v>
      </c>
      <c r="AM85" s="52">
        <v>176.51</v>
      </c>
      <c r="AN85" s="64">
        <v>11.93</v>
      </c>
      <c r="AO85" s="4" t="s">
        <v>179</v>
      </c>
      <c r="AP85" s="2" t="s">
        <v>1433</v>
      </c>
      <c r="AQ85" s="2" t="s">
        <v>1434</v>
      </c>
      <c r="AR85" s="2" t="s">
        <v>1435</v>
      </c>
      <c r="AS85" s="2" t="s">
        <v>1436</v>
      </c>
      <c r="AT85" s="2" t="s">
        <v>1437</v>
      </c>
      <c r="AU85" s="2" t="s">
        <v>82</v>
      </c>
      <c r="AV85" s="2" t="s">
        <v>1438</v>
      </c>
      <c r="AW85" s="2" t="s">
        <v>60</v>
      </c>
      <c r="AX85" s="2" t="s">
        <v>85</v>
      </c>
      <c r="AY85" s="2" t="s">
        <v>60</v>
      </c>
      <c r="AZ85" s="4" t="s">
        <v>1439</v>
      </c>
      <c r="BA85" s="2" t="s">
        <v>87</v>
      </c>
      <c r="BB85" s="4" t="s">
        <v>1437</v>
      </c>
      <c r="BC85" s="4" t="s">
        <v>60</v>
      </c>
      <c r="BD85" s="2" t="s">
        <v>1440</v>
      </c>
      <c r="BE85" s="2" t="s">
        <v>88</v>
      </c>
      <c r="BF85" s="2" t="s">
        <v>88</v>
      </c>
    </row>
    <row r="86" spans="1:58" x14ac:dyDescent="0.2">
      <c r="A86" s="3" t="s">
        <v>1441</v>
      </c>
      <c r="B86" s="3" t="s">
        <v>1442</v>
      </c>
      <c r="C86" s="3" t="s">
        <v>60</v>
      </c>
      <c r="D86" s="3" t="s">
        <v>60</v>
      </c>
      <c r="E86" s="3" t="s">
        <v>1443</v>
      </c>
      <c r="F86" s="3" t="s">
        <v>60</v>
      </c>
      <c r="G86" s="3" t="s">
        <v>1444</v>
      </c>
      <c r="H86" s="3" t="s">
        <v>60</v>
      </c>
      <c r="I86" s="3" t="s">
        <v>60</v>
      </c>
      <c r="J86" s="3" t="s">
        <v>60</v>
      </c>
      <c r="K86" s="3" t="s">
        <v>1441</v>
      </c>
      <c r="L86" s="3" t="s">
        <v>1445</v>
      </c>
      <c r="M86" s="3" t="s">
        <v>115</v>
      </c>
      <c r="N86" s="3" t="s">
        <v>116</v>
      </c>
      <c r="O86" s="3" t="s">
        <v>155</v>
      </c>
      <c r="P86" s="3" t="s">
        <v>156</v>
      </c>
      <c r="Q86" s="3" t="s">
        <v>60</v>
      </c>
      <c r="R86" s="3" t="s">
        <v>1446</v>
      </c>
      <c r="S86" s="3" t="s">
        <v>96</v>
      </c>
      <c r="T86" s="17">
        <v>7.19</v>
      </c>
      <c r="U86" s="3" t="s">
        <v>97</v>
      </c>
      <c r="V86" s="3" t="s">
        <v>71</v>
      </c>
      <c r="W86" s="3" t="s">
        <v>98</v>
      </c>
      <c r="X86" s="9" t="str">
        <f>HYPERLINK("http://www.horizon.sch.sa", "www.horizon.sch.sa")</f>
        <v>www.horizon.sch.sa</v>
      </c>
      <c r="Y86" s="3" t="s">
        <v>60</v>
      </c>
      <c r="Z86" s="29" t="s">
        <v>60</v>
      </c>
      <c r="AA86" s="3" t="s">
        <v>60</v>
      </c>
      <c r="AB86" s="3" t="s">
        <v>74</v>
      </c>
      <c r="AC86" s="3" t="s">
        <v>1447</v>
      </c>
      <c r="AD86" s="41">
        <v>1999</v>
      </c>
      <c r="AE86" s="3" t="s">
        <v>60</v>
      </c>
      <c r="AF86" s="53">
        <v>10.85</v>
      </c>
      <c r="AG86" s="53">
        <v>3.61</v>
      </c>
      <c r="AH86" s="53">
        <v>2.65</v>
      </c>
      <c r="AI86" s="53">
        <v>50.72</v>
      </c>
      <c r="AJ86" s="53">
        <v>3.62</v>
      </c>
      <c r="AK86" s="53">
        <v>2.74</v>
      </c>
      <c r="AL86" s="53">
        <v>46.68</v>
      </c>
      <c r="AM86" s="53">
        <v>0</v>
      </c>
      <c r="AN86" s="65">
        <v>-3.16</v>
      </c>
      <c r="AO86" s="5" t="s">
        <v>141</v>
      </c>
      <c r="AP86" s="3" t="s">
        <v>1448</v>
      </c>
      <c r="AQ86" s="3" t="s">
        <v>1449</v>
      </c>
      <c r="AR86" s="3" t="s">
        <v>861</v>
      </c>
      <c r="AS86" s="3" t="s">
        <v>1450</v>
      </c>
      <c r="AT86" s="3" t="s">
        <v>1451</v>
      </c>
      <c r="AU86" s="3" t="s">
        <v>106</v>
      </c>
      <c r="AV86" s="3" t="s">
        <v>1452</v>
      </c>
      <c r="AW86" s="3" t="s">
        <v>1453</v>
      </c>
      <c r="AX86" s="3" t="s">
        <v>109</v>
      </c>
      <c r="AY86" s="3" t="s">
        <v>60</v>
      </c>
      <c r="AZ86" s="5" t="s">
        <v>60</v>
      </c>
      <c r="BA86" s="3" t="s">
        <v>87</v>
      </c>
      <c r="BB86" s="5" t="s">
        <v>1451</v>
      </c>
      <c r="BC86" s="5" t="s">
        <v>60</v>
      </c>
      <c r="BD86" s="3" t="s">
        <v>1454</v>
      </c>
      <c r="BE86" s="3" t="s">
        <v>88</v>
      </c>
      <c r="BF86" s="3" t="s">
        <v>88</v>
      </c>
    </row>
    <row r="87" spans="1:58" x14ac:dyDescent="0.2">
      <c r="A87" s="2" t="s">
        <v>1455</v>
      </c>
      <c r="B87" s="2" t="s">
        <v>1456</v>
      </c>
      <c r="C87" s="2" t="s">
        <v>60</v>
      </c>
      <c r="D87" s="2" t="s">
        <v>60</v>
      </c>
      <c r="E87" s="2" t="s">
        <v>60</v>
      </c>
      <c r="F87" s="2" t="s">
        <v>60</v>
      </c>
      <c r="G87" s="2" t="s">
        <v>1457</v>
      </c>
      <c r="H87" s="2" t="s">
        <v>60</v>
      </c>
      <c r="I87" s="2" t="s">
        <v>60</v>
      </c>
      <c r="J87" s="2" t="s">
        <v>60</v>
      </c>
      <c r="K87" s="2" t="s">
        <v>1455</v>
      </c>
      <c r="L87" s="2" t="s">
        <v>1458</v>
      </c>
      <c r="M87" s="2" t="s">
        <v>328</v>
      </c>
      <c r="N87" s="2" t="s">
        <v>401</v>
      </c>
      <c r="O87" s="2" t="s">
        <v>402</v>
      </c>
      <c r="P87" s="2" t="s">
        <v>403</v>
      </c>
      <c r="Q87" s="2" t="s">
        <v>60</v>
      </c>
      <c r="R87" s="2" t="s">
        <v>1459</v>
      </c>
      <c r="S87" s="2" t="s">
        <v>96</v>
      </c>
      <c r="T87" s="16" t="s">
        <v>60</v>
      </c>
      <c r="U87" s="2" t="s">
        <v>97</v>
      </c>
      <c r="V87" s="2" t="s">
        <v>71</v>
      </c>
      <c r="W87" s="2" t="s">
        <v>98</v>
      </c>
      <c r="X87" s="8" t="str">
        <f>HYPERLINK("http://www.miraldental.com", "www.miraldental.com")</f>
        <v>www.miraldental.com</v>
      </c>
      <c r="Y87" s="2" t="s">
        <v>60</v>
      </c>
      <c r="Z87" s="28" t="s">
        <v>60</v>
      </c>
      <c r="AA87" s="2" t="s">
        <v>60</v>
      </c>
      <c r="AB87" s="2" t="s">
        <v>74</v>
      </c>
      <c r="AC87" s="2" t="s">
        <v>1460</v>
      </c>
      <c r="AD87" s="40">
        <v>2002</v>
      </c>
      <c r="AE87" s="2" t="s">
        <v>60</v>
      </c>
      <c r="AF87" s="52">
        <v>21.12</v>
      </c>
      <c r="AG87" s="52" t="s">
        <v>60</v>
      </c>
      <c r="AH87" s="52">
        <v>4.91</v>
      </c>
      <c r="AI87" s="52">
        <v>46.07</v>
      </c>
      <c r="AJ87" s="52">
        <v>6.5</v>
      </c>
      <c r="AK87" s="52">
        <v>5.24</v>
      </c>
      <c r="AL87" s="52">
        <v>57.11</v>
      </c>
      <c r="AM87" s="52">
        <v>-11.99</v>
      </c>
      <c r="AN87" s="64">
        <v>15.59</v>
      </c>
      <c r="AO87" s="4" t="s">
        <v>76</v>
      </c>
      <c r="AP87" s="2" t="s">
        <v>1461</v>
      </c>
      <c r="AQ87" s="2" t="s">
        <v>1462</v>
      </c>
      <c r="AR87" s="2" t="s">
        <v>124</v>
      </c>
      <c r="AS87" s="2" t="s">
        <v>1463</v>
      </c>
      <c r="AT87" s="2" t="s">
        <v>60</v>
      </c>
      <c r="AU87" s="2" t="s">
        <v>106</v>
      </c>
      <c r="AV87" s="2" t="s">
        <v>1464</v>
      </c>
      <c r="AW87" s="2" t="s">
        <v>60</v>
      </c>
      <c r="AX87" s="2" t="s">
        <v>109</v>
      </c>
      <c r="AY87" s="2" t="s">
        <v>60</v>
      </c>
      <c r="AZ87" s="4" t="s">
        <v>1465</v>
      </c>
      <c r="BA87" s="2" t="s">
        <v>87</v>
      </c>
      <c r="BB87" s="4" t="s">
        <v>60</v>
      </c>
      <c r="BC87" s="4" t="s">
        <v>1466</v>
      </c>
      <c r="BD87" s="2" t="s">
        <v>60</v>
      </c>
      <c r="BE87" s="2" t="s">
        <v>88</v>
      </c>
      <c r="BF87" s="2" t="s">
        <v>88</v>
      </c>
    </row>
    <row r="88" spans="1:58" x14ac:dyDescent="0.2">
      <c r="A88" s="3" t="s">
        <v>1467</v>
      </c>
      <c r="B88" s="3" t="s">
        <v>1468</v>
      </c>
      <c r="C88" s="3" t="s">
        <v>60</v>
      </c>
      <c r="D88" s="3" t="s">
        <v>60</v>
      </c>
      <c r="E88" s="3" t="s">
        <v>60</v>
      </c>
      <c r="F88" s="3" t="s">
        <v>60</v>
      </c>
      <c r="G88" s="3" t="s">
        <v>1469</v>
      </c>
      <c r="H88" s="3" t="s">
        <v>60</v>
      </c>
      <c r="I88" s="3" t="s">
        <v>60</v>
      </c>
      <c r="J88" s="3" t="s">
        <v>60</v>
      </c>
      <c r="K88" s="3" t="s">
        <v>1467</v>
      </c>
      <c r="L88" s="3" t="s">
        <v>1470</v>
      </c>
      <c r="M88" s="3" t="s">
        <v>241</v>
      </c>
      <c r="N88" s="3" t="s">
        <v>242</v>
      </c>
      <c r="O88" s="3" t="s">
        <v>243</v>
      </c>
      <c r="P88" s="3" t="s">
        <v>1471</v>
      </c>
      <c r="Q88" s="3" t="s">
        <v>67</v>
      </c>
      <c r="R88" s="3" t="s">
        <v>1472</v>
      </c>
      <c r="S88" s="3" t="s">
        <v>96</v>
      </c>
      <c r="T88" s="17">
        <v>10.74</v>
      </c>
      <c r="U88" s="3" t="s">
        <v>97</v>
      </c>
      <c r="V88" s="3" t="s">
        <v>71</v>
      </c>
      <c r="W88" s="3" t="s">
        <v>98</v>
      </c>
      <c r="X88" s="9" t="str">
        <f>HYPERLINK("http://www.alrasheedco.com.sa", "www.alrasheedco.com.sa")</f>
        <v>www.alrasheedco.com.sa</v>
      </c>
      <c r="Y88" s="3" t="s">
        <v>60</v>
      </c>
      <c r="Z88" s="29" t="s">
        <v>60</v>
      </c>
      <c r="AA88" s="3" t="s">
        <v>60</v>
      </c>
      <c r="AB88" s="3" t="s">
        <v>74</v>
      </c>
      <c r="AC88" s="3" t="s">
        <v>1473</v>
      </c>
      <c r="AD88" s="41">
        <v>2000</v>
      </c>
      <c r="AE88" s="3" t="s">
        <v>60</v>
      </c>
      <c r="AF88" s="53">
        <v>94.49</v>
      </c>
      <c r="AG88" s="53">
        <v>31.6</v>
      </c>
      <c r="AH88" s="53">
        <v>24.37</v>
      </c>
      <c r="AI88" s="53">
        <v>385.84</v>
      </c>
      <c r="AJ88" s="53">
        <v>25.38</v>
      </c>
      <c r="AK88" s="53">
        <v>25.38</v>
      </c>
      <c r="AL88" s="53">
        <v>407.05</v>
      </c>
      <c r="AM88" s="53">
        <v>7.47</v>
      </c>
      <c r="AN88" s="65">
        <v>39.39</v>
      </c>
      <c r="AO88" s="5" t="s">
        <v>76</v>
      </c>
      <c r="AP88" s="3" t="s">
        <v>60</v>
      </c>
      <c r="AQ88" s="3" t="s">
        <v>60</v>
      </c>
      <c r="AR88" s="3" t="s">
        <v>60</v>
      </c>
      <c r="AS88" s="3" t="s">
        <v>60</v>
      </c>
      <c r="AT88" s="3" t="s">
        <v>60</v>
      </c>
      <c r="AU88" s="3" t="s">
        <v>106</v>
      </c>
      <c r="AV88" s="3" t="s">
        <v>1474</v>
      </c>
      <c r="AW88" s="3" t="s">
        <v>60</v>
      </c>
      <c r="AX88" s="3" t="s">
        <v>109</v>
      </c>
      <c r="AY88" s="3" t="s">
        <v>60</v>
      </c>
      <c r="AZ88" s="5" t="s">
        <v>1475</v>
      </c>
      <c r="BA88" s="3" t="s">
        <v>87</v>
      </c>
      <c r="BB88" s="5" t="s">
        <v>1476</v>
      </c>
      <c r="BC88" s="5" t="s">
        <v>1477</v>
      </c>
      <c r="BD88" s="3" t="s">
        <v>1478</v>
      </c>
      <c r="BE88" s="3" t="s">
        <v>88</v>
      </c>
      <c r="BF88" s="3" t="s">
        <v>88</v>
      </c>
    </row>
    <row r="89" spans="1:58" x14ac:dyDescent="0.2">
      <c r="A89" s="2" t="s">
        <v>1479</v>
      </c>
      <c r="B89" s="2" t="s">
        <v>1480</v>
      </c>
      <c r="C89" s="2" t="s">
        <v>60</v>
      </c>
      <c r="D89" s="2" t="s">
        <v>60</v>
      </c>
      <c r="E89" s="2" t="s">
        <v>60</v>
      </c>
      <c r="F89" s="2" t="s">
        <v>60</v>
      </c>
      <c r="G89" s="2" t="s">
        <v>1481</v>
      </c>
      <c r="H89" s="2" t="s">
        <v>60</v>
      </c>
      <c r="I89" s="2" t="s">
        <v>60</v>
      </c>
      <c r="J89" s="2" t="s">
        <v>60</v>
      </c>
      <c r="K89" s="2" t="s">
        <v>1479</v>
      </c>
      <c r="L89" s="2" t="s">
        <v>1482</v>
      </c>
      <c r="M89" s="2" t="s">
        <v>328</v>
      </c>
      <c r="N89" s="2" t="s">
        <v>1483</v>
      </c>
      <c r="O89" s="2" t="s">
        <v>1484</v>
      </c>
      <c r="P89" s="2" t="s">
        <v>1485</v>
      </c>
      <c r="Q89" s="2" t="s">
        <v>60</v>
      </c>
      <c r="R89" s="2" t="s">
        <v>1486</v>
      </c>
      <c r="S89" s="2" t="s">
        <v>96</v>
      </c>
      <c r="T89" s="16">
        <v>10.63</v>
      </c>
      <c r="U89" s="2" t="s">
        <v>97</v>
      </c>
      <c r="V89" s="2" t="s">
        <v>71</v>
      </c>
      <c r="W89" s="2" t="s">
        <v>98</v>
      </c>
      <c r="X89" s="8" t="str">
        <f>HYPERLINK("http://www.qomel.com", "www.qomel.com")</f>
        <v>www.qomel.com</v>
      </c>
      <c r="Y89" s="8" t="str">
        <f>HYPERLINK("http://www.linkedin.com/company/qomel", "http://www.linkedin.com/company/qomel")</f>
        <v>http://www.linkedin.com/company/qomel</v>
      </c>
      <c r="Z89" s="28" t="s">
        <v>60</v>
      </c>
      <c r="AA89" s="2" t="s">
        <v>60</v>
      </c>
      <c r="AB89" s="2" t="s">
        <v>74</v>
      </c>
      <c r="AC89" s="2" t="s">
        <v>1487</v>
      </c>
      <c r="AD89" s="40">
        <v>2007</v>
      </c>
      <c r="AE89" s="2" t="s">
        <v>60</v>
      </c>
      <c r="AF89" s="52">
        <v>36.44</v>
      </c>
      <c r="AG89" s="52">
        <v>12.36</v>
      </c>
      <c r="AH89" s="52">
        <v>5.6</v>
      </c>
      <c r="AI89" s="52">
        <v>112.04</v>
      </c>
      <c r="AJ89" s="52">
        <v>7.51</v>
      </c>
      <c r="AK89" s="52">
        <v>7.46</v>
      </c>
      <c r="AL89" s="52">
        <v>97.33</v>
      </c>
      <c r="AM89" s="52">
        <v>6.21</v>
      </c>
      <c r="AN89" s="64">
        <v>14.06</v>
      </c>
      <c r="AO89" s="4" t="s">
        <v>76</v>
      </c>
      <c r="AP89" s="2" t="s">
        <v>1488</v>
      </c>
      <c r="AQ89" s="2" t="s">
        <v>1489</v>
      </c>
      <c r="AR89" s="2" t="s">
        <v>1490</v>
      </c>
      <c r="AS89" s="2" t="s">
        <v>60</v>
      </c>
      <c r="AT89" s="2" t="s">
        <v>1491</v>
      </c>
      <c r="AU89" s="2" t="s">
        <v>106</v>
      </c>
      <c r="AV89" s="2" t="s">
        <v>1492</v>
      </c>
      <c r="AW89" s="2" t="s">
        <v>1493</v>
      </c>
      <c r="AX89" s="2" t="s">
        <v>109</v>
      </c>
      <c r="AY89" s="2" t="s">
        <v>60</v>
      </c>
      <c r="AZ89" s="4" t="s">
        <v>1494</v>
      </c>
      <c r="BA89" s="2" t="s">
        <v>87</v>
      </c>
      <c r="BB89" s="4" t="s">
        <v>1491</v>
      </c>
      <c r="BC89" s="4" t="s">
        <v>60</v>
      </c>
      <c r="BD89" s="2" t="s">
        <v>1495</v>
      </c>
      <c r="BE89" s="2" t="s">
        <v>88</v>
      </c>
      <c r="BF89" s="2" t="s">
        <v>88</v>
      </c>
    </row>
    <row r="90" spans="1:58" x14ac:dyDescent="0.2">
      <c r="A90" s="3" t="s">
        <v>1496</v>
      </c>
      <c r="B90" s="3" t="s">
        <v>1497</v>
      </c>
      <c r="C90" s="3" t="s">
        <v>60</v>
      </c>
      <c r="D90" s="3" t="s">
        <v>60</v>
      </c>
      <c r="E90" s="3" t="s">
        <v>60</v>
      </c>
      <c r="F90" s="3" t="s">
        <v>60</v>
      </c>
      <c r="G90" s="3" t="s">
        <v>1498</v>
      </c>
      <c r="H90" s="3" t="s">
        <v>60</v>
      </c>
      <c r="I90" s="3" t="s">
        <v>60</v>
      </c>
      <c r="J90" s="3" t="s">
        <v>60</v>
      </c>
      <c r="K90" s="3" t="s">
        <v>1496</v>
      </c>
      <c r="L90" s="3" t="s">
        <v>1499</v>
      </c>
      <c r="M90" s="3" t="s">
        <v>63</v>
      </c>
      <c r="N90" s="3" t="s">
        <v>64</v>
      </c>
      <c r="O90" s="3" t="s">
        <v>1500</v>
      </c>
      <c r="P90" s="3" t="s">
        <v>1501</v>
      </c>
      <c r="Q90" s="3" t="s">
        <v>67</v>
      </c>
      <c r="R90" s="3" t="s">
        <v>1502</v>
      </c>
      <c r="S90" s="3" t="s">
        <v>96</v>
      </c>
      <c r="T90" s="17">
        <v>430.14</v>
      </c>
      <c r="U90" s="3" t="s">
        <v>97</v>
      </c>
      <c r="V90" s="3" t="s">
        <v>71</v>
      </c>
      <c r="W90" s="3" t="s">
        <v>98</v>
      </c>
      <c r="X90" s="9" t="str">
        <f>HYPERLINK("http://www.obeikanglass.sa", "www.obeikanglass.sa")</f>
        <v>www.obeikanglass.sa</v>
      </c>
      <c r="Y90" s="9" t="str">
        <f>HYPERLINK("http://www.linkedin.com/company/obeikan-glass-company", "http://www.linkedin.com/company/obeikan-glass-company")</f>
        <v>http://www.linkedin.com/company/obeikan-glass-company</v>
      </c>
      <c r="Z90" s="29" t="s">
        <v>60</v>
      </c>
      <c r="AA90" s="3" t="s">
        <v>60</v>
      </c>
      <c r="AB90" s="3" t="s">
        <v>74</v>
      </c>
      <c r="AC90" s="3" t="s">
        <v>1503</v>
      </c>
      <c r="AD90" s="41">
        <v>2011</v>
      </c>
      <c r="AE90" s="3" t="s">
        <v>60</v>
      </c>
      <c r="AF90" s="53">
        <v>90.26</v>
      </c>
      <c r="AG90" s="53">
        <v>27.78</v>
      </c>
      <c r="AH90" s="53">
        <v>-0.74</v>
      </c>
      <c r="AI90" s="53">
        <v>304.19</v>
      </c>
      <c r="AJ90" s="53">
        <v>11.53</v>
      </c>
      <c r="AK90" s="53">
        <v>-0.47</v>
      </c>
      <c r="AL90" s="53">
        <v>219.05</v>
      </c>
      <c r="AM90" s="53">
        <v>19.27</v>
      </c>
      <c r="AN90" s="65">
        <v>0.02</v>
      </c>
      <c r="AO90" s="5" t="s">
        <v>179</v>
      </c>
      <c r="AP90" s="3" t="s">
        <v>1504</v>
      </c>
      <c r="AQ90" s="3" t="s">
        <v>1505</v>
      </c>
      <c r="AR90" s="3" t="s">
        <v>79</v>
      </c>
      <c r="AS90" s="3" t="s">
        <v>60</v>
      </c>
      <c r="AT90" s="3" t="s">
        <v>1506</v>
      </c>
      <c r="AU90" s="3" t="s">
        <v>1507</v>
      </c>
      <c r="AV90" s="3" t="s">
        <v>1508</v>
      </c>
      <c r="AW90" s="3" t="s">
        <v>1509</v>
      </c>
      <c r="AX90" s="3" t="s">
        <v>1510</v>
      </c>
      <c r="AY90" s="3" t="s">
        <v>60</v>
      </c>
      <c r="AZ90" s="5" t="s">
        <v>985</v>
      </c>
      <c r="BA90" s="3" t="s">
        <v>87</v>
      </c>
      <c r="BB90" s="5" t="s">
        <v>1506</v>
      </c>
      <c r="BC90" s="5" t="s">
        <v>60</v>
      </c>
      <c r="BD90" s="3" t="s">
        <v>60</v>
      </c>
      <c r="BE90" s="3" t="s">
        <v>88</v>
      </c>
      <c r="BF90" s="3" t="s">
        <v>88</v>
      </c>
    </row>
    <row r="91" spans="1:58" x14ac:dyDescent="0.2">
      <c r="A91" s="2" t="s">
        <v>1511</v>
      </c>
      <c r="B91" s="2" t="s">
        <v>1512</v>
      </c>
      <c r="C91" s="2" t="s">
        <v>60</v>
      </c>
      <c r="D91" s="2" t="s">
        <v>60</v>
      </c>
      <c r="E91" s="2" t="s">
        <v>60</v>
      </c>
      <c r="F91" s="2" t="s">
        <v>60</v>
      </c>
      <c r="G91" s="2" t="s">
        <v>1513</v>
      </c>
      <c r="H91" s="2" t="s">
        <v>60</v>
      </c>
      <c r="I91" s="2" t="s">
        <v>60</v>
      </c>
      <c r="J91" s="2" t="s">
        <v>60</v>
      </c>
      <c r="K91" s="2" t="s">
        <v>1511</v>
      </c>
      <c r="L91" s="2" t="s">
        <v>1514</v>
      </c>
      <c r="M91" s="2" t="s">
        <v>63</v>
      </c>
      <c r="N91" s="2" t="s">
        <v>92</v>
      </c>
      <c r="O91" s="2" t="s">
        <v>171</v>
      </c>
      <c r="P91" s="2" t="s">
        <v>1326</v>
      </c>
      <c r="Q91" s="2" t="s">
        <v>60</v>
      </c>
      <c r="R91" s="2" t="s">
        <v>1515</v>
      </c>
      <c r="S91" s="2" t="s">
        <v>96</v>
      </c>
      <c r="T91" s="16">
        <v>11.65</v>
      </c>
      <c r="U91" s="2" t="s">
        <v>1516</v>
      </c>
      <c r="V91" s="2" t="s">
        <v>71</v>
      </c>
      <c r="W91" s="2" t="s">
        <v>98</v>
      </c>
      <c r="X91" s="8" t="str">
        <f>HYPERLINK("http://www.taqatco.sa", "www.taqatco.sa")</f>
        <v>www.taqatco.sa</v>
      </c>
      <c r="Y91" s="8" t="str">
        <f>HYPERLINK("http://www.linkedin.com/company/taqat-mineral-company", "http://www.linkedin.com/company/taqat-mineral-company")</f>
        <v>http://www.linkedin.com/company/taqat-mineral-company</v>
      </c>
      <c r="Z91" s="28" t="s">
        <v>60</v>
      </c>
      <c r="AA91" s="2" t="s">
        <v>60</v>
      </c>
      <c r="AB91" s="2" t="s">
        <v>74</v>
      </c>
      <c r="AC91" s="2" t="s">
        <v>1517</v>
      </c>
      <c r="AD91" s="40">
        <v>2017</v>
      </c>
      <c r="AE91" s="2" t="s">
        <v>60</v>
      </c>
      <c r="AF91" s="52">
        <v>75.73</v>
      </c>
      <c r="AG91" s="52">
        <v>0.81</v>
      </c>
      <c r="AH91" s="52">
        <v>-1.66</v>
      </c>
      <c r="AI91" s="52">
        <v>38.57</v>
      </c>
      <c r="AJ91" s="52">
        <v>0.17</v>
      </c>
      <c r="AK91" s="52">
        <v>-1.06</v>
      </c>
      <c r="AL91" s="52">
        <v>42.1</v>
      </c>
      <c r="AM91" s="52">
        <v>2.1</v>
      </c>
      <c r="AN91" s="64">
        <v>74.489999999999995</v>
      </c>
      <c r="AO91" s="4" t="s">
        <v>76</v>
      </c>
      <c r="AP91" s="2" t="s">
        <v>1518</v>
      </c>
      <c r="AQ91" s="2" t="s">
        <v>1519</v>
      </c>
      <c r="AR91" s="2" t="s">
        <v>299</v>
      </c>
      <c r="AS91" s="2" t="s">
        <v>1520</v>
      </c>
      <c r="AT91" s="2" t="s">
        <v>1521</v>
      </c>
      <c r="AU91" s="2" t="s">
        <v>106</v>
      </c>
      <c r="AV91" s="2" t="s">
        <v>1522</v>
      </c>
      <c r="AW91" s="2" t="s">
        <v>1523</v>
      </c>
      <c r="AX91" s="2" t="s">
        <v>109</v>
      </c>
      <c r="AY91" s="2" t="s">
        <v>60</v>
      </c>
      <c r="AZ91" s="4" t="s">
        <v>1524</v>
      </c>
      <c r="BA91" s="2" t="s">
        <v>87</v>
      </c>
      <c r="BB91" s="4" t="s">
        <v>1521</v>
      </c>
      <c r="BC91" s="4" t="s">
        <v>60</v>
      </c>
      <c r="BD91" s="2" t="s">
        <v>1525</v>
      </c>
      <c r="BE91" s="2" t="s">
        <v>88</v>
      </c>
      <c r="BF91" s="2" t="s">
        <v>88</v>
      </c>
    </row>
    <row r="92" spans="1:58" x14ac:dyDescent="0.2">
      <c r="A92" s="3" t="s">
        <v>1526</v>
      </c>
      <c r="B92" s="3" t="s">
        <v>1527</v>
      </c>
      <c r="C92" s="3" t="s">
        <v>60</v>
      </c>
      <c r="D92" s="3" t="s">
        <v>60</v>
      </c>
      <c r="E92" s="3" t="s">
        <v>60</v>
      </c>
      <c r="F92" s="3" t="s">
        <v>60</v>
      </c>
      <c r="G92" s="3" t="s">
        <v>60</v>
      </c>
      <c r="H92" s="3" t="s">
        <v>60</v>
      </c>
      <c r="I92" s="3" t="s">
        <v>60</v>
      </c>
      <c r="J92" s="3" t="s">
        <v>60</v>
      </c>
      <c r="K92" s="3" t="s">
        <v>1526</v>
      </c>
      <c r="L92" s="3" t="s">
        <v>1528</v>
      </c>
      <c r="M92" s="3" t="s">
        <v>115</v>
      </c>
      <c r="N92" s="3" t="s">
        <v>208</v>
      </c>
      <c r="O92" s="3" t="s">
        <v>226</v>
      </c>
      <c r="P92" s="3" t="s">
        <v>227</v>
      </c>
      <c r="Q92" s="3" t="s">
        <v>60</v>
      </c>
      <c r="R92" s="3" t="s">
        <v>1529</v>
      </c>
      <c r="S92" s="3" t="s">
        <v>174</v>
      </c>
      <c r="T92" s="17" t="s">
        <v>60</v>
      </c>
      <c r="U92" s="3" t="s">
        <v>97</v>
      </c>
      <c r="V92" s="3" t="s">
        <v>71</v>
      </c>
      <c r="W92" s="3" t="s">
        <v>175</v>
      </c>
      <c r="X92" s="9" t="str">
        <f>HYPERLINK("http://www.modernmills.com.sa", "www.modernmills.com.sa")</f>
        <v>www.modernmills.com.sa</v>
      </c>
      <c r="Y92" s="3" t="s">
        <v>60</v>
      </c>
      <c r="Z92" s="29" t="s">
        <v>60</v>
      </c>
      <c r="AA92" s="3" t="s">
        <v>60</v>
      </c>
      <c r="AB92" s="3" t="s">
        <v>74</v>
      </c>
      <c r="AC92" s="3" t="s">
        <v>1530</v>
      </c>
      <c r="AD92" s="41">
        <v>2017</v>
      </c>
      <c r="AE92" s="3" t="s">
        <v>1531</v>
      </c>
      <c r="AF92" s="53">
        <v>272.10000000000002</v>
      </c>
      <c r="AG92" s="53">
        <v>99.08</v>
      </c>
      <c r="AH92" s="53">
        <v>59.17</v>
      </c>
      <c r="AI92" s="53">
        <v>897.8</v>
      </c>
      <c r="AJ92" s="53">
        <v>83.12</v>
      </c>
      <c r="AK92" s="53">
        <v>67.290000000000006</v>
      </c>
      <c r="AL92" s="53">
        <v>596.87</v>
      </c>
      <c r="AM92" s="53">
        <v>208.15</v>
      </c>
      <c r="AN92" s="65">
        <v>4.21</v>
      </c>
      <c r="AO92" s="5" t="s">
        <v>179</v>
      </c>
      <c r="AP92" s="3" t="s">
        <v>1532</v>
      </c>
      <c r="AQ92" s="3" t="s">
        <v>1533</v>
      </c>
      <c r="AR92" s="3" t="s">
        <v>79</v>
      </c>
      <c r="AS92" s="3" t="s">
        <v>60</v>
      </c>
      <c r="AT92" s="3" t="s">
        <v>1534</v>
      </c>
      <c r="AU92" s="3" t="s">
        <v>1229</v>
      </c>
      <c r="AV92" s="3" t="s">
        <v>1535</v>
      </c>
      <c r="AW92" s="3" t="s">
        <v>1536</v>
      </c>
      <c r="AX92" s="3" t="s">
        <v>1232</v>
      </c>
      <c r="AY92" s="3" t="s">
        <v>60</v>
      </c>
      <c r="AZ92" s="5" t="s">
        <v>1537</v>
      </c>
      <c r="BA92" s="3" t="s">
        <v>87</v>
      </c>
      <c r="BB92" s="5" t="s">
        <v>1534</v>
      </c>
      <c r="BC92" s="5" t="s">
        <v>60</v>
      </c>
      <c r="BD92" s="3" t="s">
        <v>60</v>
      </c>
      <c r="BE92" s="3" t="s">
        <v>88</v>
      </c>
      <c r="BF92" s="3" t="s">
        <v>88</v>
      </c>
    </row>
    <row r="93" spans="1:58" x14ac:dyDescent="0.2">
      <c r="A93" s="2" t="s">
        <v>1538</v>
      </c>
      <c r="B93" s="2" t="s">
        <v>1539</v>
      </c>
      <c r="C93" s="2" t="s">
        <v>60</v>
      </c>
      <c r="D93" s="2" t="s">
        <v>60</v>
      </c>
      <c r="E93" s="2" t="s">
        <v>60</v>
      </c>
      <c r="F93" s="2" t="s">
        <v>60</v>
      </c>
      <c r="G93" s="2" t="s">
        <v>1540</v>
      </c>
      <c r="H93" s="2" t="s">
        <v>60</v>
      </c>
      <c r="I93" s="2" t="s">
        <v>60</v>
      </c>
      <c r="J93" s="2" t="s">
        <v>60</v>
      </c>
      <c r="K93" s="2" t="s">
        <v>1538</v>
      </c>
      <c r="L93" s="2" t="s">
        <v>1541</v>
      </c>
      <c r="M93" s="2" t="s">
        <v>115</v>
      </c>
      <c r="N93" s="2" t="s">
        <v>116</v>
      </c>
      <c r="O93" s="2" t="s">
        <v>155</v>
      </c>
      <c r="P93" s="2" t="s">
        <v>156</v>
      </c>
      <c r="Q93" s="2" t="s">
        <v>60</v>
      </c>
      <c r="R93" s="2" t="s">
        <v>1542</v>
      </c>
      <c r="S93" s="2" t="s">
        <v>96</v>
      </c>
      <c r="T93" s="16">
        <v>7.65</v>
      </c>
      <c r="U93" s="2" t="s">
        <v>97</v>
      </c>
      <c r="V93" s="2" t="s">
        <v>71</v>
      </c>
      <c r="W93" s="2" t="s">
        <v>98</v>
      </c>
      <c r="X93" s="8" t="str">
        <f>HYPERLINK("http://www.al-mohafaza.com.sa", "www.al-mohafaza.com.sa")</f>
        <v>www.al-mohafaza.com.sa</v>
      </c>
      <c r="Y93" s="2" t="s">
        <v>60</v>
      </c>
      <c r="Z93" s="28" t="s">
        <v>60</v>
      </c>
      <c r="AA93" s="2" t="s">
        <v>60</v>
      </c>
      <c r="AB93" s="2" t="s">
        <v>74</v>
      </c>
      <c r="AC93" s="2" t="s">
        <v>1543</v>
      </c>
      <c r="AD93" s="40">
        <v>2004</v>
      </c>
      <c r="AE93" s="2" t="s">
        <v>60</v>
      </c>
      <c r="AF93" s="52">
        <v>7.35</v>
      </c>
      <c r="AG93" s="52">
        <v>2.76</v>
      </c>
      <c r="AH93" s="52">
        <v>1.56</v>
      </c>
      <c r="AI93" s="52">
        <v>47.35</v>
      </c>
      <c r="AJ93" s="52">
        <v>2.52</v>
      </c>
      <c r="AK93" s="52">
        <v>1.87</v>
      </c>
      <c r="AL93" s="52">
        <v>58.39</v>
      </c>
      <c r="AM93" s="52">
        <v>-2.72</v>
      </c>
      <c r="AN93" s="64">
        <v>-5.14</v>
      </c>
      <c r="AO93" s="4" t="s">
        <v>141</v>
      </c>
      <c r="AP93" s="2" t="s">
        <v>1544</v>
      </c>
      <c r="AQ93" s="2" t="s">
        <v>1545</v>
      </c>
      <c r="AR93" s="2" t="s">
        <v>299</v>
      </c>
      <c r="AS93" s="2" t="s">
        <v>1546</v>
      </c>
      <c r="AT93" s="2" t="s">
        <v>1547</v>
      </c>
      <c r="AU93" s="2" t="s">
        <v>1548</v>
      </c>
      <c r="AV93" s="2" t="s">
        <v>1549</v>
      </c>
      <c r="AW93" s="2" t="s">
        <v>1550</v>
      </c>
      <c r="AX93" s="2" t="s">
        <v>1551</v>
      </c>
      <c r="AY93" s="2" t="s">
        <v>60</v>
      </c>
      <c r="AZ93" s="4" t="s">
        <v>1552</v>
      </c>
      <c r="BA93" s="2" t="s">
        <v>87</v>
      </c>
      <c r="BB93" s="4" t="s">
        <v>1547</v>
      </c>
      <c r="BC93" s="4" t="s">
        <v>60</v>
      </c>
      <c r="BD93" s="2" t="s">
        <v>1553</v>
      </c>
      <c r="BE93" s="2" t="s">
        <v>88</v>
      </c>
      <c r="BF93" s="2" t="s">
        <v>88</v>
      </c>
    </row>
    <row r="94" spans="1:58" x14ac:dyDescent="0.2">
      <c r="A94" s="3" t="s">
        <v>1554</v>
      </c>
      <c r="B94" s="3" t="s">
        <v>1555</v>
      </c>
      <c r="C94" s="3" t="s">
        <v>60</v>
      </c>
      <c r="D94" s="3" t="s">
        <v>60</v>
      </c>
      <c r="E94" s="3" t="s">
        <v>60</v>
      </c>
      <c r="F94" s="3" t="s">
        <v>1556</v>
      </c>
      <c r="G94" s="3" t="s">
        <v>1557</v>
      </c>
      <c r="H94" s="3" t="s">
        <v>60</v>
      </c>
      <c r="I94" s="3" t="s">
        <v>60</v>
      </c>
      <c r="J94" s="3" t="s">
        <v>1558</v>
      </c>
      <c r="K94" s="3" t="s">
        <v>1554</v>
      </c>
      <c r="L94" s="3" t="s">
        <v>1559</v>
      </c>
      <c r="M94" s="3" t="s">
        <v>1175</v>
      </c>
      <c r="N94" s="3" t="s">
        <v>1560</v>
      </c>
      <c r="O94" s="3" t="s">
        <v>1561</v>
      </c>
      <c r="P94" s="3" t="s">
        <v>1562</v>
      </c>
      <c r="Q94" s="3" t="s">
        <v>1563</v>
      </c>
      <c r="R94" s="3" t="s">
        <v>1564</v>
      </c>
      <c r="S94" s="3" t="s">
        <v>372</v>
      </c>
      <c r="T94" s="17">
        <v>4050.08</v>
      </c>
      <c r="U94" s="3" t="s">
        <v>97</v>
      </c>
      <c r="V94" s="3" t="s">
        <v>71</v>
      </c>
      <c r="W94" s="3" t="s">
        <v>423</v>
      </c>
      <c r="X94" s="9" t="str">
        <f>HYPERLINK("http://www.acwapower.com", "www.acwapower.com")</f>
        <v>www.acwapower.com</v>
      </c>
      <c r="Y94" s="9" t="str">
        <f>HYPERLINK("http://www.linkedin.com/company/acwa-power-international", "http://www.linkedin.com/company/acwa-power-international")</f>
        <v>http://www.linkedin.com/company/acwa-power-international</v>
      </c>
      <c r="Z94" s="29">
        <v>1254</v>
      </c>
      <c r="AA94" s="3" t="s">
        <v>1565</v>
      </c>
      <c r="AB94" s="3" t="s">
        <v>74</v>
      </c>
      <c r="AC94" s="3" t="s">
        <v>1566</v>
      </c>
      <c r="AD94" s="41">
        <v>2004</v>
      </c>
      <c r="AE94" s="3" t="s">
        <v>60</v>
      </c>
      <c r="AF94" s="53">
        <v>1892.96</v>
      </c>
      <c r="AG94" s="53">
        <v>969.53</v>
      </c>
      <c r="AH94" s="53">
        <v>474.54</v>
      </c>
      <c r="AI94" s="53">
        <v>51136.87</v>
      </c>
      <c r="AJ94" s="53">
        <v>1049.28</v>
      </c>
      <c r="AK94" s="53">
        <v>889.21</v>
      </c>
      <c r="AL94" s="53">
        <v>38872.86</v>
      </c>
      <c r="AM94" s="53">
        <v>5295.2</v>
      </c>
      <c r="AN94" s="65">
        <v>11.59</v>
      </c>
      <c r="AO94" s="5" t="s">
        <v>179</v>
      </c>
      <c r="AP94" s="3" t="s">
        <v>1567</v>
      </c>
      <c r="AQ94" s="3" t="s">
        <v>1568</v>
      </c>
      <c r="AR94" s="3" t="s">
        <v>124</v>
      </c>
      <c r="AS94" s="3" t="s">
        <v>60</v>
      </c>
      <c r="AT94" s="3" t="s">
        <v>1569</v>
      </c>
      <c r="AU94" s="3" t="s">
        <v>106</v>
      </c>
      <c r="AV94" s="3" t="s">
        <v>1570</v>
      </c>
      <c r="AW94" s="3" t="s">
        <v>1571</v>
      </c>
      <c r="AX94" s="3" t="s">
        <v>109</v>
      </c>
      <c r="AY94" s="3" t="s">
        <v>1572</v>
      </c>
      <c r="AZ94" s="5" t="s">
        <v>1573</v>
      </c>
      <c r="BA94" s="3" t="s">
        <v>87</v>
      </c>
      <c r="BB94" s="5" t="s">
        <v>1569</v>
      </c>
      <c r="BC94" s="5" t="s">
        <v>1574</v>
      </c>
      <c r="BD94" s="3" t="s">
        <v>1575</v>
      </c>
      <c r="BE94" s="3" t="s">
        <v>88</v>
      </c>
      <c r="BF94" s="3" t="s">
        <v>88</v>
      </c>
    </row>
    <row r="95" spans="1:58" x14ac:dyDescent="0.2">
      <c r="A95" s="2" t="s">
        <v>1576</v>
      </c>
      <c r="B95" s="2" t="s">
        <v>1577</v>
      </c>
      <c r="C95" s="2" t="s">
        <v>60</v>
      </c>
      <c r="D95" s="2" t="s">
        <v>60</v>
      </c>
      <c r="E95" s="2" t="s">
        <v>60</v>
      </c>
      <c r="F95" s="2" t="s">
        <v>305</v>
      </c>
      <c r="G95" s="2" t="s">
        <v>1578</v>
      </c>
      <c r="H95" s="2" t="s">
        <v>60</v>
      </c>
      <c r="I95" s="2" t="s">
        <v>60</v>
      </c>
      <c r="J95" s="2" t="s">
        <v>60</v>
      </c>
      <c r="K95" s="2" t="s">
        <v>1576</v>
      </c>
      <c r="L95" s="2" t="s">
        <v>1579</v>
      </c>
      <c r="M95" s="2" t="s">
        <v>63</v>
      </c>
      <c r="N95" s="2" t="s">
        <v>292</v>
      </c>
      <c r="O95" s="2" t="s">
        <v>293</v>
      </c>
      <c r="P95" s="2" t="s">
        <v>1580</v>
      </c>
      <c r="Q95" s="2" t="s">
        <v>60</v>
      </c>
      <c r="R95" s="2" t="s">
        <v>1581</v>
      </c>
      <c r="S95" s="2" t="s">
        <v>96</v>
      </c>
      <c r="T95" s="16">
        <v>100</v>
      </c>
      <c r="U95" s="2" t="s">
        <v>97</v>
      </c>
      <c r="V95" s="2" t="s">
        <v>71</v>
      </c>
      <c r="W95" s="2" t="s">
        <v>98</v>
      </c>
      <c r="X95" s="8" t="str">
        <f>HYPERLINK("http://centers.cenomi.com", "centers.cenomi.com")</f>
        <v>centers.cenomi.com</v>
      </c>
      <c r="Y95" s="8" t="str">
        <f>HYPERLINK("http://www.linkedin.com/company/cenomicenters", "http://www.linkedin.com/company/cenomicenters")</f>
        <v>http://www.linkedin.com/company/cenomicenters</v>
      </c>
      <c r="Z95" s="28">
        <v>597</v>
      </c>
      <c r="AA95" s="2" t="s">
        <v>1582</v>
      </c>
      <c r="AB95" s="2" t="s">
        <v>74</v>
      </c>
      <c r="AC95" s="2" t="s">
        <v>1583</v>
      </c>
      <c r="AD95" s="40">
        <v>2002</v>
      </c>
      <c r="AE95" s="2" t="s">
        <v>60</v>
      </c>
      <c r="AF95" s="52">
        <v>614.82000000000005</v>
      </c>
      <c r="AG95" s="52">
        <v>527.05999999999995</v>
      </c>
      <c r="AH95" s="52">
        <v>410.36</v>
      </c>
      <c r="AI95" s="52">
        <v>6909.95</v>
      </c>
      <c r="AJ95" s="52">
        <v>462.25</v>
      </c>
      <c r="AK95" s="52">
        <v>456.57</v>
      </c>
      <c r="AL95" s="52">
        <v>2422.5700000000002</v>
      </c>
      <c r="AM95" s="52">
        <v>4045.27</v>
      </c>
      <c r="AN95" s="64">
        <v>0.26</v>
      </c>
      <c r="AO95" s="4" t="s">
        <v>179</v>
      </c>
      <c r="AP95" s="2" t="s">
        <v>1584</v>
      </c>
      <c r="AQ95" s="2" t="s">
        <v>1585</v>
      </c>
      <c r="AR95" s="2" t="s">
        <v>124</v>
      </c>
      <c r="AS95" s="2" t="s">
        <v>1586</v>
      </c>
      <c r="AT95" s="2" t="s">
        <v>1587</v>
      </c>
      <c r="AU95" s="2" t="s">
        <v>106</v>
      </c>
      <c r="AV95" s="2" t="s">
        <v>1588</v>
      </c>
      <c r="AW95" s="2" t="s">
        <v>60</v>
      </c>
      <c r="AX95" s="2" t="s">
        <v>109</v>
      </c>
      <c r="AY95" s="2" t="s">
        <v>60</v>
      </c>
      <c r="AZ95" s="4" t="s">
        <v>1589</v>
      </c>
      <c r="BA95" s="2" t="s">
        <v>87</v>
      </c>
      <c r="BB95" s="4" t="s">
        <v>1587</v>
      </c>
      <c r="BC95" s="4" t="s">
        <v>60</v>
      </c>
      <c r="BD95" s="2" t="s">
        <v>1590</v>
      </c>
      <c r="BE95" s="2" t="s">
        <v>88</v>
      </c>
      <c r="BF95" s="2" t="s">
        <v>88</v>
      </c>
    </row>
    <row r="96" spans="1:58" x14ac:dyDescent="0.2">
      <c r="A96" s="3" t="s">
        <v>1591</v>
      </c>
      <c r="B96" s="3" t="s">
        <v>1592</v>
      </c>
      <c r="C96" s="3" t="s">
        <v>60</v>
      </c>
      <c r="D96" s="3" t="s">
        <v>60</v>
      </c>
      <c r="E96" s="3" t="s">
        <v>60</v>
      </c>
      <c r="F96" s="3" t="s">
        <v>60</v>
      </c>
      <c r="G96" s="3" t="s">
        <v>1593</v>
      </c>
      <c r="H96" s="3" t="s">
        <v>60</v>
      </c>
      <c r="I96" s="3" t="s">
        <v>60</v>
      </c>
      <c r="J96" s="3" t="s">
        <v>60</v>
      </c>
      <c r="K96" s="3" t="s">
        <v>1591</v>
      </c>
      <c r="L96" s="3" t="s">
        <v>1594</v>
      </c>
      <c r="M96" s="3" t="s">
        <v>134</v>
      </c>
      <c r="N96" s="3" t="s">
        <v>135</v>
      </c>
      <c r="O96" s="3" t="s">
        <v>1595</v>
      </c>
      <c r="P96" s="3" t="s">
        <v>1596</v>
      </c>
      <c r="Q96" s="3" t="s">
        <v>60</v>
      </c>
      <c r="R96" s="3" t="s">
        <v>1597</v>
      </c>
      <c r="S96" s="3" t="s">
        <v>96</v>
      </c>
      <c r="T96" s="17">
        <v>10.56</v>
      </c>
      <c r="U96" s="3" t="s">
        <v>97</v>
      </c>
      <c r="V96" s="3" t="s">
        <v>71</v>
      </c>
      <c r="W96" s="3" t="s">
        <v>98</v>
      </c>
      <c r="X96" s="9" t="str">
        <f>HYPERLINK("http://quarafinance.com", "quarafinance.com")</f>
        <v>quarafinance.com</v>
      </c>
      <c r="Y96" s="9" t="str">
        <f>HYPERLINK("http://www.linkedin.com/company/quarafinance", "http://www.linkedin.com/company/quarafinance")</f>
        <v>http://www.linkedin.com/company/quarafinance</v>
      </c>
      <c r="Z96" s="29" t="s">
        <v>60</v>
      </c>
      <c r="AA96" s="3" t="s">
        <v>60</v>
      </c>
      <c r="AB96" s="3" t="s">
        <v>74</v>
      </c>
      <c r="AC96" s="3" t="s">
        <v>1598</v>
      </c>
      <c r="AD96" s="41">
        <v>2009</v>
      </c>
      <c r="AE96" s="3" t="s">
        <v>60</v>
      </c>
      <c r="AF96" s="53">
        <v>70.31</v>
      </c>
      <c r="AG96" s="53">
        <v>52.63</v>
      </c>
      <c r="AH96" s="53">
        <v>6.28</v>
      </c>
      <c r="AI96" s="53">
        <v>247.58</v>
      </c>
      <c r="AJ96" s="53">
        <v>9.76</v>
      </c>
      <c r="AK96" s="53">
        <v>8.7100000000000009</v>
      </c>
      <c r="AL96" s="53">
        <v>137.6</v>
      </c>
      <c r="AM96" s="53">
        <v>88.32</v>
      </c>
      <c r="AN96" s="65">
        <v>48.51</v>
      </c>
      <c r="AO96" s="5" t="s">
        <v>179</v>
      </c>
      <c r="AP96" s="3" t="s">
        <v>1599</v>
      </c>
      <c r="AQ96" s="3" t="s">
        <v>1600</v>
      </c>
      <c r="AR96" s="3" t="s">
        <v>79</v>
      </c>
      <c r="AS96" s="3" t="s">
        <v>1601</v>
      </c>
      <c r="AT96" s="3" t="s">
        <v>60</v>
      </c>
      <c r="AU96" s="3" t="s">
        <v>106</v>
      </c>
      <c r="AV96" s="3" t="s">
        <v>1602</v>
      </c>
      <c r="AW96" s="3" t="s">
        <v>60</v>
      </c>
      <c r="AX96" s="3" t="s">
        <v>109</v>
      </c>
      <c r="AY96" s="3" t="s">
        <v>109</v>
      </c>
      <c r="AZ96" s="5" t="s">
        <v>1603</v>
      </c>
      <c r="BA96" s="3" t="s">
        <v>87</v>
      </c>
      <c r="BB96" s="5" t="s">
        <v>60</v>
      </c>
      <c r="BC96" s="5" t="s">
        <v>60</v>
      </c>
      <c r="BD96" s="3" t="s">
        <v>1604</v>
      </c>
      <c r="BE96" s="3" t="s">
        <v>88</v>
      </c>
      <c r="BF96" s="3" t="s">
        <v>88</v>
      </c>
    </row>
    <row r="97" spans="1:58" x14ac:dyDescent="0.2">
      <c r="A97" s="2" t="s">
        <v>1605</v>
      </c>
      <c r="B97" s="2" t="s">
        <v>1606</v>
      </c>
      <c r="C97" s="2" t="s">
        <v>60</v>
      </c>
      <c r="D97" s="2" t="s">
        <v>60</v>
      </c>
      <c r="E97" s="2" t="s">
        <v>1607</v>
      </c>
      <c r="F97" s="2" t="s">
        <v>60</v>
      </c>
      <c r="G97" s="2" t="s">
        <v>1608</v>
      </c>
      <c r="H97" s="2" t="s">
        <v>60</v>
      </c>
      <c r="I97" s="2" t="s">
        <v>60</v>
      </c>
      <c r="J97" s="2" t="s">
        <v>1609</v>
      </c>
      <c r="K97" s="2" t="s">
        <v>1605</v>
      </c>
      <c r="L97" s="2" t="s">
        <v>1610</v>
      </c>
      <c r="M97" s="2" t="s">
        <v>328</v>
      </c>
      <c r="N97" s="2" t="s">
        <v>1483</v>
      </c>
      <c r="O97" s="2" t="s">
        <v>1484</v>
      </c>
      <c r="P97" s="2" t="s">
        <v>1485</v>
      </c>
      <c r="Q97" s="2" t="s">
        <v>67</v>
      </c>
      <c r="R97" s="2" t="s">
        <v>1611</v>
      </c>
      <c r="S97" s="2" t="s">
        <v>96</v>
      </c>
      <c r="T97" s="16">
        <v>130.56</v>
      </c>
      <c r="U97" s="2" t="s">
        <v>97</v>
      </c>
      <c r="V97" s="2" t="s">
        <v>71</v>
      </c>
      <c r="W97" s="2" t="s">
        <v>98</v>
      </c>
      <c r="X97" s="8" t="str">
        <f>HYPERLINK("http://www.avalonpharmaceutical.com", "www.avalonpharmaceutical.com")</f>
        <v>www.avalonpharmaceutical.com</v>
      </c>
      <c r="Y97" s="8" t="str">
        <f>HYPERLINK("http://www.linkedin.com/company/avalon-pharma", "http://www.linkedin.com/company/avalon-pharma")</f>
        <v>http://www.linkedin.com/company/avalon-pharma</v>
      </c>
      <c r="Z97" s="28">
        <v>541</v>
      </c>
      <c r="AA97" s="2" t="s">
        <v>1612</v>
      </c>
      <c r="AB97" s="2" t="s">
        <v>74</v>
      </c>
      <c r="AC97" s="2" t="s">
        <v>1613</v>
      </c>
      <c r="AD97" s="40">
        <v>1998</v>
      </c>
      <c r="AE97" s="2" t="s">
        <v>60</v>
      </c>
      <c r="AF97" s="52">
        <v>122.2</v>
      </c>
      <c r="AG97" s="52">
        <v>76</v>
      </c>
      <c r="AH97" s="52">
        <v>25.9</v>
      </c>
      <c r="AI97" s="52">
        <v>677.73</v>
      </c>
      <c r="AJ97" s="52">
        <v>33.229999999999997</v>
      </c>
      <c r="AK97" s="52">
        <v>28</v>
      </c>
      <c r="AL97" s="52">
        <v>621.15</v>
      </c>
      <c r="AM97" s="52">
        <v>11.45</v>
      </c>
      <c r="AN97" s="64">
        <v>18.54</v>
      </c>
      <c r="AO97" s="4" t="s">
        <v>179</v>
      </c>
      <c r="AP97" s="2" t="s">
        <v>1614</v>
      </c>
      <c r="AQ97" s="2" t="s">
        <v>1615</v>
      </c>
      <c r="AR97" s="2" t="s">
        <v>124</v>
      </c>
      <c r="AS97" s="2" t="s">
        <v>1616</v>
      </c>
      <c r="AT97" s="2" t="s">
        <v>1617</v>
      </c>
      <c r="AU97" s="2" t="s">
        <v>106</v>
      </c>
      <c r="AV97" s="2" t="s">
        <v>1618</v>
      </c>
      <c r="AW97" s="2" t="s">
        <v>1619</v>
      </c>
      <c r="AX97" s="2" t="s">
        <v>109</v>
      </c>
      <c r="AY97" s="2" t="s">
        <v>60</v>
      </c>
      <c r="AZ97" s="4" t="s">
        <v>1620</v>
      </c>
      <c r="BA97" s="2" t="s">
        <v>87</v>
      </c>
      <c r="BB97" s="4" t="s">
        <v>1617</v>
      </c>
      <c r="BC97" s="4" t="s">
        <v>60</v>
      </c>
      <c r="BD97" s="2" t="s">
        <v>1621</v>
      </c>
      <c r="BE97" s="2" t="s">
        <v>88</v>
      </c>
      <c r="BF97" s="2" t="s">
        <v>88</v>
      </c>
    </row>
    <row r="98" spans="1:58" x14ac:dyDescent="0.2">
      <c r="A98" s="3" t="s">
        <v>1622</v>
      </c>
      <c r="B98" s="3" t="s">
        <v>1623</v>
      </c>
      <c r="C98" s="3" t="s">
        <v>60</v>
      </c>
      <c r="D98" s="3" t="s">
        <v>60</v>
      </c>
      <c r="E98" s="3" t="s">
        <v>1624</v>
      </c>
      <c r="F98" s="3" t="s">
        <v>60</v>
      </c>
      <c r="G98" s="3" t="s">
        <v>1625</v>
      </c>
      <c r="H98" s="3" t="s">
        <v>60</v>
      </c>
      <c r="I98" s="3" t="s">
        <v>60</v>
      </c>
      <c r="J98" s="3" t="s">
        <v>60</v>
      </c>
      <c r="K98" s="3" t="s">
        <v>1622</v>
      </c>
      <c r="L98" s="3" t="s">
        <v>1626</v>
      </c>
      <c r="M98" s="3" t="s">
        <v>328</v>
      </c>
      <c r="N98" s="3" t="s">
        <v>401</v>
      </c>
      <c r="O98" s="3" t="s">
        <v>402</v>
      </c>
      <c r="P98" s="3" t="s">
        <v>403</v>
      </c>
      <c r="Q98" s="3" t="s">
        <v>60</v>
      </c>
      <c r="R98" s="3" t="s">
        <v>1627</v>
      </c>
      <c r="S98" s="3" t="s">
        <v>96</v>
      </c>
      <c r="T98" s="17">
        <v>13.98</v>
      </c>
      <c r="U98" s="3" t="s">
        <v>97</v>
      </c>
      <c r="V98" s="3" t="s">
        <v>71</v>
      </c>
      <c r="W98" s="3" t="s">
        <v>98</v>
      </c>
      <c r="X98" s="9" t="str">
        <f>HYPERLINK("http://www.almodawat.sa", "www.almodawat.sa")</f>
        <v>www.almodawat.sa</v>
      </c>
      <c r="Y98" s="3" t="s">
        <v>60</v>
      </c>
      <c r="Z98" s="29" t="s">
        <v>60</v>
      </c>
      <c r="AA98" s="3" t="s">
        <v>60</v>
      </c>
      <c r="AB98" s="3" t="s">
        <v>74</v>
      </c>
      <c r="AC98" s="3" t="s">
        <v>1628</v>
      </c>
      <c r="AD98" s="41">
        <v>2014</v>
      </c>
      <c r="AE98" s="3" t="s">
        <v>60</v>
      </c>
      <c r="AF98" s="53">
        <v>28.27</v>
      </c>
      <c r="AG98" s="53">
        <v>12.39</v>
      </c>
      <c r="AH98" s="53">
        <v>4.53</v>
      </c>
      <c r="AI98" s="53">
        <v>103.88</v>
      </c>
      <c r="AJ98" s="53" t="s">
        <v>60</v>
      </c>
      <c r="AK98" s="53">
        <v>5.15</v>
      </c>
      <c r="AL98" s="53">
        <v>92.04</v>
      </c>
      <c r="AM98" s="53">
        <v>3.86</v>
      </c>
      <c r="AN98" s="65" t="s">
        <v>60</v>
      </c>
      <c r="AO98" s="5" t="s">
        <v>179</v>
      </c>
      <c r="AP98" s="3" t="s">
        <v>1629</v>
      </c>
      <c r="AQ98" s="3" t="s">
        <v>1630</v>
      </c>
      <c r="AR98" s="3" t="s">
        <v>232</v>
      </c>
      <c r="AS98" s="3" t="s">
        <v>60</v>
      </c>
      <c r="AT98" s="3" t="s">
        <v>1631</v>
      </c>
      <c r="AU98" s="3" t="s">
        <v>1632</v>
      </c>
      <c r="AV98" s="3" t="s">
        <v>1633</v>
      </c>
      <c r="AW98" s="3" t="s">
        <v>60</v>
      </c>
      <c r="AX98" s="3" t="s">
        <v>1634</v>
      </c>
      <c r="AY98" s="3" t="s">
        <v>60</v>
      </c>
      <c r="AZ98" s="5" t="s">
        <v>60</v>
      </c>
      <c r="BA98" s="3" t="s">
        <v>87</v>
      </c>
      <c r="BB98" s="5" t="s">
        <v>1631</v>
      </c>
      <c r="BC98" s="5" t="s">
        <v>60</v>
      </c>
      <c r="BD98" s="3" t="s">
        <v>1635</v>
      </c>
      <c r="BE98" s="3" t="s">
        <v>88</v>
      </c>
      <c r="BF98" s="3" t="s">
        <v>88</v>
      </c>
    </row>
    <row r="99" spans="1:58" x14ac:dyDescent="0.2">
      <c r="A99" s="2" t="s">
        <v>1636</v>
      </c>
      <c r="B99" s="2" t="s">
        <v>1637</v>
      </c>
      <c r="C99" s="2" t="s">
        <v>60</v>
      </c>
      <c r="D99" s="2" t="s">
        <v>60</v>
      </c>
      <c r="E99" s="2" t="s">
        <v>1638</v>
      </c>
      <c r="F99" s="2" t="s">
        <v>60</v>
      </c>
      <c r="G99" s="2" t="s">
        <v>1639</v>
      </c>
      <c r="H99" s="2" t="s">
        <v>60</v>
      </c>
      <c r="I99" s="2" t="s">
        <v>60</v>
      </c>
      <c r="J99" s="2" t="s">
        <v>60</v>
      </c>
      <c r="K99" s="2" t="s">
        <v>1636</v>
      </c>
      <c r="L99" s="2" t="s">
        <v>1640</v>
      </c>
      <c r="M99" s="2" t="s">
        <v>485</v>
      </c>
      <c r="N99" s="2" t="s">
        <v>1023</v>
      </c>
      <c r="O99" s="2" t="s">
        <v>1024</v>
      </c>
      <c r="P99" s="2" t="s">
        <v>1641</v>
      </c>
      <c r="Q99" s="2" t="s">
        <v>60</v>
      </c>
      <c r="R99" s="2" t="s">
        <v>1642</v>
      </c>
      <c r="S99" s="2" t="s">
        <v>96</v>
      </c>
      <c r="T99" s="16">
        <v>5.07</v>
      </c>
      <c r="U99" s="2" t="s">
        <v>97</v>
      </c>
      <c r="V99" s="2" t="s">
        <v>71</v>
      </c>
      <c r="W99" s="2" t="s">
        <v>98</v>
      </c>
      <c r="X99" s="8" t="str">
        <f>HYPERLINK("http://www.wsmco.sa", "www.wsmco.sa")</f>
        <v>www.wsmco.sa</v>
      </c>
      <c r="Y99" s="8" t="str">
        <f>HYPERLINK("http://www.linkedin.com/company/wsmcompany", "http://www.linkedin.com/company/wsmcompany")</f>
        <v>http://www.linkedin.com/company/wsmcompany</v>
      </c>
      <c r="Z99" s="28" t="s">
        <v>60</v>
      </c>
      <c r="AA99" s="2" t="s">
        <v>60</v>
      </c>
      <c r="AB99" s="2" t="s">
        <v>74</v>
      </c>
      <c r="AC99" s="2" t="s">
        <v>1643</v>
      </c>
      <c r="AD99" s="40">
        <v>2014</v>
      </c>
      <c r="AE99" s="2" t="s">
        <v>60</v>
      </c>
      <c r="AF99" s="52">
        <v>11.23</v>
      </c>
      <c r="AG99" s="52">
        <v>3.68</v>
      </c>
      <c r="AH99" s="52">
        <v>1.73</v>
      </c>
      <c r="AI99" s="52">
        <v>16.88</v>
      </c>
      <c r="AJ99" s="52">
        <v>2.74</v>
      </c>
      <c r="AK99" s="52">
        <v>2.09</v>
      </c>
      <c r="AL99" s="52">
        <v>20.54</v>
      </c>
      <c r="AM99" s="52">
        <v>7.0000000000000007E-2</v>
      </c>
      <c r="AN99" s="64">
        <v>36.770000000000003</v>
      </c>
      <c r="AO99" s="4" t="s">
        <v>76</v>
      </c>
      <c r="AP99" s="2" t="s">
        <v>1644</v>
      </c>
      <c r="AQ99" s="2" t="s">
        <v>1645</v>
      </c>
      <c r="AR99" s="2" t="s">
        <v>79</v>
      </c>
      <c r="AS99" s="2" t="s">
        <v>60</v>
      </c>
      <c r="AT99" s="2" t="s">
        <v>1646</v>
      </c>
      <c r="AU99" s="2" t="s">
        <v>106</v>
      </c>
      <c r="AV99" s="2" t="s">
        <v>1647</v>
      </c>
      <c r="AW99" s="2" t="s">
        <v>60</v>
      </c>
      <c r="AX99" s="2" t="s">
        <v>109</v>
      </c>
      <c r="AY99" s="2" t="s">
        <v>60</v>
      </c>
      <c r="AZ99" s="4" t="s">
        <v>60</v>
      </c>
      <c r="BA99" s="2" t="s">
        <v>87</v>
      </c>
      <c r="BB99" s="4" t="s">
        <v>1646</v>
      </c>
      <c r="BC99" s="4" t="s">
        <v>1646</v>
      </c>
      <c r="BD99" s="2" t="s">
        <v>1648</v>
      </c>
      <c r="BE99" s="2" t="s">
        <v>88</v>
      </c>
      <c r="BF99" s="2" t="s">
        <v>88</v>
      </c>
    </row>
    <row r="100" spans="1:58" x14ac:dyDescent="0.2">
      <c r="A100" s="3" t="s">
        <v>1649</v>
      </c>
      <c r="B100" s="3" t="s">
        <v>1650</v>
      </c>
      <c r="C100" s="3" t="s">
        <v>60</v>
      </c>
      <c r="D100" s="3" t="s">
        <v>60</v>
      </c>
      <c r="E100" s="3" t="s">
        <v>60</v>
      </c>
      <c r="F100" s="3" t="s">
        <v>60</v>
      </c>
      <c r="G100" s="3" t="s">
        <v>1651</v>
      </c>
      <c r="H100" s="3" t="s">
        <v>60</v>
      </c>
      <c r="I100" s="3" t="s">
        <v>60</v>
      </c>
      <c r="J100" s="3" t="s">
        <v>60</v>
      </c>
      <c r="K100" s="3" t="s">
        <v>1649</v>
      </c>
      <c r="L100" s="3" t="s">
        <v>1652</v>
      </c>
      <c r="M100" s="3" t="s">
        <v>63</v>
      </c>
      <c r="N100" s="3" t="s">
        <v>64</v>
      </c>
      <c r="O100" s="3" t="s">
        <v>1500</v>
      </c>
      <c r="P100" s="3" t="s">
        <v>1653</v>
      </c>
      <c r="Q100" s="3" t="s">
        <v>60</v>
      </c>
      <c r="R100" s="3" t="s">
        <v>1654</v>
      </c>
      <c r="S100" s="3" t="s">
        <v>96</v>
      </c>
      <c r="T100" s="17">
        <v>8.1199999999999992</v>
      </c>
      <c r="U100" s="3" t="s">
        <v>97</v>
      </c>
      <c r="V100" s="3" t="s">
        <v>71</v>
      </c>
      <c r="W100" s="3" t="s">
        <v>98</v>
      </c>
      <c r="X100" s="9" t="str">
        <f>HYPERLINK("http://www.pangulfmarketing.com", "www.pangulfmarketing.com")</f>
        <v>www.pangulfmarketing.com</v>
      </c>
      <c r="Y100" s="9" t="str">
        <f>HYPERLINK("http://www.linkedin.com/company/hpg-world", "http://www.linkedin.com/company/hpg-world")</f>
        <v>http://www.linkedin.com/company/hpg-world</v>
      </c>
      <c r="Z100" s="29" t="s">
        <v>60</v>
      </c>
      <c r="AA100" s="3" t="s">
        <v>60</v>
      </c>
      <c r="AB100" s="3" t="s">
        <v>74</v>
      </c>
      <c r="AC100" s="3" t="s">
        <v>1655</v>
      </c>
      <c r="AD100" s="41">
        <v>1964</v>
      </c>
      <c r="AE100" s="3" t="s">
        <v>60</v>
      </c>
      <c r="AF100" s="53">
        <v>102.17</v>
      </c>
      <c r="AG100" s="53">
        <v>29.17</v>
      </c>
      <c r="AH100" s="53">
        <v>2.76</v>
      </c>
      <c r="AI100" s="53">
        <v>75.680000000000007</v>
      </c>
      <c r="AJ100" s="53">
        <v>10.59</v>
      </c>
      <c r="AK100" s="53">
        <v>7.85</v>
      </c>
      <c r="AL100" s="53">
        <v>38.020000000000003</v>
      </c>
      <c r="AM100" s="53">
        <v>38.729999999999997</v>
      </c>
      <c r="AN100" s="65">
        <v>-5.44</v>
      </c>
      <c r="AO100" s="5" t="s">
        <v>76</v>
      </c>
      <c r="AP100" s="3" t="s">
        <v>1656</v>
      </c>
      <c r="AQ100" s="3" t="s">
        <v>1657</v>
      </c>
      <c r="AR100" s="3" t="s">
        <v>1658</v>
      </c>
      <c r="AS100" s="3" t="s">
        <v>60</v>
      </c>
      <c r="AT100" s="3" t="s">
        <v>1659</v>
      </c>
      <c r="AU100" s="3" t="s">
        <v>106</v>
      </c>
      <c r="AV100" s="3" t="s">
        <v>1660</v>
      </c>
      <c r="AW100" s="3" t="s">
        <v>60</v>
      </c>
      <c r="AX100" s="3" t="s">
        <v>109</v>
      </c>
      <c r="AY100" s="3" t="s">
        <v>60</v>
      </c>
      <c r="AZ100" s="5" t="s">
        <v>60</v>
      </c>
      <c r="BA100" s="3" t="s">
        <v>87</v>
      </c>
      <c r="BB100" s="5" t="s">
        <v>1659</v>
      </c>
      <c r="BC100" s="5" t="s">
        <v>1661</v>
      </c>
      <c r="BD100" s="3" t="s">
        <v>60</v>
      </c>
      <c r="BE100" s="3" t="s">
        <v>88</v>
      </c>
      <c r="BF100" s="3" t="s">
        <v>88</v>
      </c>
    </row>
    <row r="101" spans="1:58" x14ac:dyDescent="0.2">
      <c r="A101" s="2" t="s">
        <v>1662</v>
      </c>
      <c r="B101" s="2" t="s">
        <v>1663</v>
      </c>
      <c r="C101" s="2" t="s">
        <v>60</v>
      </c>
      <c r="D101" s="2" t="s">
        <v>60</v>
      </c>
      <c r="E101" s="2" t="s">
        <v>60</v>
      </c>
      <c r="F101" s="2" t="s">
        <v>60</v>
      </c>
      <c r="G101" s="2" t="s">
        <v>1664</v>
      </c>
      <c r="H101" s="2" t="s">
        <v>60</v>
      </c>
      <c r="I101" s="2" t="s">
        <v>60</v>
      </c>
      <c r="J101" s="2" t="s">
        <v>60</v>
      </c>
      <c r="K101" s="2" t="s">
        <v>1662</v>
      </c>
      <c r="L101" s="2" t="s">
        <v>1665</v>
      </c>
      <c r="M101" s="2" t="s">
        <v>134</v>
      </c>
      <c r="N101" s="2" t="s">
        <v>565</v>
      </c>
      <c r="O101" s="2" t="s">
        <v>1666</v>
      </c>
      <c r="P101" s="2" t="s">
        <v>1667</v>
      </c>
      <c r="Q101" s="2" t="s">
        <v>60</v>
      </c>
      <c r="R101" s="2" t="s">
        <v>1668</v>
      </c>
      <c r="S101" s="2" t="s">
        <v>96</v>
      </c>
      <c r="T101" s="16" t="s">
        <v>60</v>
      </c>
      <c r="U101" s="2" t="s">
        <v>97</v>
      </c>
      <c r="V101" s="2" t="s">
        <v>71</v>
      </c>
      <c r="W101" s="2" t="s">
        <v>98</v>
      </c>
      <c r="X101" s="8" t="str">
        <f>HYPERLINK("http://www.der3.com", "www.der3.com")</f>
        <v>www.der3.com</v>
      </c>
      <c r="Y101" s="8" t="str">
        <f>HYPERLINK("http://www.linkedin.com/company/arabian-shield-cooperative-insurance-company", "http://www.linkedin.com/company/arabian-shield-cooperative-insurance-company")</f>
        <v>http://www.linkedin.com/company/arabian-shield-cooperative-insurance-company</v>
      </c>
      <c r="Z101" s="28">
        <v>29</v>
      </c>
      <c r="AA101" s="2" t="s">
        <v>1669</v>
      </c>
      <c r="AB101" s="2" t="s">
        <v>74</v>
      </c>
      <c r="AC101" s="2" t="s">
        <v>1670</v>
      </c>
      <c r="AD101" s="40">
        <v>1998</v>
      </c>
      <c r="AE101" s="2" t="s">
        <v>60</v>
      </c>
      <c r="AF101" s="52">
        <v>351.19</v>
      </c>
      <c r="AG101" s="52" t="s">
        <v>60</v>
      </c>
      <c r="AH101" s="52">
        <v>-8.27</v>
      </c>
      <c r="AI101" s="52">
        <v>251.91</v>
      </c>
      <c r="AJ101" s="52">
        <v>-0.14000000000000001</v>
      </c>
      <c r="AK101" s="52">
        <v>-4.68</v>
      </c>
      <c r="AL101" s="52">
        <v>254.9</v>
      </c>
      <c r="AM101" s="52">
        <v>-57.36</v>
      </c>
      <c r="AN101" s="64">
        <v>18.18</v>
      </c>
      <c r="AO101" s="4" t="s">
        <v>179</v>
      </c>
      <c r="AP101" s="2" t="s">
        <v>1671</v>
      </c>
      <c r="AQ101" s="2" t="s">
        <v>1672</v>
      </c>
      <c r="AR101" s="2" t="s">
        <v>266</v>
      </c>
      <c r="AS101" s="2" t="s">
        <v>60</v>
      </c>
      <c r="AT101" s="2" t="s">
        <v>1673</v>
      </c>
      <c r="AU101" s="2" t="s">
        <v>106</v>
      </c>
      <c r="AV101" s="2" t="s">
        <v>1674</v>
      </c>
      <c r="AW101" s="2" t="s">
        <v>1675</v>
      </c>
      <c r="AX101" s="2" t="s">
        <v>109</v>
      </c>
      <c r="AY101" s="2" t="s">
        <v>60</v>
      </c>
      <c r="AZ101" s="4" t="s">
        <v>1603</v>
      </c>
      <c r="BA101" s="2" t="s">
        <v>87</v>
      </c>
      <c r="BB101" s="4" t="s">
        <v>1673</v>
      </c>
      <c r="BC101" s="4" t="s">
        <v>1676</v>
      </c>
      <c r="BD101" s="2" t="s">
        <v>1677</v>
      </c>
      <c r="BE101" s="2" t="s">
        <v>88</v>
      </c>
      <c r="BF101" s="2" t="s">
        <v>88</v>
      </c>
    </row>
    <row r="102" spans="1:58" x14ac:dyDescent="0.2">
      <c r="A102" s="3" t="s">
        <v>1678</v>
      </c>
      <c r="B102" s="3" t="s">
        <v>1679</v>
      </c>
      <c r="C102" s="3" t="s">
        <v>60</v>
      </c>
      <c r="D102" s="3" t="s">
        <v>60</v>
      </c>
      <c r="E102" s="3" t="s">
        <v>60</v>
      </c>
      <c r="F102" s="3" t="s">
        <v>1680</v>
      </c>
      <c r="G102" s="3" t="s">
        <v>1681</v>
      </c>
      <c r="H102" s="3" t="s">
        <v>60</v>
      </c>
      <c r="I102" s="3" t="s">
        <v>60</v>
      </c>
      <c r="J102" s="3" t="s">
        <v>60</v>
      </c>
      <c r="K102" s="3" t="s">
        <v>1678</v>
      </c>
      <c r="L102" s="3" t="s">
        <v>1682</v>
      </c>
      <c r="M102" s="3" t="s">
        <v>241</v>
      </c>
      <c r="N102" s="3" t="s">
        <v>499</v>
      </c>
      <c r="O102" s="3" t="s">
        <v>500</v>
      </c>
      <c r="P102" s="3" t="s">
        <v>1683</v>
      </c>
      <c r="Q102" s="3" t="s">
        <v>60</v>
      </c>
      <c r="R102" s="3" t="s">
        <v>1684</v>
      </c>
      <c r="S102" s="3" t="s">
        <v>96</v>
      </c>
      <c r="T102" s="17">
        <v>167.2</v>
      </c>
      <c r="U102" s="3" t="s">
        <v>1516</v>
      </c>
      <c r="V102" s="3" t="s">
        <v>71</v>
      </c>
      <c r="W102" s="3" t="s">
        <v>373</v>
      </c>
      <c r="X102" s="9" t="str">
        <f>HYPERLINK("http://mep.co", "mep.co")</f>
        <v>mep.co</v>
      </c>
      <c r="Y102" s="9" t="str">
        <f>HYPERLINK("http://www.linkedin.com/company/middle-east-paper-co-", "http://www.linkedin.com/company/middle-east-paper-co-")</f>
        <v>http://www.linkedin.com/company/middle-east-paper-co-</v>
      </c>
      <c r="Z102" s="29">
        <v>1295</v>
      </c>
      <c r="AA102" s="3" t="s">
        <v>1685</v>
      </c>
      <c r="AB102" s="3" t="s">
        <v>74</v>
      </c>
      <c r="AC102" s="3" t="s">
        <v>1686</v>
      </c>
      <c r="AD102" s="41">
        <v>2000</v>
      </c>
      <c r="AE102" s="3" t="s">
        <v>60</v>
      </c>
      <c r="AF102" s="53">
        <v>293.68</v>
      </c>
      <c r="AG102" s="53">
        <v>29.47</v>
      </c>
      <c r="AH102" s="53">
        <v>-5.23</v>
      </c>
      <c r="AI102" s="53">
        <v>677.92</v>
      </c>
      <c r="AJ102" s="53">
        <v>34.049999999999997</v>
      </c>
      <c r="AK102" s="53">
        <v>1.31</v>
      </c>
      <c r="AL102" s="53">
        <v>473.46</v>
      </c>
      <c r="AM102" s="53">
        <v>39.78</v>
      </c>
      <c r="AN102" s="65">
        <v>10.34</v>
      </c>
      <c r="AO102" s="5" t="s">
        <v>179</v>
      </c>
      <c r="AP102" s="3" t="s">
        <v>1687</v>
      </c>
      <c r="AQ102" s="3" t="s">
        <v>1688</v>
      </c>
      <c r="AR102" s="3" t="s">
        <v>1689</v>
      </c>
      <c r="AS102" s="3" t="s">
        <v>60</v>
      </c>
      <c r="AT102" s="3" t="s">
        <v>1690</v>
      </c>
      <c r="AU102" s="3" t="s">
        <v>82</v>
      </c>
      <c r="AV102" s="3" t="s">
        <v>1691</v>
      </c>
      <c r="AW102" s="3" t="s">
        <v>1692</v>
      </c>
      <c r="AX102" s="3" t="s">
        <v>85</v>
      </c>
      <c r="AY102" s="3" t="s">
        <v>60</v>
      </c>
      <c r="AZ102" s="5" t="s">
        <v>1693</v>
      </c>
      <c r="BA102" s="3" t="s">
        <v>87</v>
      </c>
      <c r="BB102" s="5" t="s">
        <v>1690</v>
      </c>
      <c r="BC102" s="5" t="s">
        <v>60</v>
      </c>
      <c r="BD102" s="3" t="s">
        <v>1694</v>
      </c>
      <c r="BE102" s="3" t="s">
        <v>88</v>
      </c>
      <c r="BF102" s="3" t="s">
        <v>88</v>
      </c>
    </row>
    <row r="103" spans="1:58" x14ac:dyDescent="0.2">
      <c r="A103" s="2" t="s">
        <v>1695</v>
      </c>
      <c r="B103" s="2" t="s">
        <v>1696</v>
      </c>
      <c r="C103" s="2" t="s">
        <v>60</v>
      </c>
      <c r="D103" s="2" t="s">
        <v>60</v>
      </c>
      <c r="E103" s="2" t="s">
        <v>60</v>
      </c>
      <c r="F103" s="2" t="s">
        <v>1697</v>
      </c>
      <c r="G103" s="2" t="s">
        <v>1698</v>
      </c>
      <c r="H103" s="2" t="s">
        <v>60</v>
      </c>
      <c r="I103" s="2" t="s">
        <v>60</v>
      </c>
      <c r="J103" s="2" t="s">
        <v>60</v>
      </c>
      <c r="K103" s="2" t="s">
        <v>1695</v>
      </c>
      <c r="L103" s="2" t="s">
        <v>1699</v>
      </c>
      <c r="M103" s="2" t="s">
        <v>134</v>
      </c>
      <c r="N103" s="2" t="s">
        <v>565</v>
      </c>
      <c r="O103" s="2" t="s">
        <v>1666</v>
      </c>
      <c r="P103" s="2" t="s">
        <v>1700</v>
      </c>
      <c r="Q103" s="2" t="s">
        <v>60</v>
      </c>
      <c r="R103" s="2" t="s">
        <v>1701</v>
      </c>
      <c r="S103" s="2" t="s">
        <v>96</v>
      </c>
      <c r="T103" s="16">
        <v>42.21</v>
      </c>
      <c r="U103" s="2" t="s">
        <v>97</v>
      </c>
      <c r="V103" s="2" t="s">
        <v>71</v>
      </c>
      <c r="W103" s="2" t="s">
        <v>175</v>
      </c>
      <c r="X103" s="8" t="str">
        <f>HYPERLINK("http://www.amana.sa", "www.amana.sa")</f>
        <v>www.amana.sa</v>
      </c>
      <c r="Y103" s="8" t="str">
        <f>HYPERLINK("http://www.linkedin.com/company/amana-ksa", "http://www.linkedin.com/company/amana-ksa")</f>
        <v>http://www.linkedin.com/company/amana-ksa</v>
      </c>
      <c r="Z103" s="28">
        <v>100</v>
      </c>
      <c r="AA103" s="2" t="s">
        <v>1702</v>
      </c>
      <c r="AB103" s="2" t="s">
        <v>74</v>
      </c>
      <c r="AC103" s="2" t="s">
        <v>1703</v>
      </c>
      <c r="AD103" s="40">
        <v>1991</v>
      </c>
      <c r="AE103" s="2" t="s">
        <v>60</v>
      </c>
      <c r="AF103" s="52">
        <v>70.53</v>
      </c>
      <c r="AG103" s="52" t="s">
        <v>60</v>
      </c>
      <c r="AH103" s="52">
        <v>-2.12</v>
      </c>
      <c r="AI103" s="52">
        <v>43.76</v>
      </c>
      <c r="AJ103" s="52">
        <v>-0.19</v>
      </c>
      <c r="AK103" s="52">
        <v>-0.56000000000000005</v>
      </c>
      <c r="AL103" s="52">
        <v>70.55</v>
      </c>
      <c r="AM103" s="52">
        <v>-54.85</v>
      </c>
      <c r="AN103" s="64">
        <v>37.409999999999997</v>
      </c>
      <c r="AO103" s="4" t="s">
        <v>179</v>
      </c>
      <c r="AP103" s="2" t="s">
        <v>1704</v>
      </c>
      <c r="AQ103" s="2" t="s">
        <v>1705</v>
      </c>
      <c r="AR103" s="2" t="s">
        <v>124</v>
      </c>
      <c r="AS103" s="2" t="s">
        <v>1706</v>
      </c>
      <c r="AT103" s="2" t="s">
        <v>1707</v>
      </c>
      <c r="AU103" s="2" t="s">
        <v>106</v>
      </c>
      <c r="AV103" s="2" t="s">
        <v>1708</v>
      </c>
      <c r="AW103" s="2" t="s">
        <v>60</v>
      </c>
      <c r="AX103" s="2" t="s">
        <v>109</v>
      </c>
      <c r="AY103" s="2" t="s">
        <v>109</v>
      </c>
      <c r="AZ103" s="4" t="s">
        <v>1709</v>
      </c>
      <c r="BA103" s="2" t="s">
        <v>87</v>
      </c>
      <c r="BB103" s="4" t="s">
        <v>1707</v>
      </c>
      <c r="BC103" s="4" t="s">
        <v>1710</v>
      </c>
      <c r="BD103" s="2" t="s">
        <v>60</v>
      </c>
      <c r="BE103" s="2" t="s">
        <v>88</v>
      </c>
      <c r="BF103" s="2" t="s">
        <v>88</v>
      </c>
    </row>
    <row r="104" spans="1:58" x14ac:dyDescent="0.2">
      <c r="A104" s="3" t="s">
        <v>1711</v>
      </c>
      <c r="B104" s="3" t="s">
        <v>1712</v>
      </c>
      <c r="C104" s="3" t="s">
        <v>60</v>
      </c>
      <c r="D104" s="3" t="s">
        <v>60</v>
      </c>
      <c r="E104" s="3" t="s">
        <v>60</v>
      </c>
      <c r="F104" s="3" t="s">
        <v>60</v>
      </c>
      <c r="G104" s="3" t="s">
        <v>1713</v>
      </c>
      <c r="H104" s="3" t="s">
        <v>60</v>
      </c>
      <c r="I104" s="3" t="s">
        <v>60</v>
      </c>
      <c r="J104" s="3" t="s">
        <v>60</v>
      </c>
      <c r="K104" s="3" t="s">
        <v>1711</v>
      </c>
      <c r="L104" s="3" t="s">
        <v>1714</v>
      </c>
      <c r="M104" s="3" t="s">
        <v>328</v>
      </c>
      <c r="N104" s="3" t="s">
        <v>329</v>
      </c>
      <c r="O104" s="3" t="s">
        <v>330</v>
      </c>
      <c r="P104" s="3" t="s">
        <v>1715</v>
      </c>
      <c r="Q104" s="3" t="s">
        <v>67</v>
      </c>
      <c r="R104" s="3" t="s">
        <v>1716</v>
      </c>
      <c r="S104" s="3" t="s">
        <v>96</v>
      </c>
      <c r="T104" s="17">
        <v>5.93</v>
      </c>
      <c r="U104" s="3" t="s">
        <v>97</v>
      </c>
      <c r="V104" s="3" t="s">
        <v>71</v>
      </c>
      <c r="W104" s="3" t="s">
        <v>98</v>
      </c>
      <c r="X104" s="9" t="str">
        <f>HYPERLINK("http://www.lanamedical.com", "www.lanamedical.com")</f>
        <v>www.lanamedical.com</v>
      </c>
      <c r="Y104" s="9" t="str">
        <f>HYPERLINK("http://www.linkedin.com/company/lanamedical", "http://www.linkedin.com/company/lanamedical")</f>
        <v>http://www.linkedin.com/company/lanamedical</v>
      </c>
      <c r="Z104" s="29" t="s">
        <v>60</v>
      </c>
      <c r="AA104" s="3" t="s">
        <v>60</v>
      </c>
      <c r="AB104" s="3" t="s">
        <v>74</v>
      </c>
      <c r="AC104" s="3" t="s">
        <v>1717</v>
      </c>
      <c r="AD104" s="41">
        <v>2010</v>
      </c>
      <c r="AE104" s="3" t="s">
        <v>60</v>
      </c>
      <c r="AF104" s="53">
        <v>22.36</v>
      </c>
      <c r="AG104" s="53" t="s">
        <v>60</v>
      </c>
      <c r="AH104" s="53">
        <v>3.31</v>
      </c>
      <c r="AI104" s="53">
        <v>42.49</v>
      </c>
      <c r="AJ104" s="53">
        <v>4.5599999999999996</v>
      </c>
      <c r="AK104" s="53">
        <v>3.62</v>
      </c>
      <c r="AL104" s="53">
        <v>32.22</v>
      </c>
      <c r="AM104" s="53">
        <v>0</v>
      </c>
      <c r="AN104" s="65">
        <v>72.89</v>
      </c>
      <c r="AO104" s="5" t="s">
        <v>100</v>
      </c>
      <c r="AP104" s="3" t="s">
        <v>1718</v>
      </c>
      <c r="AQ104" s="3" t="s">
        <v>1719</v>
      </c>
      <c r="AR104" s="3" t="s">
        <v>124</v>
      </c>
      <c r="AS104" s="3" t="s">
        <v>1720</v>
      </c>
      <c r="AT104" s="3" t="s">
        <v>1721</v>
      </c>
      <c r="AU104" s="3" t="s">
        <v>106</v>
      </c>
      <c r="AV104" s="3" t="s">
        <v>1722</v>
      </c>
      <c r="AW104" s="3" t="s">
        <v>60</v>
      </c>
      <c r="AX104" s="3" t="s">
        <v>109</v>
      </c>
      <c r="AY104" s="3" t="s">
        <v>60</v>
      </c>
      <c r="AZ104" s="5" t="s">
        <v>1723</v>
      </c>
      <c r="BA104" s="3" t="s">
        <v>87</v>
      </c>
      <c r="BB104" s="5" t="s">
        <v>1721</v>
      </c>
      <c r="BC104" s="5" t="s">
        <v>60</v>
      </c>
      <c r="BD104" s="3" t="s">
        <v>1724</v>
      </c>
      <c r="BE104" s="3" t="s">
        <v>88</v>
      </c>
      <c r="BF104" s="3" t="s">
        <v>88</v>
      </c>
    </row>
    <row r="105" spans="1:58" x14ac:dyDescent="0.2">
      <c r="A105" s="2" t="s">
        <v>1725</v>
      </c>
      <c r="B105" s="2" t="s">
        <v>1726</v>
      </c>
      <c r="C105" s="2" t="s">
        <v>60</v>
      </c>
      <c r="D105" s="2" t="s">
        <v>60</v>
      </c>
      <c r="E105" s="2" t="s">
        <v>60</v>
      </c>
      <c r="F105" s="2" t="s">
        <v>60</v>
      </c>
      <c r="G105" s="2" t="s">
        <v>1727</v>
      </c>
      <c r="H105" s="2" t="s">
        <v>60</v>
      </c>
      <c r="I105" s="2" t="s">
        <v>60</v>
      </c>
      <c r="J105" s="2" t="s">
        <v>60</v>
      </c>
      <c r="K105" s="2" t="s">
        <v>1725</v>
      </c>
      <c r="L105" s="2" t="s">
        <v>1728</v>
      </c>
      <c r="M105" s="2" t="s">
        <v>63</v>
      </c>
      <c r="N105" s="2" t="s">
        <v>64</v>
      </c>
      <c r="O105" s="2" t="s">
        <v>65</v>
      </c>
      <c r="P105" s="2" t="s">
        <v>657</v>
      </c>
      <c r="Q105" s="2" t="s">
        <v>67</v>
      </c>
      <c r="R105" s="2" t="s">
        <v>1729</v>
      </c>
      <c r="S105" s="2" t="s">
        <v>96</v>
      </c>
      <c r="T105" s="16">
        <v>4.51</v>
      </c>
      <c r="U105" s="2" t="s">
        <v>97</v>
      </c>
      <c r="V105" s="2" t="s">
        <v>71</v>
      </c>
      <c r="W105" s="2" t="s">
        <v>98</v>
      </c>
      <c r="X105" s="8" t="str">
        <f>HYPERLINK("http://www.riyadhsteel.com.sa", "www.riyadhsteel.com.sa")</f>
        <v>www.riyadhsteel.com.sa</v>
      </c>
      <c r="Y105" s="2" t="s">
        <v>60</v>
      </c>
      <c r="Z105" s="28" t="s">
        <v>60</v>
      </c>
      <c r="AA105" s="2" t="s">
        <v>60</v>
      </c>
      <c r="AB105" s="2" t="s">
        <v>74</v>
      </c>
      <c r="AC105" s="2" t="s">
        <v>1730</v>
      </c>
      <c r="AD105" s="40">
        <v>1995</v>
      </c>
      <c r="AE105" s="2" t="s">
        <v>60</v>
      </c>
      <c r="AF105" s="52">
        <v>40.31</v>
      </c>
      <c r="AG105" s="52">
        <v>-2.25</v>
      </c>
      <c r="AH105" s="52">
        <v>0.51</v>
      </c>
      <c r="AI105" s="52">
        <v>27.94</v>
      </c>
      <c r="AJ105" s="52">
        <v>2.2999999999999998</v>
      </c>
      <c r="AK105" s="52">
        <v>1.18</v>
      </c>
      <c r="AL105" s="52">
        <v>28.15</v>
      </c>
      <c r="AM105" s="52">
        <v>-1.71</v>
      </c>
      <c r="AN105" s="64">
        <v>2.95</v>
      </c>
      <c r="AO105" s="4" t="s">
        <v>76</v>
      </c>
      <c r="AP105" s="2" t="s">
        <v>1731</v>
      </c>
      <c r="AQ105" s="2" t="s">
        <v>1732</v>
      </c>
      <c r="AR105" s="2" t="s">
        <v>299</v>
      </c>
      <c r="AS105" s="2" t="s">
        <v>1733</v>
      </c>
      <c r="AT105" s="2" t="s">
        <v>1734</v>
      </c>
      <c r="AU105" s="2" t="s">
        <v>106</v>
      </c>
      <c r="AV105" s="2" t="s">
        <v>1735</v>
      </c>
      <c r="AW105" s="2" t="s">
        <v>1736</v>
      </c>
      <c r="AX105" s="2" t="s">
        <v>109</v>
      </c>
      <c r="AY105" s="2" t="s">
        <v>60</v>
      </c>
      <c r="AZ105" s="4" t="s">
        <v>1737</v>
      </c>
      <c r="BA105" s="2" t="s">
        <v>87</v>
      </c>
      <c r="BB105" s="4" t="s">
        <v>1734</v>
      </c>
      <c r="BC105" s="4" t="s">
        <v>60</v>
      </c>
      <c r="BD105" s="2" t="s">
        <v>1738</v>
      </c>
      <c r="BE105" s="2" t="s">
        <v>88</v>
      </c>
      <c r="BF105" s="2" t="s">
        <v>88</v>
      </c>
    </row>
    <row r="106" spans="1:58" x14ac:dyDescent="0.2">
      <c r="A106" s="3" t="s">
        <v>1739</v>
      </c>
      <c r="B106" s="3" t="s">
        <v>1740</v>
      </c>
      <c r="C106" s="3" t="s">
        <v>60</v>
      </c>
      <c r="D106" s="3" t="s">
        <v>60</v>
      </c>
      <c r="E106" s="3" t="s">
        <v>60</v>
      </c>
      <c r="F106" s="3" t="s">
        <v>60</v>
      </c>
      <c r="G106" s="3" t="s">
        <v>1741</v>
      </c>
      <c r="H106" s="3" t="s">
        <v>60</v>
      </c>
      <c r="I106" s="3" t="s">
        <v>60</v>
      </c>
      <c r="J106" s="3" t="s">
        <v>60</v>
      </c>
      <c r="K106" s="3" t="s">
        <v>1739</v>
      </c>
      <c r="L106" s="3" t="s">
        <v>1742</v>
      </c>
      <c r="M106" s="3" t="s">
        <v>115</v>
      </c>
      <c r="N106" s="3" t="s">
        <v>368</v>
      </c>
      <c r="O106" s="3" t="s">
        <v>1743</v>
      </c>
      <c r="P106" s="3" t="s">
        <v>1744</v>
      </c>
      <c r="Q106" s="3" t="s">
        <v>60</v>
      </c>
      <c r="R106" s="3" t="s">
        <v>1745</v>
      </c>
      <c r="S106" s="3" t="s">
        <v>96</v>
      </c>
      <c r="T106" s="17">
        <v>366.45</v>
      </c>
      <c r="U106" s="3" t="s">
        <v>97</v>
      </c>
      <c r="V106" s="3" t="s">
        <v>71</v>
      </c>
      <c r="W106" s="3" t="s">
        <v>98</v>
      </c>
      <c r="X106" s="9" t="str">
        <f>HYPERLINK("http://www.armahsports.com", "www.armahsports.com")</f>
        <v>www.armahsports.com</v>
      </c>
      <c r="Y106" s="9" t="str">
        <f>HYPERLINK("http://www.linkedin.com/company/armah-sports-company", "http://www.linkedin.com/company/armah-sports-company")</f>
        <v>http://www.linkedin.com/company/armah-sports-company</v>
      </c>
      <c r="Z106" s="29">
        <v>95</v>
      </c>
      <c r="AA106" s="3" t="s">
        <v>1746</v>
      </c>
      <c r="AB106" s="3" t="s">
        <v>74</v>
      </c>
      <c r="AC106" s="3" t="s">
        <v>1747</v>
      </c>
      <c r="AD106" s="41">
        <v>2019</v>
      </c>
      <c r="AE106" s="3" t="s">
        <v>60</v>
      </c>
      <c r="AF106" s="53">
        <v>54.88</v>
      </c>
      <c r="AG106" s="53">
        <v>26.44</v>
      </c>
      <c r="AH106" s="53">
        <v>14.95</v>
      </c>
      <c r="AI106" s="53">
        <v>855.84</v>
      </c>
      <c r="AJ106" s="53">
        <v>32.46</v>
      </c>
      <c r="AK106" s="53">
        <v>21.05</v>
      </c>
      <c r="AL106" s="53">
        <v>595.16</v>
      </c>
      <c r="AM106" s="53">
        <v>93.51</v>
      </c>
      <c r="AN106" s="65">
        <v>61.48</v>
      </c>
      <c r="AO106" s="5" t="s">
        <v>76</v>
      </c>
      <c r="AP106" s="3" t="s">
        <v>1748</v>
      </c>
      <c r="AQ106" s="3" t="s">
        <v>1749</v>
      </c>
      <c r="AR106" s="3" t="s">
        <v>1750</v>
      </c>
      <c r="AS106" s="3" t="s">
        <v>1751</v>
      </c>
      <c r="AT106" s="3" t="s">
        <v>1752</v>
      </c>
      <c r="AU106" s="3" t="s">
        <v>106</v>
      </c>
      <c r="AV106" s="3" t="s">
        <v>1753</v>
      </c>
      <c r="AW106" s="3" t="s">
        <v>1754</v>
      </c>
      <c r="AX106" s="3" t="s">
        <v>109</v>
      </c>
      <c r="AY106" s="3" t="s">
        <v>60</v>
      </c>
      <c r="AZ106" s="5" t="s">
        <v>1755</v>
      </c>
      <c r="BA106" s="3" t="s">
        <v>87</v>
      </c>
      <c r="BB106" s="5" t="s">
        <v>1756</v>
      </c>
      <c r="BC106" s="5" t="s">
        <v>60</v>
      </c>
      <c r="BD106" s="3" t="s">
        <v>1757</v>
      </c>
      <c r="BE106" s="3" t="s">
        <v>88</v>
      </c>
      <c r="BF106" s="3" t="s">
        <v>88</v>
      </c>
    </row>
    <row r="107" spans="1:58" x14ac:dyDescent="0.2">
      <c r="A107" s="2" t="s">
        <v>1758</v>
      </c>
      <c r="B107" s="2" t="s">
        <v>1759</v>
      </c>
      <c r="C107" s="2" t="s">
        <v>60</v>
      </c>
      <c r="D107" s="2" t="s">
        <v>60</v>
      </c>
      <c r="E107" s="2" t="s">
        <v>60</v>
      </c>
      <c r="F107" s="2" t="s">
        <v>60</v>
      </c>
      <c r="G107" s="2" t="s">
        <v>1760</v>
      </c>
      <c r="H107" s="2" t="s">
        <v>60</v>
      </c>
      <c r="I107" s="2" t="s">
        <v>60</v>
      </c>
      <c r="J107" s="2" t="s">
        <v>60</v>
      </c>
      <c r="K107" s="2" t="s">
        <v>1758</v>
      </c>
      <c r="L107" s="2" t="s">
        <v>1761</v>
      </c>
      <c r="M107" s="2" t="s">
        <v>115</v>
      </c>
      <c r="N107" s="2" t="s">
        <v>275</v>
      </c>
      <c r="O107" s="2" t="s">
        <v>1762</v>
      </c>
      <c r="P107" s="2" t="s">
        <v>1763</v>
      </c>
      <c r="Q107" s="2" t="s">
        <v>60</v>
      </c>
      <c r="R107" s="2" t="s">
        <v>1764</v>
      </c>
      <c r="S107" s="2" t="s">
        <v>96</v>
      </c>
      <c r="T107" s="16">
        <v>5.35</v>
      </c>
      <c r="U107" s="2" t="s">
        <v>97</v>
      </c>
      <c r="V107" s="2" t="s">
        <v>71</v>
      </c>
      <c r="W107" s="2" t="s">
        <v>98</v>
      </c>
      <c r="X107" s="8" t="str">
        <f>HYPERLINK("http://www.fadint.com", "www.fadint.com")</f>
        <v>www.fadint.com</v>
      </c>
      <c r="Y107" s="8" t="str">
        <f>HYPERLINK("http://www.linkedin.com/company/fad-international", "http://www.linkedin.com/company/fad-international")</f>
        <v>http://www.linkedin.com/company/fad-international</v>
      </c>
      <c r="Z107" s="28">
        <v>45</v>
      </c>
      <c r="AA107" s="2" t="s">
        <v>1765</v>
      </c>
      <c r="AB107" s="2" t="s">
        <v>74</v>
      </c>
      <c r="AC107" s="2" t="s">
        <v>1766</v>
      </c>
      <c r="AD107" s="40">
        <v>1999</v>
      </c>
      <c r="AE107" s="2" t="s">
        <v>60</v>
      </c>
      <c r="AF107" s="52">
        <v>39.799999999999997</v>
      </c>
      <c r="AG107" s="52">
        <v>26.02</v>
      </c>
      <c r="AH107" s="52">
        <v>0.55000000000000004</v>
      </c>
      <c r="AI107" s="52">
        <v>33.340000000000003</v>
      </c>
      <c r="AJ107" s="52">
        <v>7.2</v>
      </c>
      <c r="AK107" s="52">
        <v>1.1399999999999999</v>
      </c>
      <c r="AL107" s="52">
        <v>20.78</v>
      </c>
      <c r="AM107" s="52">
        <v>4.9400000000000004</v>
      </c>
      <c r="AN107" s="64">
        <v>-5.82</v>
      </c>
      <c r="AO107" s="4" t="s">
        <v>76</v>
      </c>
      <c r="AP107" s="2" t="s">
        <v>1767</v>
      </c>
      <c r="AQ107" s="2" t="s">
        <v>1768</v>
      </c>
      <c r="AR107" s="2" t="s">
        <v>124</v>
      </c>
      <c r="AS107" s="2" t="s">
        <v>1769</v>
      </c>
      <c r="AT107" s="2" t="s">
        <v>1770</v>
      </c>
      <c r="AU107" s="2" t="s">
        <v>82</v>
      </c>
      <c r="AV107" s="2" t="s">
        <v>1771</v>
      </c>
      <c r="AW107" s="2" t="s">
        <v>1772</v>
      </c>
      <c r="AX107" s="2" t="s">
        <v>85</v>
      </c>
      <c r="AY107" s="2" t="s">
        <v>60</v>
      </c>
      <c r="AZ107" s="4" t="s">
        <v>1773</v>
      </c>
      <c r="BA107" s="2" t="s">
        <v>87</v>
      </c>
      <c r="BB107" s="4" t="s">
        <v>1770</v>
      </c>
      <c r="BC107" s="4" t="s">
        <v>1774</v>
      </c>
      <c r="BD107" s="2" t="s">
        <v>1775</v>
      </c>
      <c r="BE107" s="2" t="s">
        <v>88</v>
      </c>
      <c r="BF107" s="2" t="s">
        <v>88</v>
      </c>
    </row>
    <row r="108" spans="1:58" x14ac:dyDescent="0.2">
      <c r="A108" s="3" t="s">
        <v>1776</v>
      </c>
      <c r="B108" s="3" t="s">
        <v>1777</v>
      </c>
      <c r="C108" s="3" t="s">
        <v>60</v>
      </c>
      <c r="D108" s="3" t="s">
        <v>60</v>
      </c>
      <c r="E108" s="3" t="s">
        <v>60</v>
      </c>
      <c r="F108" s="3" t="s">
        <v>60</v>
      </c>
      <c r="G108" s="3" t="s">
        <v>1778</v>
      </c>
      <c r="H108" s="3" t="s">
        <v>60</v>
      </c>
      <c r="I108" s="3" t="s">
        <v>60</v>
      </c>
      <c r="J108" s="3" t="s">
        <v>60</v>
      </c>
      <c r="K108" s="3" t="s">
        <v>1776</v>
      </c>
      <c r="L108" s="3" t="s">
        <v>1779</v>
      </c>
      <c r="M108" s="3" t="s">
        <v>328</v>
      </c>
      <c r="N108" s="3" t="s">
        <v>1483</v>
      </c>
      <c r="O108" s="3" t="s">
        <v>1484</v>
      </c>
      <c r="P108" s="3" t="s">
        <v>1485</v>
      </c>
      <c r="Q108" s="3" t="s">
        <v>60</v>
      </c>
      <c r="R108" s="3" t="s">
        <v>1780</v>
      </c>
      <c r="S108" s="3" t="s">
        <v>96</v>
      </c>
      <c r="T108" s="17" t="s">
        <v>60</v>
      </c>
      <c r="U108" s="3" t="s">
        <v>97</v>
      </c>
      <c r="V108" s="3" t="s">
        <v>71</v>
      </c>
      <c r="W108" s="3" t="s">
        <v>98</v>
      </c>
      <c r="X108" s="9" t="str">
        <f>HYPERLINK("http://www.almujtama.com.sa", "www.almujtama.com.sa")</f>
        <v>www.almujtama.com.sa</v>
      </c>
      <c r="Y108" s="9" t="str">
        <f>HYPERLINK("http://www.linkedin.com/company/Al Mujtama Pharmacy", "http://www.linkedin.com/company/Al Mujtama Pharmacy")</f>
        <v>http://www.linkedin.com/company/Al Mujtama Pharmacy</v>
      </c>
      <c r="Z108" s="29" t="s">
        <v>60</v>
      </c>
      <c r="AA108" s="3" t="s">
        <v>60</v>
      </c>
      <c r="AB108" s="3" t="s">
        <v>74</v>
      </c>
      <c r="AC108" s="3" t="s">
        <v>1781</v>
      </c>
      <c r="AD108" s="41">
        <v>2001</v>
      </c>
      <c r="AE108" s="3" t="s">
        <v>60</v>
      </c>
      <c r="AF108" s="53">
        <v>121.48</v>
      </c>
      <c r="AG108" s="53">
        <v>39.549999999999997</v>
      </c>
      <c r="AH108" s="53">
        <v>2.72</v>
      </c>
      <c r="AI108" s="53">
        <v>78.72</v>
      </c>
      <c r="AJ108" s="53">
        <v>2.39</v>
      </c>
      <c r="AK108" s="53">
        <v>2.39</v>
      </c>
      <c r="AL108" s="53">
        <v>75.91</v>
      </c>
      <c r="AM108" s="53">
        <v>46.95</v>
      </c>
      <c r="AN108" s="65">
        <v>10.5</v>
      </c>
      <c r="AO108" s="5" t="s">
        <v>76</v>
      </c>
      <c r="AP108" s="3" t="s">
        <v>1782</v>
      </c>
      <c r="AQ108" s="3" t="s">
        <v>1783</v>
      </c>
      <c r="AR108" s="3" t="s">
        <v>124</v>
      </c>
      <c r="AS108" s="3" t="s">
        <v>1784</v>
      </c>
      <c r="AT108" s="3" t="s">
        <v>1785</v>
      </c>
      <c r="AU108" s="3" t="s">
        <v>82</v>
      </c>
      <c r="AV108" s="3" t="s">
        <v>1786</v>
      </c>
      <c r="AW108" s="3" t="s">
        <v>1787</v>
      </c>
      <c r="AX108" s="3" t="s">
        <v>85</v>
      </c>
      <c r="AY108" s="3" t="s">
        <v>60</v>
      </c>
      <c r="AZ108" s="5" t="s">
        <v>1788</v>
      </c>
      <c r="BA108" s="3" t="s">
        <v>87</v>
      </c>
      <c r="BB108" s="5" t="s">
        <v>1785</v>
      </c>
      <c r="BC108" s="5" t="s">
        <v>60</v>
      </c>
      <c r="BD108" s="3" t="s">
        <v>1789</v>
      </c>
      <c r="BE108" s="3" t="s">
        <v>88</v>
      </c>
      <c r="BF108" s="3" t="s">
        <v>88</v>
      </c>
    </row>
    <row r="109" spans="1:58" x14ac:dyDescent="0.2">
      <c r="A109" s="2" t="s">
        <v>1790</v>
      </c>
      <c r="B109" s="2" t="s">
        <v>1791</v>
      </c>
      <c r="C109" s="2" t="s">
        <v>60</v>
      </c>
      <c r="D109" s="2" t="s">
        <v>60</v>
      </c>
      <c r="E109" s="2" t="s">
        <v>60</v>
      </c>
      <c r="F109" s="2" t="s">
        <v>60</v>
      </c>
      <c r="G109" s="2" t="s">
        <v>60</v>
      </c>
      <c r="H109" s="2" t="s">
        <v>60</v>
      </c>
      <c r="I109" s="2" t="s">
        <v>60</v>
      </c>
      <c r="J109" s="2" t="s">
        <v>60</v>
      </c>
      <c r="K109" s="2" t="s">
        <v>1790</v>
      </c>
      <c r="L109" s="2" t="s">
        <v>1792</v>
      </c>
      <c r="M109" s="2" t="s">
        <v>134</v>
      </c>
      <c r="N109" s="2" t="s">
        <v>135</v>
      </c>
      <c r="O109" s="2" t="s">
        <v>135</v>
      </c>
      <c r="P109" s="2" t="s">
        <v>1793</v>
      </c>
      <c r="Q109" s="2" t="s">
        <v>60</v>
      </c>
      <c r="R109" s="2" t="s">
        <v>1794</v>
      </c>
      <c r="S109" s="2" t="s">
        <v>96</v>
      </c>
      <c r="T109" s="16">
        <v>13.11</v>
      </c>
      <c r="U109" s="2" t="s">
        <v>97</v>
      </c>
      <c r="V109" s="2" t="s">
        <v>71</v>
      </c>
      <c r="W109" s="2" t="s">
        <v>98</v>
      </c>
      <c r="X109" s="8" t="str">
        <f>HYPERLINK("http://www.mulkia.com.sa", "www.mulkia.com.sa")</f>
        <v>www.mulkia.com.sa</v>
      </c>
      <c r="Y109" s="8" t="str">
        <f>HYPERLINK("http://www.linkedin.com/company/mulkia-investment", "http://www.linkedin.com/company/mulkia-investment")</f>
        <v>http://www.linkedin.com/company/mulkia-investment</v>
      </c>
      <c r="Z109" s="28" t="s">
        <v>60</v>
      </c>
      <c r="AA109" s="2" t="s">
        <v>60</v>
      </c>
      <c r="AB109" s="2" t="s">
        <v>74</v>
      </c>
      <c r="AC109" s="2" t="s">
        <v>1795</v>
      </c>
      <c r="AD109" s="40">
        <v>2014</v>
      </c>
      <c r="AE109" s="2" t="s">
        <v>60</v>
      </c>
      <c r="AF109" s="52">
        <v>12.54</v>
      </c>
      <c r="AG109" s="52">
        <v>8.76</v>
      </c>
      <c r="AH109" s="52">
        <v>6.78</v>
      </c>
      <c r="AI109" s="52">
        <v>83.04</v>
      </c>
      <c r="AJ109" s="52">
        <v>7.69</v>
      </c>
      <c r="AK109" s="52">
        <v>7.45</v>
      </c>
      <c r="AL109" s="52">
        <v>87.26</v>
      </c>
      <c r="AM109" s="52">
        <v>-7.34</v>
      </c>
      <c r="AN109" s="64">
        <v>1.1299999999999999</v>
      </c>
      <c r="AO109" s="4" t="s">
        <v>76</v>
      </c>
      <c r="AP109" s="2" t="s">
        <v>1796</v>
      </c>
      <c r="AQ109" s="2" t="s">
        <v>1797</v>
      </c>
      <c r="AR109" s="2" t="s">
        <v>124</v>
      </c>
      <c r="AS109" s="2" t="s">
        <v>60</v>
      </c>
      <c r="AT109" s="2" t="s">
        <v>1798</v>
      </c>
      <c r="AU109" s="2" t="s">
        <v>106</v>
      </c>
      <c r="AV109" s="2" t="s">
        <v>1799</v>
      </c>
      <c r="AW109" s="2" t="s">
        <v>1800</v>
      </c>
      <c r="AX109" s="2" t="s">
        <v>109</v>
      </c>
      <c r="AY109" s="2" t="s">
        <v>60</v>
      </c>
      <c r="AZ109" s="4" t="s">
        <v>1801</v>
      </c>
      <c r="BA109" s="2" t="s">
        <v>87</v>
      </c>
      <c r="BB109" s="4" t="s">
        <v>1798</v>
      </c>
      <c r="BC109" s="4" t="s">
        <v>1802</v>
      </c>
      <c r="BD109" s="2" t="s">
        <v>1803</v>
      </c>
      <c r="BE109" s="2" t="s">
        <v>88</v>
      </c>
      <c r="BF109" s="2" t="s">
        <v>88</v>
      </c>
    </row>
    <row r="110" spans="1:58" x14ac:dyDescent="0.2">
      <c r="A110" s="3" t="s">
        <v>1804</v>
      </c>
      <c r="B110" s="3" t="s">
        <v>1805</v>
      </c>
      <c r="C110" s="3" t="s">
        <v>60</v>
      </c>
      <c r="D110" s="3" t="s">
        <v>60</v>
      </c>
      <c r="E110" s="3" t="s">
        <v>1806</v>
      </c>
      <c r="F110" s="3" t="s">
        <v>60</v>
      </c>
      <c r="G110" s="3" t="s">
        <v>1807</v>
      </c>
      <c r="H110" s="3" t="s">
        <v>60</v>
      </c>
      <c r="I110" s="3" t="s">
        <v>60</v>
      </c>
      <c r="J110" s="3" t="s">
        <v>60</v>
      </c>
      <c r="K110" s="3" t="s">
        <v>1804</v>
      </c>
      <c r="L110" s="3" t="s">
        <v>1808</v>
      </c>
      <c r="M110" s="3" t="s">
        <v>134</v>
      </c>
      <c r="N110" s="3" t="s">
        <v>135</v>
      </c>
      <c r="O110" s="3" t="s">
        <v>136</v>
      </c>
      <c r="P110" s="3" t="s">
        <v>1809</v>
      </c>
      <c r="Q110" s="3" t="s">
        <v>60</v>
      </c>
      <c r="R110" s="3" t="s">
        <v>1810</v>
      </c>
      <c r="S110" s="3" t="s">
        <v>96</v>
      </c>
      <c r="T110" s="17">
        <v>17.91</v>
      </c>
      <c r="U110" s="3" t="s">
        <v>97</v>
      </c>
      <c r="V110" s="3" t="s">
        <v>71</v>
      </c>
      <c r="W110" s="3" t="s">
        <v>98</v>
      </c>
      <c r="X110" s="9" t="str">
        <f>HYPERLINK("http://www.obic.com.sa", "www.obic.com.sa")</f>
        <v>www.obic.com.sa</v>
      </c>
      <c r="Y110" s="9" t="str">
        <f>HYPERLINK("http://www.linkedin.com/company/osool-&amp;-bakheet-investment-company", "http://www.linkedin.com/company/osool-&amp;-bakheet-investment-company")</f>
        <v>http://www.linkedin.com/company/osool-&amp;-bakheet-investment-company</v>
      </c>
      <c r="Z110" s="29" t="s">
        <v>60</v>
      </c>
      <c r="AA110" s="3" t="s">
        <v>60</v>
      </c>
      <c r="AB110" s="3" t="s">
        <v>74</v>
      </c>
      <c r="AC110" s="3" t="s">
        <v>1811</v>
      </c>
      <c r="AD110" s="41">
        <v>2005</v>
      </c>
      <c r="AE110" s="3" t="s">
        <v>60</v>
      </c>
      <c r="AF110" s="53">
        <v>5.69</v>
      </c>
      <c r="AG110" s="53">
        <v>2.06</v>
      </c>
      <c r="AH110" s="53">
        <v>-11.15</v>
      </c>
      <c r="AI110" s="53">
        <v>30.34</v>
      </c>
      <c r="AJ110" s="53">
        <v>-10.1</v>
      </c>
      <c r="AK110" s="53">
        <v>-10.44</v>
      </c>
      <c r="AL110" s="53">
        <v>45.31</v>
      </c>
      <c r="AM110" s="53">
        <v>-22.51</v>
      </c>
      <c r="AN110" s="65">
        <v>-2.71</v>
      </c>
      <c r="AO110" s="5" t="s">
        <v>76</v>
      </c>
      <c r="AP110" s="3" t="s">
        <v>1812</v>
      </c>
      <c r="AQ110" s="3" t="s">
        <v>1813</v>
      </c>
      <c r="AR110" s="3" t="s">
        <v>1814</v>
      </c>
      <c r="AS110" s="3" t="s">
        <v>60</v>
      </c>
      <c r="AT110" s="3" t="s">
        <v>1815</v>
      </c>
      <c r="AU110" s="3" t="s">
        <v>106</v>
      </c>
      <c r="AV110" s="3" t="s">
        <v>1816</v>
      </c>
      <c r="AW110" s="3" t="s">
        <v>1817</v>
      </c>
      <c r="AX110" s="3" t="s">
        <v>109</v>
      </c>
      <c r="AY110" s="3" t="s">
        <v>60</v>
      </c>
      <c r="AZ110" s="5" t="s">
        <v>1818</v>
      </c>
      <c r="BA110" s="3" t="s">
        <v>87</v>
      </c>
      <c r="BB110" s="5" t="s">
        <v>1815</v>
      </c>
      <c r="BC110" s="5" t="s">
        <v>1819</v>
      </c>
      <c r="BD110" s="3" t="s">
        <v>1820</v>
      </c>
      <c r="BE110" s="3" t="s">
        <v>88</v>
      </c>
      <c r="BF110" s="3" t="s">
        <v>88</v>
      </c>
    </row>
    <row r="111" spans="1:58" x14ac:dyDescent="0.2">
      <c r="A111" s="2" t="s">
        <v>1821</v>
      </c>
      <c r="B111" s="2" t="s">
        <v>1822</v>
      </c>
      <c r="C111" s="2" t="s">
        <v>60</v>
      </c>
      <c r="D111" s="2" t="s">
        <v>60</v>
      </c>
      <c r="E111" s="2" t="s">
        <v>1823</v>
      </c>
      <c r="F111" s="2" t="s">
        <v>60</v>
      </c>
      <c r="G111" s="2" t="s">
        <v>1824</v>
      </c>
      <c r="H111" s="2" t="s">
        <v>60</v>
      </c>
      <c r="I111" s="2" t="s">
        <v>60</v>
      </c>
      <c r="J111" s="2" t="s">
        <v>60</v>
      </c>
      <c r="K111" s="2" t="s">
        <v>1821</v>
      </c>
      <c r="L111" s="2" t="s">
        <v>1825</v>
      </c>
      <c r="M111" s="2" t="s">
        <v>63</v>
      </c>
      <c r="N111" s="2" t="s">
        <v>92</v>
      </c>
      <c r="O111" s="2" t="s">
        <v>93</v>
      </c>
      <c r="P111" s="2" t="s">
        <v>94</v>
      </c>
      <c r="Q111" s="2" t="s">
        <v>60</v>
      </c>
      <c r="R111" s="2" t="s">
        <v>1826</v>
      </c>
      <c r="S111" s="2" t="s">
        <v>96</v>
      </c>
      <c r="T111" s="16">
        <v>678.01</v>
      </c>
      <c r="U111" s="2" t="s">
        <v>97</v>
      </c>
      <c r="V111" s="2" t="s">
        <v>71</v>
      </c>
      <c r="W111" s="2" t="s">
        <v>373</v>
      </c>
      <c r="X111" s="8" t="str">
        <f>HYPERLINK("http://sal.sa", "sal.sa")</f>
        <v>sal.sa</v>
      </c>
      <c r="Y111" s="8" t="str">
        <f>HYPERLINK("http://www.linkedin.com/company/saudialogistics", "http://www.linkedin.com/company/saudialogistics")</f>
        <v>http://www.linkedin.com/company/saudialogistics</v>
      </c>
      <c r="Z111" s="28">
        <v>930</v>
      </c>
      <c r="AA111" s="2" t="s">
        <v>1827</v>
      </c>
      <c r="AB111" s="2" t="s">
        <v>74</v>
      </c>
      <c r="AC111" s="2" t="s">
        <v>1828</v>
      </c>
      <c r="AD111" s="40">
        <v>2019</v>
      </c>
      <c r="AE111" s="2" t="s">
        <v>60</v>
      </c>
      <c r="AF111" s="52">
        <v>428.11</v>
      </c>
      <c r="AG111" s="52">
        <v>242.83</v>
      </c>
      <c r="AH111" s="52">
        <v>169.93</v>
      </c>
      <c r="AI111" s="52">
        <v>3816.18</v>
      </c>
      <c r="AJ111" s="52">
        <v>205.4</v>
      </c>
      <c r="AK111" s="52">
        <v>180.59</v>
      </c>
      <c r="AL111" s="52">
        <v>3784.42</v>
      </c>
      <c r="AM111" s="52">
        <v>-37.950000000000003</v>
      </c>
      <c r="AN111" s="64">
        <v>-1.71</v>
      </c>
      <c r="AO111" s="4" t="s">
        <v>179</v>
      </c>
      <c r="AP111" s="2" t="s">
        <v>1829</v>
      </c>
      <c r="AQ111" s="2" t="s">
        <v>1830</v>
      </c>
      <c r="AR111" s="2" t="s">
        <v>124</v>
      </c>
      <c r="AS111" s="2" t="s">
        <v>1831</v>
      </c>
      <c r="AT111" s="2" t="s">
        <v>1832</v>
      </c>
      <c r="AU111" s="2" t="s">
        <v>82</v>
      </c>
      <c r="AV111" s="2" t="s">
        <v>1833</v>
      </c>
      <c r="AW111" s="2" t="s">
        <v>1834</v>
      </c>
      <c r="AX111" s="2" t="s">
        <v>85</v>
      </c>
      <c r="AY111" s="2" t="s">
        <v>60</v>
      </c>
      <c r="AZ111" s="4" t="s">
        <v>60</v>
      </c>
      <c r="BA111" s="2" t="s">
        <v>87</v>
      </c>
      <c r="BB111" s="4" t="s">
        <v>1832</v>
      </c>
      <c r="BC111" s="4" t="s">
        <v>60</v>
      </c>
      <c r="BD111" s="2" t="s">
        <v>1835</v>
      </c>
      <c r="BE111" s="2" t="s">
        <v>88</v>
      </c>
      <c r="BF111" s="2" t="s">
        <v>88</v>
      </c>
    </row>
    <row r="112" spans="1:58" x14ac:dyDescent="0.2">
      <c r="A112" s="3" t="s">
        <v>1836</v>
      </c>
      <c r="B112" s="3" t="s">
        <v>1837</v>
      </c>
      <c r="C112" s="3" t="s">
        <v>60</v>
      </c>
      <c r="D112" s="3" t="s">
        <v>60</v>
      </c>
      <c r="E112" s="3" t="s">
        <v>60</v>
      </c>
      <c r="F112" s="3" t="s">
        <v>60</v>
      </c>
      <c r="G112" s="3" t="s">
        <v>1838</v>
      </c>
      <c r="H112" s="3" t="s">
        <v>60</v>
      </c>
      <c r="I112" s="3" t="s">
        <v>60</v>
      </c>
      <c r="J112" s="3" t="s">
        <v>60</v>
      </c>
      <c r="K112" s="3" t="s">
        <v>1836</v>
      </c>
      <c r="L112" s="3" t="s">
        <v>1839</v>
      </c>
      <c r="M112" s="3" t="s">
        <v>115</v>
      </c>
      <c r="N112" s="3" t="s">
        <v>116</v>
      </c>
      <c r="O112" s="3" t="s">
        <v>117</v>
      </c>
      <c r="P112" s="3" t="s">
        <v>118</v>
      </c>
      <c r="Q112" s="3" t="s">
        <v>60</v>
      </c>
      <c r="R112" s="3" t="s">
        <v>1840</v>
      </c>
      <c r="S112" s="3" t="s">
        <v>96</v>
      </c>
      <c r="T112" s="17" t="s">
        <v>60</v>
      </c>
      <c r="U112" s="3" t="s">
        <v>97</v>
      </c>
      <c r="V112" s="3" t="s">
        <v>71</v>
      </c>
      <c r="W112" s="3" t="s">
        <v>98</v>
      </c>
      <c r="X112" s="9" t="str">
        <f>HYPERLINK("http://www.view.sa", "www.view.sa")</f>
        <v>www.view.sa</v>
      </c>
      <c r="Y112" s="3" t="s">
        <v>60</v>
      </c>
      <c r="Z112" s="29">
        <v>49</v>
      </c>
      <c r="AA112" s="3" t="s">
        <v>1841</v>
      </c>
      <c r="AB112" s="3" t="s">
        <v>74</v>
      </c>
      <c r="AC112" s="3" t="s">
        <v>1842</v>
      </c>
      <c r="AD112" s="41">
        <v>2011</v>
      </c>
      <c r="AE112" s="3" t="s">
        <v>60</v>
      </c>
      <c r="AF112" s="53">
        <v>33.1</v>
      </c>
      <c r="AG112" s="53">
        <v>9.89</v>
      </c>
      <c r="AH112" s="53">
        <v>7.16</v>
      </c>
      <c r="AI112" s="53">
        <v>64.83</v>
      </c>
      <c r="AJ112" s="53">
        <v>7.74</v>
      </c>
      <c r="AK112" s="53">
        <v>7.64</v>
      </c>
      <c r="AL112" s="53">
        <v>47.64</v>
      </c>
      <c r="AM112" s="53">
        <v>1.69</v>
      </c>
      <c r="AN112" s="65">
        <v>70.69</v>
      </c>
      <c r="AO112" s="5" t="s">
        <v>76</v>
      </c>
      <c r="AP112" s="3" t="s">
        <v>1843</v>
      </c>
      <c r="AQ112" s="3" t="s">
        <v>1844</v>
      </c>
      <c r="AR112" s="3" t="s">
        <v>124</v>
      </c>
      <c r="AS112" s="3" t="s">
        <v>60</v>
      </c>
      <c r="AT112" s="3" t="s">
        <v>1845</v>
      </c>
      <c r="AU112" s="3" t="s">
        <v>106</v>
      </c>
      <c r="AV112" s="3" t="s">
        <v>1846</v>
      </c>
      <c r="AW112" s="3" t="s">
        <v>1847</v>
      </c>
      <c r="AX112" s="3" t="s">
        <v>109</v>
      </c>
      <c r="AY112" s="3" t="s">
        <v>60</v>
      </c>
      <c r="AZ112" s="5" t="s">
        <v>1848</v>
      </c>
      <c r="BA112" s="3" t="s">
        <v>87</v>
      </c>
      <c r="BB112" s="5" t="s">
        <v>1845</v>
      </c>
      <c r="BC112" s="5" t="s">
        <v>1845</v>
      </c>
      <c r="BD112" s="3" t="s">
        <v>1849</v>
      </c>
      <c r="BE112" s="3" t="s">
        <v>88</v>
      </c>
      <c r="BF112" s="3" t="s">
        <v>88</v>
      </c>
    </row>
    <row r="113" spans="1:58" x14ac:dyDescent="0.2">
      <c r="A113" s="2" t="s">
        <v>1850</v>
      </c>
      <c r="B113" s="2" t="s">
        <v>1851</v>
      </c>
      <c r="C113" s="2" t="s">
        <v>60</v>
      </c>
      <c r="D113" s="2" t="s">
        <v>60</v>
      </c>
      <c r="E113" s="2" t="s">
        <v>60</v>
      </c>
      <c r="F113" s="2" t="s">
        <v>60</v>
      </c>
      <c r="G113" s="2" t="s">
        <v>60</v>
      </c>
      <c r="H113" s="2" t="s">
        <v>60</v>
      </c>
      <c r="I113" s="2" t="s">
        <v>60</v>
      </c>
      <c r="J113" s="2" t="s">
        <v>60</v>
      </c>
      <c r="K113" s="2" t="s">
        <v>1850</v>
      </c>
      <c r="L113" s="2" t="s">
        <v>1852</v>
      </c>
      <c r="M113" s="2" t="s">
        <v>115</v>
      </c>
      <c r="N113" s="2" t="s">
        <v>192</v>
      </c>
      <c r="O113" s="2" t="s">
        <v>193</v>
      </c>
      <c r="P113" s="2" t="s">
        <v>1853</v>
      </c>
      <c r="Q113" s="2" t="s">
        <v>60</v>
      </c>
      <c r="R113" s="2" t="s">
        <v>1854</v>
      </c>
      <c r="S113" s="2" t="s">
        <v>96</v>
      </c>
      <c r="T113" s="16">
        <v>8.02</v>
      </c>
      <c r="U113" s="2" t="s">
        <v>97</v>
      </c>
      <c r="V113" s="2" t="s">
        <v>71</v>
      </c>
      <c r="W113" s="2" t="s">
        <v>98</v>
      </c>
      <c r="X113" s="8" t="str">
        <f>HYPERLINK("http://www.riyalmotors.com", "www.riyalmotors.com")</f>
        <v>www.riyalmotors.com</v>
      </c>
      <c r="Y113" s="2" t="s">
        <v>60</v>
      </c>
      <c r="Z113" s="28">
        <v>130</v>
      </c>
      <c r="AA113" s="2" t="s">
        <v>1855</v>
      </c>
      <c r="AB113" s="2" t="s">
        <v>74</v>
      </c>
      <c r="AC113" s="2" t="s">
        <v>1856</v>
      </c>
      <c r="AD113" s="40">
        <v>2006</v>
      </c>
      <c r="AE113" s="2" t="s">
        <v>60</v>
      </c>
      <c r="AF113" s="52">
        <v>38.49</v>
      </c>
      <c r="AG113" s="52">
        <v>11.8</v>
      </c>
      <c r="AH113" s="52">
        <v>3.2</v>
      </c>
      <c r="AI113" s="52">
        <v>91.89</v>
      </c>
      <c r="AJ113" s="52">
        <v>19.71</v>
      </c>
      <c r="AK113" s="52">
        <v>9.11</v>
      </c>
      <c r="AL113" s="52">
        <v>36.119999999999997</v>
      </c>
      <c r="AM113" s="52">
        <v>41.02</v>
      </c>
      <c r="AN113" s="64">
        <v>11.67</v>
      </c>
      <c r="AO113" s="4" t="s">
        <v>76</v>
      </c>
      <c r="AP113" s="2" t="s">
        <v>1857</v>
      </c>
      <c r="AQ113" s="2" t="s">
        <v>1858</v>
      </c>
      <c r="AR113" s="2" t="s">
        <v>1859</v>
      </c>
      <c r="AS113" s="2" t="s">
        <v>60</v>
      </c>
      <c r="AT113" s="2" t="s">
        <v>1860</v>
      </c>
      <c r="AU113" s="2" t="s">
        <v>847</v>
      </c>
      <c r="AV113" s="2" t="s">
        <v>1861</v>
      </c>
      <c r="AW113" s="2" t="s">
        <v>1862</v>
      </c>
      <c r="AX113" s="2" t="s">
        <v>849</v>
      </c>
      <c r="AY113" s="2" t="s">
        <v>60</v>
      </c>
      <c r="AZ113" s="4" t="s">
        <v>60</v>
      </c>
      <c r="BA113" s="2" t="s">
        <v>87</v>
      </c>
      <c r="BB113" s="4" t="s">
        <v>1860</v>
      </c>
      <c r="BC113" s="4" t="s">
        <v>60</v>
      </c>
      <c r="BD113" s="2" t="s">
        <v>1863</v>
      </c>
      <c r="BE113" s="2" t="s">
        <v>88</v>
      </c>
      <c r="BF113" s="2" t="s">
        <v>88</v>
      </c>
    </row>
    <row r="114" spans="1:58" x14ac:dyDescent="0.2">
      <c r="A114" s="3" t="s">
        <v>1864</v>
      </c>
      <c r="B114" s="3" t="s">
        <v>1865</v>
      </c>
      <c r="C114" s="3" t="s">
        <v>60</v>
      </c>
      <c r="D114" s="3" t="s">
        <v>60</v>
      </c>
      <c r="E114" s="3" t="s">
        <v>1866</v>
      </c>
      <c r="F114" s="3" t="s">
        <v>60</v>
      </c>
      <c r="G114" s="3" t="s">
        <v>1867</v>
      </c>
      <c r="H114" s="3" t="s">
        <v>60</v>
      </c>
      <c r="I114" s="3" t="s">
        <v>60</v>
      </c>
      <c r="J114" s="3" t="s">
        <v>60</v>
      </c>
      <c r="K114" s="3" t="s">
        <v>1864</v>
      </c>
      <c r="L114" s="3" t="s">
        <v>1868</v>
      </c>
      <c r="M114" s="3" t="s">
        <v>63</v>
      </c>
      <c r="N114" s="3" t="s">
        <v>92</v>
      </c>
      <c r="O114" s="3" t="s">
        <v>171</v>
      </c>
      <c r="P114" s="3" t="s">
        <v>172</v>
      </c>
      <c r="Q114" s="3" t="s">
        <v>60</v>
      </c>
      <c r="R114" s="3" t="s">
        <v>1869</v>
      </c>
      <c r="S114" s="3" t="s">
        <v>96</v>
      </c>
      <c r="T114" s="17">
        <v>8.91</v>
      </c>
      <c r="U114" s="3" t="s">
        <v>97</v>
      </c>
      <c r="V114" s="3" t="s">
        <v>71</v>
      </c>
      <c r="W114" s="3" t="s">
        <v>98</v>
      </c>
      <c r="X114" s="9" t="str">
        <f>HYPERLINK("http://www.cleanlife.sa", "www.cleanlife.sa")</f>
        <v>www.cleanlife.sa</v>
      </c>
      <c r="Y114" s="3" t="s">
        <v>60</v>
      </c>
      <c r="Z114" s="29">
        <v>398</v>
      </c>
      <c r="AA114" s="3" t="s">
        <v>1870</v>
      </c>
      <c r="AB114" s="3" t="s">
        <v>74</v>
      </c>
      <c r="AC114" s="3" t="s">
        <v>1871</v>
      </c>
      <c r="AD114" s="41">
        <v>2015</v>
      </c>
      <c r="AE114" s="3" t="s">
        <v>60</v>
      </c>
      <c r="AF114" s="53">
        <v>17.62</v>
      </c>
      <c r="AG114" s="53">
        <v>11.08</v>
      </c>
      <c r="AH114" s="53">
        <v>2.82</v>
      </c>
      <c r="AI114" s="53">
        <v>45.38</v>
      </c>
      <c r="AJ114" s="53">
        <v>4.25</v>
      </c>
      <c r="AK114" s="53">
        <v>2.99</v>
      </c>
      <c r="AL114" s="53">
        <v>39.950000000000003</v>
      </c>
      <c r="AM114" s="53">
        <v>1.18</v>
      </c>
      <c r="AN114" s="65">
        <v>17.96</v>
      </c>
      <c r="AO114" s="5" t="s">
        <v>76</v>
      </c>
      <c r="AP114" s="3" t="s">
        <v>1872</v>
      </c>
      <c r="AQ114" s="3" t="s">
        <v>1873</v>
      </c>
      <c r="AR114" s="3" t="s">
        <v>1874</v>
      </c>
      <c r="AS114" s="3" t="s">
        <v>60</v>
      </c>
      <c r="AT114" s="3" t="s">
        <v>1875</v>
      </c>
      <c r="AU114" s="3" t="s">
        <v>106</v>
      </c>
      <c r="AV114" s="3" t="s">
        <v>1876</v>
      </c>
      <c r="AW114" s="3" t="s">
        <v>60</v>
      </c>
      <c r="AX114" s="3" t="s">
        <v>109</v>
      </c>
      <c r="AY114" s="3" t="s">
        <v>60</v>
      </c>
      <c r="AZ114" s="5" t="s">
        <v>60</v>
      </c>
      <c r="BA114" s="3" t="s">
        <v>87</v>
      </c>
      <c r="BB114" s="5" t="s">
        <v>1875</v>
      </c>
      <c r="BC114" s="5" t="s">
        <v>60</v>
      </c>
      <c r="BD114" s="3" t="s">
        <v>60</v>
      </c>
      <c r="BE114" s="3" t="s">
        <v>88</v>
      </c>
      <c r="BF114" s="3" t="s">
        <v>88</v>
      </c>
    </row>
    <row r="115" spans="1:58" x14ac:dyDescent="0.2">
      <c r="A115" s="2" t="s">
        <v>1877</v>
      </c>
      <c r="B115" s="2" t="s">
        <v>1878</v>
      </c>
      <c r="C115" s="2" t="s">
        <v>60</v>
      </c>
      <c r="D115" s="2" t="s">
        <v>60</v>
      </c>
      <c r="E115" s="2" t="s">
        <v>60</v>
      </c>
      <c r="F115" s="2" t="s">
        <v>60</v>
      </c>
      <c r="G115" s="2" t="s">
        <v>1879</v>
      </c>
      <c r="H115" s="2" t="s">
        <v>60</v>
      </c>
      <c r="I115" s="2" t="s">
        <v>60</v>
      </c>
      <c r="J115" s="2" t="s">
        <v>1880</v>
      </c>
      <c r="K115" s="2" t="s">
        <v>1877</v>
      </c>
      <c r="L115" s="2" t="s">
        <v>1881</v>
      </c>
      <c r="M115" s="2" t="s">
        <v>115</v>
      </c>
      <c r="N115" s="2" t="s">
        <v>208</v>
      </c>
      <c r="O115" s="2" t="s">
        <v>226</v>
      </c>
      <c r="P115" s="2" t="s">
        <v>1882</v>
      </c>
      <c r="Q115" s="2" t="s">
        <v>60</v>
      </c>
      <c r="R115" s="2" t="s">
        <v>1883</v>
      </c>
      <c r="S115" s="2" t="s">
        <v>96</v>
      </c>
      <c r="T115" s="16">
        <v>3357.4</v>
      </c>
      <c r="U115" s="2" t="s">
        <v>97</v>
      </c>
      <c r="V115" s="2" t="s">
        <v>71</v>
      </c>
      <c r="W115" s="2" t="s">
        <v>72</v>
      </c>
      <c r="X115" s="8" t="str">
        <f>HYPERLINK("http://www.almarai.com", "www.almarai.com")</f>
        <v>www.almarai.com</v>
      </c>
      <c r="Y115" s="8" t="str">
        <f>HYPERLINK("http://www.linkedin.com/company/almarai", "http://www.linkedin.com/company/almarai")</f>
        <v>http://www.linkedin.com/company/almarai</v>
      </c>
      <c r="Z115" s="28">
        <v>46997</v>
      </c>
      <c r="AA115" s="2" t="s">
        <v>1884</v>
      </c>
      <c r="AB115" s="2" t="s">
        <v>74</v>
      </c>
      <c r="AC115" s="2" t="s">
        <v>1885</v>
      </c>
      <c r="AD115" s="40">
        <v>1977</v>
      </c>
      <c r="AE115" s="2" t="s">
        <v>60</v>
      </c>
      <c r="AF115" s="52">
        <v>5878.14</v>
      </c>
      <c r="AG115" s="52">
        <v>1769.42</v>
      </c>
      <c r="AH115" s="52">
        <v>654.30999999999995</v>
      </c>
      <c r="AI115" s="52">
        <v>14765.47</v>
      </c>
      <c r="AJ115" s="52">
        <v>1476.16</v>
      </c>
      <c r="AK115" s="52">
        <v>818.15</v>
      </c>
      <c r="AL115" s="52">
        <v>11162.19</v>
      </c>
      <c r="AM115" s="52">
        <v>3333.56</v>
      </c>
      <c r="AN115" s="64">
        <v>5.17</v>
      </c>
      <c r="AO115" s="4" t="s">
        <v>141</v>
      </c>
      <c r="AP115" s="2" t="s">
        <v>1886</v>
      </c>
      <c r="AQ115" s="2" t="s">
        <v>1887</v>
      </c>
      <c r="AR115" s="2" t="s">
        <v>79</v>
      </c>
      <c r="AS115" s="2" t="s">
        <v>1888</v>
      </c>
      <c r="AT115" s="2" t="s">
        <v>1889</v>
      </c>
      <c r="AU115" s="2" t="s">
        <v>106</v>
      </c>
      <c r="AV115" s="2" t="s">
        <v>1890</v>
      </c>
      <c r="AW115" s="2" t="s">
        <v>60</v>
      </c>
      <c r="AX115" s="2" t="s">
        <v>109</v>
      </c>
      <c r="AY115" s="2" t="s">
        <v>60</v>
      </c>
      <c r="AZ115" s="4" t="s">
        <v>1891</v>
      </c>
      <c r="BA115" s="2" t="s">
        <v>87</v>
      </c>
      <c r="BB115" s="4" t="s">
        <v>1892</v>
      </c>
      <c r="BC115" s="4" t="s">
        <v>60</v>
      </c>
      <c r="BD115" s="2" t="s">
        <v>60</v>
      </c>
      <c r="BE115" s="2" t="s">
        <v>88</v>
      </c>
      <c r="BF115" s="2" t="s">
        <v>88</v>
      </c>
    </row>
    <row r="116" spans="1:58" x14ac:dyDescent="0.2">
      <c r="A116" s="3" t="s">
        <v>1893</v>
      </c>
      <c r="B116" s="3" t="s">
        <v>1894</v>
      </c>
      <c r="C116" s="3" t="s">
        <v>60</v>
      </c>
      <c r="D116" s="3" t="s">
        <v>60</v>
      </c>
      <c r="E116" s="3" t="s">
        <v>60</v>
      </c>
      <c r="F116" s="3" t="s">
        <v>1895</v>
      </c>
      <c r="G116" s="3" t="s">
        <v>1896</v>
      </c>
      <c r="H116" s="3" t="s">
        <v>60</v>
      </c>
      <c r="I116" s="3" t="s">
        <v>60</v>
      </c>
      <c r="J116" s="3" t="s">
        <v>1897</v>
      </c>
      <c r="K116" s="3" t="s">
        <v>1893</v>
      </c>
      <c r="L116" s="3" t="s">
        <v>1898</v>
      </c>
      <c r="M116" s="3" t="s">
        <v>1175</v>
      </c>
      <c r="N116" s="3" t="s">
        <v>1176</v>
      </c>
      <c r="O116" s="3" t="s">
        <v>1899</v>
      </c>
      <c r="P116" s="3" t="s">
        <v>1900</v>
      </c>
      <c r="Q116" s="3" t="s">
        <v>1392</v>
      </c>
      <c r="R116" s="3" t="s">
        <v>1901</v>
      </c>
      <c r="S116" s="3" t="s">
        <v>372</v>
      </c>
      <c r="T116" s="17">
        <v>124.47</v>
      </c>
      <c r="U116" s="3" t="s">
        <v>97</v>
      </c>
      <c r="V116" s="3" t="s">
        <v>71</v>
      </c>
      <c r="W116" s="3" t="s">
        <v>423</v>
      </c>
      <c r="X116" s="9" t="str">
        <f>HYPERLINK("http://www.adesgroup.com", "www.adesgroup.com")</f>
        <v>www.adesgroup.com</v>
      </c>
      <c r="Y116" s="9" t="str">
        <f>HYPERLINK("http://www.linkedin.com/company/adesgroup", "http://www.linkedin.com/company/adesgroup")</f>
        <v>http://www.linkedin.com/company/adesgroup</v>
      </c>
      <c r="Z116" s="29">
        <v>5000</v>
      </c>
      <c r="AA116" s="3" t="s">
        <v>1902</v>
      </c>
      <c r="AB116" s="3" t="s">
        <v>74</v>
      </c>
      <c r="AC116" s="3" t="s">
        <v>1903</v>
      </c>
      <c r="AD116" s="41">
        <v>2002</v>
      </c>
      <c r="AE116" s="3" t="s">
        <v>1904</v>
      </c>
      <c r="AF116" s="53">
        <v>1669.9</v>
      </c>
      <c r="AG116" s="53">
        <v>627.07000000000005</v>
      </c>
      <c r="AH116" s="53">
        <v>214.16</v>
      </c>
      <c r="AI116" s="53">
        <v>8031.06</v>
      </c>
      <c r="AJ116" s="53">
        <v>891.86</v>
      </c>
      <c r="AK116" s="53">
        <v>506.33</v>
      </c>
      <c r="AL116" s="53">
        <v>5630.27</v>
      </c>
      <c r="AM116" s="53">
        <v>3221.63</v>
      </c>
      <c r="AN116" s="65">
        <v>6.26</v>
      </c>
      <c r="AO116" s="5" t="s">
        <v>179</v>
      </c>
      <c r="AP116" s="3" t="s">
        <v>1905</v>
      </c>
      <c r="AQ116" s="3" t="s">
        <v>1906</v>
      </c>
      <c r="AR116" s="3" t="s">
        <v>1907</v>
      </c>
      <c r="AS116" s="3" t="s">
        <v>60</v>
      </c>
      <c r="AT116" s="3" t="s">
        <v>1908</v>
      </c>
      <c r="AU116" s="3" t="s">
        <v>700</v>
      </c>
      <c r="AV116" s="3" t="s">
        <v>1909</v>
      </c>
      <c r="AW116" s="3" t="s">
        <v>1910</v>
      </c>
      <c r="AX116" s="3" t="s">
        <v>703</v>
      </c>
      <c r="AY116" s="3" t="s">
        <v>60</v>
      </c>
      <c r="AZ116" s="5" t="s">
        <v>60</v>
      </c>
      <c r="BA116" s="3" t="s">
        <v>87</v>
      </c>
      <c r="BB116" s="5" t="s">
        <v>60</v>
      </c>
      <c r="BC116" s="5" t="s">
        <v>60</v>
      </c>
      <c r="BD116" s="3" t="s">
        <v>1911</v>
      </c>
      <c r="BE116" s="3" t="s">
        <v>88</v>
      </c>
      <c r="BF116" s="3" t="s">
        <v>88</v>
      </c>
    </row>
    <row r="117" spans="1:58" x14ac:dyDescent="0.2">
      <c r="A117" s="2" t="s">
        <v>1912</v>
      </c>
      <c r="B117" s="2" t="s">
        <v>1913</v>
      </c>
      <c r="C117" s="2" t="s">
        <v>60</v>
      </c>
      <c r="D117" s="2" t="s">
        <v>60</v>
      </c>
      <c r="E117" s="2" t="s">
        <v>60</v>
      </c>
      <c r="F117" s="2" t="s">
        <v>60</v>
      </c>
      <c r="G117" s="2" t="s">
        <v>1914</v>
      </c>
      <c r="H117" s="2" t="s">
        <v>60</v>
      </c>
      <c r="I117" s="2" t="s">
        <v>60</v>
      </c>
      <c r="J117" s="2" t="s">
        <v>60</v>
      </c>
      <c r="K117" s="2" t="s">
        <v>1912</v>
      </c>
      <c r="L117" s="2" t="s">
        <v>1915</v>
      </c>
      <c r="M117" s="2" t="s">
        <v>115</v>
      </c>
      <c r="N117" s="2" t="s">
        <v>208</v>
      </c>
      <c r="O117" s="2" t="s">
        <v>668</v>
      </c>
      <c r="P117" s="2" t="s">
        <v>1916</v>
      </c>
      <c r="Q117" s="2" t="s">
        <v>60</v>
      </c>
      <c r="R117" s="2" t="s">
        <v>1917</v>
      </c>
      <c r="S117" s="2" t="s">
        <v>96</v>
      </c>
      <c r="T117" s="16">
        <v>4.22</v>
      </c>
      <c r="U117" s="2" t="s">
        <v>97</v>
      </c>
      <c r="V117" s="2" t="s">
        <v>71</v>
      </c>
      <c r="W117" s="2" t="s">
        <v>98</v>
      </c>
      <c r="X117" s="8" t="str">
        <f>HYPERLINK("http://ioudstore.com", "ioudstore.com")</f>
        <v>ioudstore.com</v>
      </c>
      <c r="Y117" s="2" t="s">
        <v>60</v>
      </c>
      <c r="Z117" s="28" t="s">
        <v>60</v>
      </c>
      <c r="AA117" s="2" t="s">
        <v>60</v>
      </c>
      <c r="AB117" s="2" t="s">
        <v>74</v>
      </c>
      <c r="AC117" s="2" t="s">
        <v>1918</v>
      </c>
      <c r="AD117" s="40">
        <v>2010</v>
      </c>
      <c r="AE117" s="2" t="s">
        <v>60</v>
      </c>
      <c r="AF117" s="52">
        <v>7.25</v>
      </c>
      <c r="AG117" s="52">
        <v>5.7</v>
      </c>
      <c r="AH117" s="52">
        <v>1.64</v>
      </c>
      <c r="AI117" s="52">
        <v>25.11</v>
      </c>
      <c r="AJ117" s="52">
        <v>3.53</v>
      </c>
      <c r="AK117" s="52">
        <v>2.4700000000000002</v>
      </c>
      <c r="AL117" s="52">
        <v>18.579999999999998</v>
      </c>
      <c r="AM117" s="52">
        <v>4.7300000000000004</v>
      </c>
      <c r="AN117" s="64">
        <v>-1.58</v>
      </c>
      <c r="AO117" s="4" t="s">
        <v>76</v>
      </c>
      <c r="AP117" s="2" t="s">
        <v>1919</v>
      </c>
      <c r="AQ117" s="2" t="s">
        <v>1920</v>
      </c>
      <c r="AR117" s="2" t="s">
        <v>79</v>
      </c>
      <c r="AS117" s="2" t="s">
        <v>1921</v>
      </c>
      <c r="AT117" s="2" t="s">
        <v>1922</v>
      </c>
      <c r="AU117" s="2" t="s">
        <v>106</v>
      </c>
      <c r="AV117" s="2" t="s">
        <v>1923</v>
      </c>
      <c r="AW117" s="2" t="s">
        <v>1924</v>
      </c>
      <c r="AX117" s="2" t="s">
        <v>109</v>
      </c>
      <c r="AY117" s="2" t="s">
        <v>60</v>
      </c>
      <c r="AZ117" s="4" t="s">
        <v>1925</v>
      </c>
      <c r="BA117" s="2" t="s">
        <v>87</v>
      </c>
      <c r="BB117" s="4" t="s">
        <v>1922</v>
      </c>
      <c r="BC117" s="4" t="s">
        <v>60</v>
      </c>
      <c r="BD117" s="2" t="s">
        <v>60</v>
      </c>
      <c r="BE117" s="2" t="s">
        <v>88</v>
      </c>
      <c r="BF117" s="2" t="s">
        <v>88</v>
      </c>
    </row>
    <row r="118" spans="1:58" x14ac:dyDescent="0.2">
      <c r="A118" s="3" t="s">
        <v>1926</v>
      </c>
      <c r="B118" s="3" t="s">
        <v>1927</v>
      </c>
      <c r="C118" s="3" t="s">
        <v>60</v>
      </c>
      <c r="D118" s="3" t="s">
        <v>60</v>
      </c>
      <c r="E118" s="3" t="s">
        <v>1928</v>
      </c>
      <c r="F118" s="3" t="s">
        <v>60</v>
      </c>
      <c r="G118" s="3" t="s">
        <v>1929</v>
      </c>
      <c r="H118" s="3" t="s">
        <v>60</v>
      </c>
      <c r="I118" s="3" t="s">
        <v>60</v>
      </c>
      <c r="J118" s="3" t="s">
        <v>60</v>
      </c>
      <c r="K118" s="3" t="s">
        <v>1926</v>
      </c>
      <c r="L118" s="3" t="s">
        <v>1930</v>
      </c>
      <c r="M118" s="3" t="s">
        <v>115</v>
      </c>
      <c r="N118" s="3" t="s">
        <v>192</v>
      </c>
      <c r="O118" s="3" t="s">
        <v>193</v>
      </c>
      <c r="P118" s="3" t="s">
        <v>1931</v>
      </c>
      <c r="Q118" s="3" t="s">
        <v>60</v>
      </c>
      <c r="R118" s="3" t="s">
        <v>1932</v>
      </c>
      <c r="S118" s="3" t="s">
        <v>96</v>
      </c>
      <c r="T118" s="17">
        <v>288.87</v>
      </c>
      <c r="U118" s="3" t="s">
        <v>97</v>
      </c>
      <c r="V118" s="3" t="s">
        <v>71</v>
      </c>
      <c r="W118" s="3" t="s">
        <v>98</v>
      </c>
      <c r="X118" s="9" t="str">
        <f>HYPERLINK("http://lumirental.com", "lumirental.com")</f>
        <v>lumirental.com</v>
      </c>
      <c r="Y118" s="9" t="str">
        <f>HYPERLINK("http://www.linkedin.com/company/lumi-rental/", "http://www.linkedin.com/company/lumi-rental/")</f>
        <v>http://www.linkedin.com/company/lumi-rental/</v>
      </c>
      <c r="Z118" s="29">
        <v>771</v>
      </c>
      <c r="AA118" s="3" t="s">
        <v>1933</v>
      </c>
      <c r="AB118" s="3" t="s">
        <v>74</v>
      </c>
      <c r="AC118" s="3" t="s">
        <v>1934</v>
      </c>
      <c r="AD118" s="41">
        <v>2013</v>
      </c>
      <c r="AE118" s="3" t="s">
        <v>1935</v>
      </c>
      <c r="AF118" s="53">
        <v>437.75</v>
      </c>
      <c r="AG118" s="53">
        <v>125.61</v>
      </c>
      <c r="AH118" s="53">
        <v>55.78</v>
      </c>
      <c r="AI118" s="53">
        <v>1399.45</v>
      </c>
      <c r="AJ118" s="53">
        <v>202.88</v>
      </c>
      <c r="AK118" s="53">
        <v>87.7</v>
      </c>
      <c r="AL118" s="53">
        <v>677.7</v>
      </c>
      <c r="AM118" s="53">
        <v>470.6</v>
      </c>
      <c r="AN118" s="65">
        <v>12.47</v>
      </c>
      <c r="AO118" s="5" t="s">
        <v>179</v>
      </c>
      <c r="AP118" s="3" t="s">
        <v>1936</v>
      </c>
      <c r="AQ118" s="3" t="s">
        <v>1937</v>
      </c>
      <c r="AR118" s="3" t="s">
        <v>79</v>
      </c>
      <c r="AS118" s="3" t="s">
        <v>1938</v>
      </c>
      <c r="AT118" s="3" t="s">
        <v>60</v>
      </c>
      <c r="AU118" s="3" t="s">
        <v>106</v>
      </c>
      <c r="AV118" s="3" t="s">
        <v>1939</v>
      </c>
      <c r="AW118" s="3" t="s">
        <v>1940</v>
      </c>
      <c r="AX118" s="3" t="s">
        <v>109</v>
      </c>
      <c r="AY118" s="3" t="s">
        <v>60</v>
      </c>
      <c r="AZ118" s="5" t="s">
        <v>1941</v>
      </c>
      <c r="BA118" s="3" t="s">
        <v>87</v>
      </c>
      <c r="BB118" s="5" t="s">
        <v>60</v>
      </c>
      <c r="BC118" s="5" t="s">
        <v>60</v>
      </c>
      <c r="BD118" s="3" t="s">
        <v>1942</v>
      </c>
      <c r="BE118" s="3" t="s">
        <v>88</v>
      </c>
      <c r="BF118" s="3" t="s">
        <v>88</v>
      </c>
    </row>
    <row r="119" spans="1:58" x14ac:dyDescent="0.2">
      <c r="A119" s="2" t="s">
        <v>1943</v>
      </c>
      <c r="B119" s="2" t="s">
        <v>1944</v>
      </c>
      <c r="C119" s="2" t="s">
        <v>60</v>
      </c>
      <c r="D119" s="2" t="s">
        <v>60</v>
      </c>
      <c r="E119" s="2" t="s">
        <v>60</v>
      </c>
      <c r="F119" s="2" t="s">
        <v>60</v>
      </c>
      <c r="G119" s="2" t="s">
        <v>1945</v>
      </c>
      <c r="H119" s="2" t="s">
        <v>60</v>
      </c>
      <c r="I119" s="2" t="s">
        <v>60</v>
      </c>
      <c r="J119" s="2" t="s">
        <v>60</v>
      </c>
      <c r="K119" s="2" t="s">
        <v>1943</v>
      </c>
      <c r="L119" s="2" t="s">
        <v>1946</v>
      </c>
      <c r="M119" s="2" t="s">
        <v>241</v>
      </c>
      <c r="N119" s="2" t="s">
        <v>499</v>
      </c>
      <c r="O119" s="2" t="s">
        <v>500</v>
      </c>
      <c r="P119" s="2" t="s">
        <v>1947</v>
      </c>
      <c r="Q119" s="2" t="s">
        <v>60</v>
      </c>
      <c r="R119" s="2" t="s">
        <v>1948</v>
      </c>
      <c r="S119" s="2" t="s">
        <v>96</v>
      </c>
      <c r="T119" s="16" t="s">
        <v>60</v>
      </c>
      <c r="U119" s="2" t="s">
        <v>97</v>
      </c>
      <c r="V119" s="2" t="s">
        <v>71</v>
      </c>
      <c r="W119" s="2" t="s">
        <v>98</v>
      </c>
      <c r="X119" s="8" t="str">
        <f>HYPERLINK("http://www.lastmade.com", "www.lastmade.com")</f>
        <v>www.lastmade.com</v>
      </c>
      <c r="Y119" s="2" t="s">
        <v>60</v>
      </c>
      <c r="Z119" s="28">
        <v>570</v>
      </c>
      <c r="AA119" s="2" t="s">
        <v>1949</v>
      </c>
      <c r="AB119" s="2" t="s">
        <v>74</v>
      </c>
      <c r="AC119" s="2" t="s">
        <v>1950</v>
      </c>
      <c r="AD119" s="40">
        <v>1969</v>
      </c>
      <c r="AE119" s="2" t="s">
        <v>60</v>
      </c>
      <c r="AF119" s="52">
        <v>43.23</v>
      </c>
      <c r="AG119" s="52">
        <v>17.45</v>
      </c>
      <c r="AH119" s="52">
        <v>10.35</v>
      </c>
      <c r="AI119" s="52">
        <v>92.57</v>
      </c>
      <c r="AJ119" s="52">
        <v>13.94</v>
      </c>
      <c r="AK119" s="52">
        <v>11.1</v>
      </c>
      <c r="AL119" s="52">
        <v>106.65</v>
      </c>
      <c r="AM119" s="52">
        <v>-9.7899999999999991</v>
      </c>
      <c r="AN119" s="64">
        <v>14.44</v>
      </c>
      <c r="AO119" s="4" t="s">
        <v>76</v>
      </c>
      <c r="AP119" s="2" t="s">
        <v>1951</v>
      </c>
      <c r="AQ119" s="2" t="s">
        <v>1952</v>
      </c>
      <c r="AR119" s="2" t="s">
        <v>124</v>
      </c>
      <c r="AS119" s="2" t="s">
        <v>60</v>
      </c>
      <c r="AT119" s="2" t="s">
        <v>1953</v>
      </c>
      <c r="AU119" s="2" t="s">
        <v>106</v>
      </c>
      <c r="AV119" s="2" t="s">
        <v>1954</v>
      </c>
      <c r="AW119" s="2" t="s">
        <v>60</v>
      </c>
      <c r="AX119" s="2" t="s">
        <v>109</v>
      </c>
      <c r="AY119" s="2" t="s">
        <v>60</v>
      </c>
      <c r="AZ119" s="4" t="s">
        <v>1955</v>
      </c>
      <c r="BA119" s="2" t="s">
        <v>87</v>
      </c>
      <c r="BB119" s="4" t="s">
        <v>1953</v>
      </c>
      <c r="BC119" s="4" t="s">
        <v>60</v>
      </c>
      <c r="BD119" s="2" t="s">
        <v>1956</v>
      </c>
      <c r="BE119" s="2" t="s">
        <v>88</v>
      </c>
      <c r="BF119" s="2" t="s">
        <v>88</v>
      </c>
    </row>
    <row r="120" spans="1:58" x14ac:dyDescent="0.2">
      <c r="A120" s="3" t="s">
        <v>1957</v>
      </c>
      <c r="B120" s="3" t="s">
        <v>1958</v>
      </c>
      <c r="C120" s="3" t="s">
        <v>60</v>
      </c>
      <c r="D120" s="3" t="s">
        <v>60</v>
      </c>
      <c r="E120" s="3" t="s">
        <v>60</v>
      </c>
      <c r="F120" s="3" t="s">
        <v>60</v>
      </c>
      <c r="G120" s="3" t="s">
        <v>1959</v>
      </c>
      <c r="H120" s="3" t="s">
        <v>60</v>
      </c>
      <c r="I120" s="3" t="s">
        <v>60</v>
      </c>
      <c r="J120" s="3" t="s">
        <v>60</v>
      </c>
      <c r="K120" s="3" t="s">
        <v>1957</v>
      </c>
      <c r="L120" s="3" t="s">
        <v>1960</v>
      </c>
      <c r="M120" s="3" t="s">
        <v>63</v>
      </c>
      <c r="N120" s="3" t="s">
        <v>92</v>
      </c>
      <c r="O120" s="3" t="s">
        <v>93</v>
      </c>
      <c r="P120" s="3" t="s">
        <v>94</v>
      </c>
      <c r="Q120" s="3" t="s">
        <v>60</v>
      </c>
      <c r="R120" s="3" t="s">
        <v>1961</v>
      </c>
      <c r="S120" s="3" t="s">
        <v>96</v>
      </c>
      <c r="T120" s="17">
        <v>5.83</v>
      </c>
      <c r="U120" s="3" t="s">
        <v>97</v>
      </c>
      <c r="V120" s="3" t="s">
        <v>71</v>
      </c>
      <c r="W120" s="3" t="s">
        <v>98</v>
      </c>
      <c r="X120" s="9" t="str">
        <f>HYPERLINK("http://www.munawlacargo.com.sa", "www.munawlacargo.com.sa")</f>
        <v>www.munawlacargo.com.sa</v>
      </c>
      <c r="Y120" s="9" t="str">
        <f>HYPERLINK("http://www.linkedin.com/company/munawla-cargo-company-limited/about/", "http://www.linkedin.com/company/munawla-cargo-company-limited/about/")</f>
        <v>http://www.linkedin.com/company/munawla-cargo-company-limited/about/</v>
      </c>
      <c r="Z120" s="29">
        <v>218</v>
      </c>
      <c r="AA120" s="3" t="s">
        <v>1962</v>
      </c>
      <c r="AB120" s="3" t="s">
        <v>74</v>
      </c>
      <c r="AC120" s="3" t="s">
        <v>1963</v>
      </c>
      <c r="AD120" s="41">
        <v>1997</v>
      </c>
      <c r="AE120" s="3" t="s">
        <v>60</v>
      </c>
      <c r="AF120" s="53">
        <v>37.1</v>
      </c>
      <c r="AG120" s="53">
        <v>5.38</v>
      </c>
      <c r="AH120" s="53">
        <v>1.59</v>
      </c>
      <c r="AI120" s="53">
        <v>26.84</v>
      </c>
      <c r="AJ120" s="53">
        <v>2.1</v>
      </c>
      <c r="AK120" s="53">
        <v>2.1</v>
      </c>
      <c r="AL120" s="53">
        <v>20.95</v>
      </c>
      <c r="AM120" s="53">
        <v>0</v>
      </c>
      <c r="AN120" s="65">
        <v>12.34</v>
      </c>
      <c r="AO120" s="5" t="s">
        <v>76</v>
      </c>
      <c r="AP120" s="3" t="s">
        <v>1964</v>
      </c>
      <c r="AQ120" s="3" t="s">
        <v>1965</v>
      </c>
      <c r="AR120" s="3" t="s">
        <v>1966</v>
      </c>
      <c r="AS120" s="3" t="s">
        <v>60</v>
      </c>
      <c r="AT120" s="3" t="s">
        <v>1967</v>
      </c>
      <c r="AU120" s="3" t="s">
        <v>847</v>
      </c>
      <c r="AV120" s="3" t="s">
        <v>1968</v>
      </c>
      <c r="AW120" s="3" t="s">
        <v>1969</v>
      </c>
      <c r="AX120" s="3" t="s">
        <v>849</v>
      </c>
      <c r="AY120" s="3" t="s">
        <v>60</v>
      </c>
      <c r="AZ120" s="5" t="s">
        <v>1970</v>
      </c>
      <c r="BA120" s="3" t="s">
        <v>87</v>
      </c>
      <c r="BB120" s="5" t="s">
        <v>1967</v>
      </c>
      <c r="BC120" s="5" t="s">
        <v>1971</v>
      </c>
      <c r="BD120" s="3" t="s">
        <v>60</v>
      </c>
      <c r="BE120" s="3" t="s">
        <v>88</v>
      </c>
      <c r="BF120" s="3" t="s">
        <v>88</v>
      </c>
    </row>
    <row r="121" spans="1:58" x14ac:dyDescent="0.2">
      <c r="A121" s="2" t="s">
        <v>1972</v>
      </c>
      <c r="B121" s="2" t="s">
        <v>1973</v>
      </c>
      <c r="C121" s="2" t="s">
        <v>60</v>
      </c>
      <c r="D121" s="2" t="s">
        <v>60</v>
      </c>
      <c r="E121" s="2" t="s">
        <v>60</v>
      </c>
      <c r="F121" s="2" t="s">
        <v>1974</v>
      </c>
      <c r="G121" s="2" t="s">
        <v>1975</v>
      </c>
      <c r="H121" s="2" t="s">
        <v>60</v>
      </c>
      <c r="I121" s="2" t="s">
        <v>60</v>
      </c>
      <c r="J121" s="2" t="s">
        <v>60</v>
      </c>
      <c r="K121" s="2" t="s">
        <v>1972</v>
      </c>
      <c r="L121" s="2" t="s">
        <v>1976</v>
      </c>
      <c r="M121" s="2" t="s">
        <v>1175</v>
      </c>
      <c r="N121" s="2" t="s">
        <v>1560</v>
      </c>
      <c r="O121" s="2" t="s">
        <v>1977</v>
      </c>
      <c r="P121" s="2" t="s">
        <v>1978</v>
      </c>
      <c r="Q121" s="2" t="s">
        <v>1979</v>
      </c>
      <c r="R121" s="2" t="s">
        <v>1980</v>
      </c>
      <c r="S121" s="2" t="s">
        <v>96</v>
      </c>
      <c r="T121" s="16" t="s">
        <v>60</v>
      </c>
      <c r="U121" s="2" t="s">
        <v>97</v>
      </c>
      <c r="V121" s="2" t="s">
        <v>71</v>
      </c>
      <c r="W121" s="2" t="s">
        <v>98</v>
      </c>
      <c r="X121" s="8" t="str">
        <f>HYPERLINK("http://www.gasco.com.sa", "www.gasco.com.sa")</f>
        <v>www.gasco.com.sa</v>
      </c>
      <c r="Y121" s="8" t="str">
        <f>HYPERLINK("http://www.linkedin.com/company/gasco-national-gas-&amp;-industrialization-company", "http://www.linkedin.com/company/gasco-national-gas-&amp;-industrialization-company")</f>
        <v>http://www.linkedin.com/company/gasco-national-gas-&amp;-industrialization-company</v>
      </c>
      <c r="Z121" s="28">
        <v>1984</v>
      </c>
      <c r="AA121" s="2" t="s">
        <v>1981</v>
      </c>
      <c r="AB121" s="2" t="s">
        <v>74</v>
      </c>
      <c r="AC121" s="2" t="s">
        <v>1982</v>
      </c>
      <c r="AD121" s="40">
        <v>1963</v>
      </c>
      <c r="AE121" s="2" t="s">
        <v>60</v>
      </c>
      <c r="AF121" s="52">
        <v>841.75</v>
      </c>
      <c r="AG121" s="52">
        <v>107.21</v>
      </c>
      <c r="AH121" s="52">
        <v>65.400000000000006</v>
      </c>
      <c r="AI121" s="52">
        <v>1599.17</v>
      </c>
      <c r="AJ121" s="52">
        <v>86.02</v>
      </c>
      <c r="AK121" s="52">
        <v>63.63</v>
      </c>
      <c r="AL121" s="52">
        <v>1813.9</v>
      </c>
      <c r="AM121" s="52">
        <v>-33.85</v>
      </c>
      <c r="AN121" s="64">
        <v>15.99</v>
      </c>
      <c r="AO121" s="4" t="s">
        <v>179</v>
      </c>
      <c r="AP121" s="2" t="s">
        <v>1983</v>
      </c>
      <c r="AQ121" s="2" t="s">
        <v>1984</v>
      </c>
      <c r="AR121" s="2" t="s">
        <v>1985</v>
      </c>
      <c r="AS121" s="2" t="s">
        <v>1986</v>
      </c>
      <c r="AT121" s="2" t="s">
        <v>1987</v>
      </c>
      <c r="AU121" s="2" t="s">
        <v>106</v>
      </c>
      <c r="AV121" s="2" t="s">
        <v>1988</v>
      </c>
      <c r="AW121" s="2" t="s">
        <v>1989</v>
      </c>
      <c r="AX121" s="2" t="s">
        <v>109</v>
      </c>
      <c r="AY121" s="2" t="s">
        <v>60</v>
      </c>
      <c r="AZ121" s="4" t="s">
        <v>1990</v>
      </c>
      <c r="BA121" s="2" t="s">
        <v>87</v>
      </c>
      <c r="BB121" s="4" t="s">
        <v>1987</v>
      </c>
      <c r="BC121" s="4" t="s">
        <v>1991</v>
      </c>
      <c r="BD121" s="2" t="s">
        <v>1992</v>
      </c>
      <c r="BE121" s="2" t="s">
        <v>88</v>
      </c>
      <c r="BF121" s="2" t="s">
        <v>88</v>
      </c>
    </row>
    <row r="122" spans="1:58" x14ac:dyDescent="0.2">
      <c r="A122" s="3" t="s">
        <v>1993</v>
      </c>
      <c r="B122" s="3" t="s">
        <v>1994</v>
      </c>
      <c r="C122" s="3" t="s">
        <v>60</v>
      </c>
      <c r="D122" s="3" t="s">
        <v>60</v>
      </c>
      <c r="E122" s="3" t="s">
        <v>60</v>
      </c>
      <c r="F122" s="3" t="s">
        <v>60</v>
      </c>
      <c r="G122" s="3" t="s">
        <v>1995</v>
      </c>
      <c r="H122" s="3" t="s">
        <v>60</v>
      </c>
      <c r="I122" s="3" t="s">
        <v>60</v>
      </c>
      <c r="J122" s="3" t="s">
        <v>60</v>
      </c>
      <c r="K122" s="3" t="s">
        <v>1993</v>
      </c>
      <c r="L122" s="3" t="s">
        <v>1996</v>
      </c>
      <c r="M122" s="3" t="s">
        <v>241</v>
      </c>
      <c r="N122" s="3" t="s">
        <v>499</v>
      </c>
      <c r="O122" s="3" t="s">
        <v>500</v>
      </c>
      <c r="P122" s="3" t="s">
        <v>1683</v>
      </c>
      <c r="Q122" s="3" t="s">
        <v>60</v>
      </c>
      <c r="R122" s="3" t="s">
        <v>1997</v>
      </c>
      <c r="S122" s="3" t="s">
        <v>96</v>
      </c>
      <c r="T122" s="17" t="s">
        <v>60</v>
      </c>
      <c r="U122" s="3" t="s">
        <v>97</v>
      </c>
      <c r="V122" s="3" t="s">
        <v>71</v>
      </c>
      <c r="W122" s="3" t="s">
        <v>98</v>
      </c>
      <c r="X122" s="9" t="str">
        <f>HYPERLINK("http://www.paperhome.com.sa", "www.paperhome.com.sa")</f>
        <v>www.paperhome.com.sa</v>
      </c>
      <c r="Y122" s="9" t="str">
        <f>HYPERLINK("http://www.linkedin.com/company/paper-home-company", "http://www.linkedin.com/company/paper-home-company")</f>
        <v>http://www.linkedin.com/company/paper-home-company</v>
      </c>
      <c r="Z122" s="29" t="s">
        <v>60</v>
      </c>
      <c r="AA122" s="3" t="s">
        <v>60</v>
      </c>
      <c r="AB122" s="3" t="s">
        <v>74</v>
      </c>
      <c r="AC122" s="3" t="s">
        <v>1998</v>
      </c>
      <c r="AD122" s="41">
        <v>2015</v>
      </c>
      <c r="AE122" s="3" t="s">
        <v>60</v>
      </c>
      <c r="AF122" s="53">
        <v>23.92</v>
      </c>
      <c r="AG122" s="53">
        <v>5.77</v>
      </c>
      <c r="AH122" s="53">
        <v>4.7300000000000004</v>
      </c>
      <c r="AI122" s="53">
        <v>73.11</v>
      </c>
      <c r="AJ122" s="53">
        <v>5.94</v>
      </c>
      <c r="AK122" s="53">
        <v>5.09</v>
      </c>
      <c r="AL122" s="53">
        <v>62.33</v>
      </c>
      <c r="AM122" s="53">
        <v>1.83</v>
      </c>
      <c r="AN122" s="65">
        <v>0.94</v>
      </c>
      <c r="AO122" s="5" t="s">
        <v>76</v>
      </c>
      <c r="AP122" s="3" t="s">
        <v>1999</v>
      </c>
      <c r="AQ122" s="3" t="s">
        <v>2000</v>
      </c>
      <c r="AR122" s="3" t="s">
        <v>215</v>
      </c>
      <c r="AS122" s="3" t="s">
        <v>2001</v>
      </c>
      <c r="AT122" s="3" t="s">
        <v>2002</v>
      </c>
      <c r="AU122" s="3" t="s">
        <v>106</v>
      </c>
      <c r="AV122" s="3" t="s">
        <v>2003</v>
      </c>
      <c r="AW122" s="3" t="s">
        <v>2004</v>
      </c>
      <c r="AX122" s="3" t="s">
        <v>109</v>
      </c>
      <c r="AY122" s="3" t="s">
        <v>60</v>
      </c>
      <c r="AZ122" s="5" t="s">
        <v>60</v>
      </c>
      <c r="BA122" s="3" t="s">
        <v>87</v>
      </c>
      <c r="BB122" s="5" t="s">
        <v>2002</v>
      </c>
      <c r="BC122" s="5" t="s">
        <v>60</v>
      </c>
      <c r="BD122" s="3" t="s">
        <v>2005</v>
      </c>
      <c r="BE122" s="3" t="s">
        <v>88</v>
      </c>
      <c r="BF122" s="3" t="s">
        <v>88</v>
      </c>
    </row>
    <row r="123" spans="1:58" x14ac:dyDescent="0.2">
      <c r="A123" s="2" t="s">
        <v>2006</v>
      </c>
      <c r="B123" s="2" t="s">
        <v>2007</v>
      </c>
      <c r="C123" s="2" t="s">
        <v>60</v>
      </c>
      <c r="D123" s="2" t="s">
        <v>60</v>
      </c>
      <c r="E123" s="2" t="s">
        <v>60</v>
      </c>
      <c r="F123" s="2" t="s">
        <v>60</v>
      </c>
      <c r="G123" s="2" t="s">
        <v>2008</v>
      </c>
      <c r="H123" s="2" t="s">
        <v>60</v>
      </c>
      <c r="I123" s="2" t="s">
        <v>60</v>
      </c>
      <c r="J123" s="2" t="s">
        <v>60</v>
      </c>
      <c r="K123" s="2" t="s">
        <v>2006</v>
      </c>
      <c r="L123" s="2" t="s">
        <v>2009</v>
      </c>
      <c r="M123" s="2" t="s">
        <v>115</v>
      </c>
      <c r="N123" s="2" t="s">
        <v>116</v>
      </c>
      <c r="O123" s="2" t="s">
        <v>2010</v>
      </c>
      <c r="P123" s="2" t="s">
        <v>2011</v>
      </c>
      <c r="Q123" s="2" t="s">
        <v>60</v>
      </c>
      <c r="R123" s="2" t="s">
        <v>2012</v>
      </c>
      <c r="S123" s="2" t="s">
        <v>96</v>
      </c>
      <c r="T123" s="16">
        <v>5.3</v>
      </c>
      <c r="U123" s="2" t="s">
        <v>97</v>
      </c>
      <c r="V123" s="2" t="s">
        <v>71</v>
      </c>
      <c r="W123" s="2" t="s">
        <v>98</v>
      </c>
      <c r="X123" s="8" t="str">
        <f>HYPERLINK("http://www.dsrent.com.sa", "www.dsrent.com.sa")</f>
        <v>www.dsrent.com.sa</v>
      </c>
      <c r="Y123" s="2" t="s">
        <v>60</v>
      </c>
      <c r="Z123" s="28" t="s">
        <v>60</v>
      </c>
      <c r="AA123" s="2" t="s">
        <v>60</v>
      </c>
      <c r="AB123" s="2" t="s">
        <v>74</v>
      </c>
      <c r="AC123" s="2" t="s">
        <v>2013</v>
      </c>
      <c r="AD123" s="40">
        <v>2009</v>
      </c>
      <c r="AE123" s="2" t="s">
        <v>60</v>
      </c>
      <c r="AF123" s="52">
        <v>15.22</v>
      </c>
      <c r="AG123" s="52">
        <v>2.35</v>
      </c>
      <c r="AH123" s="52">
        <v>-1.33</v>
      </c>
      <c r="AI123" s="52">
        <v>40.97</v>
      </c>
      <c r="AJ123" s="52">
        <v>-1.27</v>
      </c>
      <c r="AK123" s="52">
        <v>-1.27</v>
      </c>
      <c r="AL123" s="52">
        <v>16.78</v>
      </c>
      <c r="AM123" s="52">
        <v>6.27</v>
      </c>
      <c r="AN123" s="64">
        <v>-24.61</v>
      </c>
      <c r="AO123" s="4" t="s">
        <v>76</v>
      </c>
      <c r="AP123" s="2" t="s">
        <v>2014</v>
      </c>
      <c r="AQ123" s="2" t="s">
        <v>2015</v>
      </c>
      <c r="AR123" s="2" t="s">
        <v>2016</v>
      </c>
      <c r="AS123" s="2" t="s">
        <v>2017</v>
      </c>
      <c r="AT123" s="2" t="s">
        <v>2018</v>
      </c>
      <c r="AU123" s="2" t="s">
        <v>106</v>
      </c>
      <c r="AV123" s="2" t="s">
        <v>2019</v>
      </c>
      <c r="AW123" s="2" t="s">
        <v>2020</v>
      </c>
      <c r="AX123" s="2" t="s">
        <v>109</v>
      </c>
      <c r="AY123" s="2" t="s">
        <v>60</v>
      </c>
      <c r="AZ123" s="4" t="s">
        <v>2021</v>
      </c>
      <c r="BA123" s="2" t="s">
        <v>87</v>
      </c>
      <c r="BB123" s="4" t="s">
        <v>2018</v>
      </c>
      <c r="BC123" s="4" t="s">
        <v>60</v>
      </c>
      <c r="BD123" s="2" t="s">
        <v>2022</v>
      </c>
      <c r="BE123" s="2" t="s">
        <v>88</v>
      </c>
      <c r="BF123" s="2" t="s">
        <v>88</v>
      </c>
    </row>
    <row r="124" spans="1:58" x14ac:dyDescent="0.2">
      <c r="A124" s="3" t="s">
        <v>2023</v>
      </c>
      <c r="B124" s="3" t="s">
        <v>2024</v>
      </c>
      <c r="C124" s="3" t="s">
        <v>60</v>
      </c>
      <c r="D124" s="3" t="s">
        <v>60</v>
      </c>
      <c r="E124" s="3" t="s">
        <v>60</v>
      </c>
      <c r="F124" s="3" t="s">
        <v>60</v>
      </c>
      <c r="G124" s="3" t="s">
        <v>60</v>
      </c>
      <c r="H124" s="3" t="s">
        <v>60</v>
      </c>
      <c r="I124" s="3" t="s">
        <v>60</v>
      </c>
      <c r="J124" s="3" t="s">
        <v>60</v>
      </c>
      <c r="K124" s="3" t="s">
        <v>2023</v>
      </c>
      <c r="L124" s="3" t="s">
        <v>2025</v>
      </c>
      <c r="M124" s="3" t="s">
        <v>241</v>
      </c>
      <c r="N124" s="3" t="s">
        <v>242</v>
      </c>
      <c r="O124" s="3" t="s">
        <v>243</v>
      </c>
      <c r="P124" s="3" t="s">
        <v>244</v>
      </c>
      <c r="Q124" s="3" t="s">
        <v>67</v>
      </c>
      <c r="R124" s="3" t="s">
        <v>2026</v>
      </c>
      <c r="S124" s="3" t="s">
        <v>96</v>
      </c>
      <c r="T124" s="17">
        <v>8.94</v>
      </c>
      <c r="U124" s="3" t="s">
        <v>97</v>
      </c>
      <c r="V124" s="3" t="s">
        <v>71</v>
      </c>
      <c r="W124" s="3" t="s">
        <v>98</v>
      </c>
      <c r="X124" s="9" t="str">
        <f>HYPERLINK("http://www.marbledesign.sa.com", "www.marbledesign.sa.com")</f>
        <v>www.marbledesign.sa.com</v>
      </c>
      <c r="Y124" s="9" t="str">
        <f>HYPERLINK("http://www.linkedin.com/company/marble-design-factory-company", "http://www.linkedin.com/company/marble-design-factory-company")</f>
        <v>http://www.linkedin.com/company/marble-design-factory-company</v>
      </c>
      <c r="Z124" s="29" t="s">
        <v>60</v>
      </c>
      <c r="AA124" s="3" t="s">
        <v>60</v>
      </c>
      <c r="AB124" s="3" t="s">
        <v>74</v>
      </c>
      <c r="AC124" s="3" t="s">
        <v>2027</v>
      </c>
      <c r="AD124" s="41">
        <v>2001</v>
      </c>
      <c r="AE124" s="3" t="s">
        <v>60</v>
      </c>
      <c r="AF124" s="53">
        <v>10.79</v>
      </c>
      <c r="AG124" s="53">
        <v>4.7</v>
      </c>
      <c r="AH124" s="53">
        <v>1.44</v>
      </c>
      <c r="AI124" s="53">
        <v>110.4</v>
      </c>
      <c r="AJ124" s="53">
        <v>2.86</v>
      </c>
      <c r="AK124" s="53">
        <v>1.63</v>
      </c>
      <c r="AL124" s="53">
        <v>117.46</v>
      </c>
      <c r="AM124" s="53">
        <v>-1.57</v>
      </c>
      <c r="AN124" s="65">
        <v>-20.13</v>
      </c>
      <c r="AO124" s="5" t="s">
        <v>76</v>
      </c>
      <c r="AP124" s="3" t="s">
        <v>2028</v>
      </c>
      <c r="AQ124" s="3" t="s">
        <v>2029</v>
      </c>
      <c r="AR124" s="3" t="s">
        <v>2030</v>
      </c>
      <c r="AS124" s="3" t="s">
        <v>2031</v>
      </c>
      <c r="AT124" s="3" t="s">
        <v>2032</v>
      </c>
      <c r="AU124" s="3" t="s">
        <v>106</v>
      </c>
      <c r="AV124" s="3" t="s">
        <v>2033</v>
      </c>
      <c r="AW124" s="3" t="s">
        <v>60</v>
      </c>
      <c r="AX124" s="3" t="s">
        <v>109</v>
      </c>
      <c r="AY124" s="3" t="s">
        <v>60</v>
      </c>
      <c r="AZ124" s="5" t="s">
        <v>2034</v>
      </c>
      <c r="BA124" s="3" t="s">
        <v>87</v>
      </c>
      <c r="BB124" s="5" t="s">
        <v>2032</v>
      </c>
      <c r="BC124" s="5" t="s">
        <v>60</v>
      </c>
      <c r="BD124" s="3" t="s">
        <v>2035</v>
      </c>
      <c r="BE124" s="3" t="s">
        <v>88</v>
      </c>
      <c r="BF124" s="3" t="s">
        <v>88</v>
      </c>
    </row>
    <row r="125" spans="1:58" x14ac:dyDescent="0.2">
      <c r="A125" s="2" t="s">
        <v>2036</v>
      </c>
      <c r="B125" s="2" t="s">
        <v>2037</v>
      </c>
      <c r="C125" s="2" t="s">
        <v>60</v>
      </c>
      <c r="D125" s="2" t="s">
        <v>60</v>
      </c>
      <c r="E125" s="2" t="s">
        <v>60</v>
      </c>
      <c r="F125" s="2" t="s">
        <v>60</v>
      </c>
      <c r="G125" s="2" t="s">
        <v>2038</v>
      </c>
      <c r="H125" s="2" t="s">
        <v>60</v>
      </c>
      <c r="I125" s="2" t="s">
        <v>60</v>
      </c>
      <c r="J125" s="2" t="s">
        <v>60</v>
      </c>
      <c r="K125" s="2" t="s">
        <v>2036</v>
      </c>
      <c r="L125" s="2" t="s">
        <v>2039</v>
      </c>
      <c r="M125" s="2" t="s">
        <v>115</v>
      </c>
      <c r="N125" s="2" t="s">
        <v>275</v>
      </c>
      <c r="O125" s="2" t="s">
        <v>819</v>
      </c>
      <c r="P125" s="2" t="s">
        <v>2040</v>
      </c>
      <c r="Q125" s="2" t="s">
        <v>60</v>
      </c>
      <c r="R125" s="2" t="s">
        <v>2041</v>
      </c>
      <c r="S125" s="2" t="s">
        <v>96</v>
      </c>
      <c r="T125" s="16">
        <v>2.27</v>
      </c>
      <c r="U125" s="2" t="s">
        <v>97</v>
      </c>
      <c r="V125" s="2" t="s">
        <v>71</v>
      </c>
      <c r="W125" s="2" t="s">
        <v>98</v>
      </c>
      <c r="X125" s="8" t="str">
        <f>HYPERLINK("http://www.razi.sa", "www.razi.sa")</f>
        <v>www.razi.sa</v>
      </c>
      <c r="Y125" s="2" t="s">
        <v>60</v>
      </c>
      <c r="Z125" s="28">
        <v>123</v>
      </c>
      <c r="AA125" s="2" t="s">
        <v>2042</v>
      </c>
      <c r="AB125" s="2" t="s">
        <v>74</v>
      </c>
      <c r="AC125" s="2" t="s">
        <v>2043</v>
      </c>
      <c r="AD125" s="40">
        <v>1986</v>
      </c>
      <c r="AE125" s="2" t="s">
        <v>60</v>
      </c>
      <c r="AF125" s="52">
        <v>17.07</v>
      </c>
      <c r="AG125" s="52">
        <v>4.66</v>
      </c>
      <c r="AH125" s="52">
        <v>7.0000000000000007E-2</v>
      </c>
      <c r="AI125" s="52">
        <v>18.14</v>
      </c>
      <c r="AJ125" s="52">
        <v>1.1599999999999999</v>
      </c>
      <c r="AK125" s="52">
        <v>0.17</v>
      </c>
      <c r="AL125" s="52">
        <v>12.16</v>
      </c>
      <c r="AM125" s="52">
        <v>3.42</v>
      </c>
      <c r="AN125" s="64">
        <v>3.45</v>
      </c>
      <c r="AO125" s="4" t="s">
        <v>76</v>
      </c>
      <c r="AP125" s="2" t="s">
        <v>2044</v>
      </c>
      <c r="AQ125" s="2" t="s">
        <v>2045</v>
      </c>
      <c r="AR125" s="2" t="s">
        <v>79</v>
      </c>
      <c r="AS125" s="2" t="s">
        <v>2046</v>
      </c>
      <c r="AT125" s="2" t="s">
        <v>2047</v>
      </c>
      <c r="AU125" s="2" t="s">
        <v>847</v>
      </c>
      <c r="AV125" s="2" t="s">
        <v>2048</v>
      </c>
      <c r="AW125" s="2" t="s">
        <v>60</v>
      </c>
      <c r="AX125" s="2" t="s">
        <v>849</v>
      </c>
      <c r="AY125" s="2" t="s">
        <v>60</v>
      </c>
      <c r="AZ125" s="4" t="s">
        <v>60</v>
      </c>
      <c r="BA125" s="2" t="s">
        <v>87</v>
      </c>
      <c r="BB125" s="4" t="s">
        <v>2047</v>
      </c>
      <c r="BC125" s="4" t="s">
        <v>2049</v>
      </c>
      <c r="BD125" s="2" t="s">
        <v>2050</v>
      </c>
      <c r="BE125" s="2" t="s">
        <v>88</v>
      </c>
      <c r="BF125" s="2" t="s">
        <v>88</v>
      </c>
    </row>
    <row r="126" spans="1:58" x14ac:dyDescent="0.2">
      <c r="A126" s="3" t="s">
        <v>2051</v>
      </c>
      <c r="B126" s="3" t="s">
        <v>2052</v>
      </c>
      <c r="C126" s="3" t="s">
        <v>60</v>
      </c>
      <c r="D126" s="3" t="s">
        <v>60</v>
      </c>
      <c r="E126" s="3" t="s">
        <v>60</v>
      </c>
      <c r="F126" s="3" t="s">
        <v>60</v>
      </c>
      <c r="G126" s="3" t="s">
        <v>2053</v>
      </c>
      <c r="H126" s="3" t="s">
        <v>60</v>
      </c>
      <c r="I126" s="3" t="s">
        <v>60</v>
      </c>
      <c r="J126" s="3" t="s">
        <v>60</v>
      </c>
      <c r="K126" s="3" t="s">
        <v>2051</v>
      </c>
      <c r="L126" s="3" t="s">
        <v>2054</v>
      </c>
      <c r="M126" s="3" t="s">
        <v>241</v>
      </c>
      <c r="N126" s="3" t="s">
        <v>1219</v>
      </c>
      <c r="O126" s="3" t="s">
        <v>2055</v>
      </c>
      <c r="P126" s="3" t="s">
        <v>2056</v>
      </c>
      <c r="Q126" s="3" t="s">
        <v>60</v>
      </c>
      <c r="R126" s="3" t="s">
        <v>2057</v>
      </c>
      <c r="S126" s="3" t="s">
        <v>174</v>
      </c>
      <c r="T126" s="17">
        <v>266.02</v>
      </c>
      <c r="U126" s="3" t="s">
        <v>97</v>
      </c>
      <c r="V126" s="3" t="s">
        <v>71</v>
      </c>
      <c r="W126" s="3" t="s">
        <v>175</v>
      </c>
      <c r="X126" s="9" t="str">
        <f>HYPERLINK("http://www.firstmills.com", "www.firstmills.com")</f>
        <v>www.firstmills.com</v>
      </c>
      <c r="Y126" s="9" t="str">
        <f>HYPERLINK("http://www.linkedin.com/company/first-mills", "http://www.linkedin.com/company/first-mills")</f>
        <v>http://www.linkedin.com/company/first-mills</v>
      </c>
      <c r="Z126" s="29">
        <v>601</v>
      </c>
      <c r="AA126" s="3" t="s">
        <v>2058</v>
      </c>
      <c r="AB126" s="3" t="s">
        <v>74</v>
      </c>
      <c r="AC126" s="3" t="s">
        <v>2059</v>
      </c>
      <c r="AD126" s="41">
        <v>1972</v>
      </c>
      <c r="AE126" s="3" t="s">
        <v>2060</v>
      </c>
      <c r="AF126" s="53">
        <v>286.61</v>
      </c>
      <c r="AG126" s="53">
        <v>125.04</v>
      </c>
      <c r="AH126" s="53">
        <v>71.650000000000006</v>
      </c>
      <c r="AI126" s="53">
        <v>1106.77</v>
      </c>
      <c r="AJ126" s="53">
        <v>107.49</v>
      </c>
      <c r="AK126" s="53">
        <v>91.67</v>
      </c>
      <c r="AL126" s="53">
        <v>725.54</v>
      </c>
      <c r="AM126" s="53">
        <v>333.42</v>
      </c>
      <c r="AN126" s="65">
        <v>4.8600000000000003</v>
      </c>
      <c r="AO126" s="5" t="s">
        <v>179</v>
      </c>
      <c r="AP126" s="3" t="s">
        <v>2061</v>
      </c>
      <c r="AQ126" s="3" t="s">
        <v>2062</v>
      </c>
      <c r="AR126" s="3" t="s">
        <v>79</v>
      </c>
      <c r="AS126" s="3" t="s">
        <v>60</v>
      </c>
      <c r="AT126" s="3" t="s">
        <v>2063</v>
      </c>
      <c r="AU126" s="3" t="s">
        <v>82</v>
      </c>
      <c r="AV126" s="3" t="s">
        <v>2064</v>
      </c>
      <c r="AW126" s="3" t="s">
        <v>2065</v>
      </c>
      <c r="AX126" s="3" t="s">
        <v>85</v>
      </c>
      <c r="AY126" s="3" t="s">
        <v>60</v>
      </c>
      <c r="AZ126" s="5" t="s">
        <v>2066</v>
      </c>
      <c r="BA126" s="3" t="s">
        <v>87</v>
      </c>
      <c r="BB126" s="5" t="s">
        <v>2063</v>
      </c>
      <c r="BC126" s="5" t="s">
        <v>2067</v>
      </c>
      <c r="BD126" s="3" t="s">
        <v>2068</v>
      </c>
      <c r="BE126" s="3" t="s">
        <v>88</v>
      </c>
      <c r="BF126" s="3" t="s">
        <v>88</v>
      </c>
    </row>
    <row r="127" spans="1:58" x14ac:dyDescent="0.2">
      <c r="A127" s="2" t="s">
        <v>2069</v>
      </c>
      <c r="B127" s="2" t="s">
        <v>2070</v>
      </c>
      <c r="C127" s="2" t="s">
        <v>60</v>
      </c>
      <c r="D127" s="2" t="s">
        <v>60</v>
      </c>
      <c r="E127" s="2" t="s">
        <v>60</v>
      </c>
      <c r="F127" s="2" t="s">
        <v>60</v>
      </c>
      <c r="G127" s="2" t="s">
        <v>2071</v>
      </c>
      <c r="H127" s="2" t="s">
        <v>60</v>
      </c>
      <c r="I127" s="2" t="s">
        <v>60</v>
      </c>
      <c r="J127" s="2" t="s">
        <v>60</v>
      </c>
      <c r="K127" s="2" t="s">
        <v>2069</v>
      </c>
      <c r="L127" s="2" t="s">
        <v>2072</v>
      </c>
      <c r="M127" s="2" t="s">
        <v>134</v>
      </c>
      <c r="N127" s="2" t="s">
        <v>135</v>
      </c>
      <c r="O127" s="2" t="s">
        <v>1595</v>
      </c>
      <c r="P127" s="2" t="s">
        <v>2073</v>
      </c>
      <c r="Q127" s="2" t="s">
        <v>60</v>
      </c>
      <c r="R127" s="2" t="s">
        <v>2074</v>
      </c>
      <c r="S127" s="2" t="s">
        <v>96</v>
      </c>
      <c r="T127" s="16">
        <v>83.31</v>
      </c>
      <c r="U127" s="2" t="s">
        <v>97</v>
      </c>
      <c r="V127" s="2" t="s">
        <v>71</v>
      </c>
      <c r="W127" s="2" t="s">
        <v>98</v>
      </c>
      <c r="X127" s="8" t="str">
        <f>HYPERLINK("http://www.mrna.sa", "www.mrna.sa")</f>
        <v>www.mrna.sa</v>
      </c>
      <c r="Y127" s="8" t="str">
        <f>HYPERLINK("http://www.linkedin.com/company/mrnaksa", "http://www.linkedin.com/company/mrnaksa")</f>
        <v>http://www.linkedin.com/company/mrnaksa</v>
      </c>
      <c r="Z127" s="28">
        <v>121</v>
      </c>
      <c r="AA127" s="2" t="s">
        <v>2075</v>
      </c>
      <c r="AB127" s="2" t="s">
        <v>74</v>
      </c>
      <c r="AC127" s="2" t="s">
        <v>2076</v>
      </c>
      <c r="AD127" s="40">
        <v>2012</v>
      </c>
      <c r="AE127" s="2" t="s">
        <v>60</v>
      </c>
      <c r="AF127" s="52">
        <v>58.47</v>
      </c>
      <c r="AG127" s="52">
        <v>28.52</v>
      </c>
      <c r="AH127" s="52">
        <v>1.07</v>
      </c>
      <c r="AI127" s="52">
        <v>352.25</v>
      </c>
      <c r="AJ127" s="52">
        <v>4.93</v>
      </c>
      <c r="AK127" s="52">
        <v>1.65</v>
      </c>
      <c r="AL127" s="52">
        <v>179.6</v>
      </c>
      <c r="AM127" s="52">
        <v>130.93</v>
      </c>
      <c r="AN127" s="64">
        <v>21.21</v>
      </c>
      <c r="AO127" s="4" t="s">
        <v>179</v>
      </c>
      <c r="AP127" s="2" t="s">
        <v>2077</v>
      </c>
      <c r="AQ127" s="2" t="s">
        <v>2078</v>
      </c>
      <c r="AR127" s="2" t="s">
        <v>2079</v>
      </c>
      <c r="AS127" s="2" t="s">
        <v>2080</v>
      </c>
      <c r="AT127" s="2" t="s">
        <v>60</v>
      </c>
      <c r="AU127" s="2" t="s">
        <v>106</v>
      </c>
      <c r="AV127" s="2" t="s">
        <v>2081</v>
      </c>
      <c r="AW127" s="2" t="s">
        <v>2082</v>
      </c>
      <c r="AX127" s="2" t="s">
        <v>109</v>
      </c>
      <c r="AY127" s="2" t="s">
        <v>2083</v>
      </c>
      <c r="AZ127" s="4" t="s">
        <v>2084</v>
      </c>
      <c r="BA127" s="2" t="s">
        <v>87</v>
      </c>
      <c r="BB127" s="4" t="s">
        <v>60</v>
      </c>
      <c r="BC127" s="4" t="s">
        <v>60</v>
      </c>
      <c r="BD127" s="2" t="s">
        <v>2085</v>
      </c>
      <c r="BE127" s="2" t="s">
        <v>88</v>
      </c>
      <c r="BF127" s="2" t="s">
        <v>88</v>
      </c>
    </row>
    <row r="128" spans="1:58" x14ac:dyDescent="0.2">
      <c r="A128" s="3" t="s">
        <v>2086</v>
      </c>
      <c r="B128" s="3" t="s">
        <v>2087</v>
      </c>
      <c r="C128" s="3" t="s">
        <v>60</v>
      </c>
      <c r="D128" s="3" t="s">
        <v>60</v>
      </c>
      <c r="E128" s="3" t="s">
        <v>60</v>
      </c>
      <c r="F128" s="3" t="s">
        <v>2088</v>
      </c>
      <c r="G128" s="3" t="s">
        <v>2089</v>
      </c>
      <c r="H128" s="3" t="s">
        <v>60</v>
      </c>
      <c r="I128" s="3" t="s">
        <v>60</v>
      </c>
      <c r="J128" s="3" t="s">
        <v>60</v>
      </c>
      <c r="K128" s="3" t="s">
        <v>2086</v>
      </c>
      <c r="L128" s="3" t="s">
        <v>2090</v>
      </c>
      <c r="M128" s="3" t="s">
        <v>328</v>
      </c>
      <c r="N128" s="3" t="s">
        <v>1483</v>
      </c>
      <c r="O128" s="3" t="s">
        <v>1484</v>
      </c>
      <c r="P128" s="3" t="s">
        <v>1485</v>
      </c>
      <c r="Q128" s="3" t="s">
        <v>60</v>
      </c>
      <c r="R128" s="3" t="s">
        <v>2091</v>
      </c>
      <c r="S128" s="3" t="s">
        <v>96</v>
      </c>
      <c r="T128" s="17" t="s">
        <v>60</v>
      </c>
      <c r="U128" s="3" t="s">
        <v>97</v>
      </c>
      <c r="V128" s="3" t="s">
        <v>71</v>
      </c>
      <c r="W128" s="3" t="s">
        <v>98</v>
      </c>
      <c r="X128" s="9" t="str">
        <f>HYPERLINK("http://www.jamjoompharma.com", "www.jamjoompharma.com")</f>
        <v>www.jamjoompharma.com</v>
      </c>
      <c r="Y128" s="9" t="str">
        <f>HYPERLINK("http://www.linkedin.com/company/jamjoompharma", "http://www.linkedin.com/company/jamjoompharma")</f>
        <v>http://www.linkedin.com/company/jamjoompharma</v>
      </c>
      <c r="Z128" s="29">
        <v>1079</v>
      </c>
      <c r="AA128" s="3" t="s">
        <v>2092</v>
      </c>
      <c r="AB128" s="3" t="s">
        <v>74</v>
      </c>
      <c r="AC128" s="3" t="s">
        <v>2093</v>
      </c>
      <c r="AD128" s="41">
        <v>1994</v>
      </c>
      <c r="AE128" s="3" t="s">
        <v>60</v>
      </c>
      <c r="AF128" s="53">
        <v>387.59</v>
      </c>
      <c r="AG128" s="53">
        <v>242.47</v>
      </c>
      <c r="AH128" s="53">
        <v>119.1</v>
      </c>
      <c r="AI128" s="53">
        <v>2890.13</v>
      </c>
      <c r="AJ128" s="53">
        <v>133.13999999999999</v>
      </c>
      <c r="AK128" s="53">
        <v>121.83</v>
      </c>
      <c r="AL128" s="53">
        <v>2520.8200000000002</v>
      </c>
      <c r="AM128" s="53">
        <v>-44.11</v>
      </c>
      <c r="AN128" s="65">
        <v>14.83</v>
      </c>
      <c r="AO128" s="5" t="s">
        <v>179</v>
      </c>
      <c r="AP128" s="3" t="s">
        <v>2094</v>
      </c>
      <c r="AQ128" s="3" t="s">
        <v>2095</v>
      </c>
      <c r="AR128" s="3" t="s">
        <v>124</v>
      </c>
      <c r="AS128" s="3" t="s">
        <v>60</v>
      </c>
      <c r="AT128" s="3" t="s">
        <v>2096</v>
      </c>
      <c r="AU128" s="3" t="s">
        <v>82</v>
      </c>
      <c r="AV128" s="3" t="s">
        <v>2097</v>
      </c>
      <c r="AW128" s="3" t="s">
        <v>2098</v>
      </c>
      <c r="AX128" s="3" t="s">
        <v>85</v>
      </c>
      <c r="AY128" s="3" t="s">
        <v>60</v>
      </c>
      <c r="AZ128" s="5" t="s">
        <v>2099</v>
      </c>
      <c r="BA128" s="3" t="s">
        <v>87</v>
      </c>
      <c r="BB128" s="5" t="s">
        <v>2096</v>
      </c>
      <c r="BC128" s="5" t="s">
        <v>2100</v>
      </c>
      <c r="BD128" s="3" t="s">
        <v>2101</v>
      </c>
      <c r="BE128" s="3" t="s">
        <v>88</v>
      </c>
      <c r="BF128" s="3" t="s">
        <v>88</v>
      </c>
    </row>
    <row r="129" spans="1:58" x14ac:dyDescent="0.2">
      <c r="A129" s="2" t="s">
        <v>2102</v>
      </c>
      <c r="B129" s="2" t="s">
        <v>2103</v>
      </c>
      <c r="C129" s="2" t="s">
        <v>60</v>
      </c>
      <c r="D129" s="2" t="s">
        <v>60</v>
      </c>
      <c r="E129" s="2" t="s">
        <v>60</v>
      </c>
      <c r="F129" s="2" t="s">
        <v>60</v>
      </c>
      <c r="G129" s="2" t="s">
        <v>2104</v>
      </c>
      <c r="H129" s="2" t="s">
        <v>60</v>
      </c>
      <c r="I129" s="2" t="s">
        <v>60</v>
      </c>
      <c r="J129" s="2" t="s">
        <v>60</v>
      </c>
      <c r="K129" s="2" t="s">
        <v>2102</v>
      </c>
      <c r="L129" s="2" t="s">
        <v>2105</v>
      </c>
      <c r="M129" s="2" t="s">
        <v>63</v>
      </c>
      <c r="N129" s="2" t="s">
        <v>92</v>
      </c>
      <c r="O129" s="2" t="s">
        <v>973</v>
      </c>
      <c r="P129" s="2" t="s">
        <v>1203</v>
      </c>
      <c r="Q129" s="2" t="s">
        <v>60</v>
      </c>
      <c r="R129" s="2" t="s">
        <v>2106</v>
      </c>
      <c r="S129" s="2" t="s">
        <v>96</v>
      </c>
      <c r="T129" s="16" t="s">
        <v>60</v>
      </c>
      <c r="U129" s="2" t="s">
        <v>97</v>
      </c>
      <c r="V129" s="2" t="s">
        <v>71</v>
      </c>
      <c r="W129" s="2" t="s">
        <v>98</v>
      </c>
      <c r="X129" s="8" t="str">
        <f>HYPERLINK("http://www.mawarid.com.sa", "www.mawarid.com.sa")</f>
        <v>www.mawarid.com.sa</v>
      </c>
      <c r="Y129" s="8" t="str">
        <f>HYPERLINK("http://www.linkedin.com/company/mawarid-manpower-solutions-company-riyadh-saudi-arabia", "http://www.linkedin.com/company/mawarid-manpower-solutions-company-riyadh-saudi-arabia")</f>
        <v>http://www.linkedin.com/company/mawarid-manpower-solutions-company-riyadh-saudi-arabia</v>
      </c>
      <c r="Z129" s="28">
        <v>188</v>
      </c>
      <c r="AA129" s="2" t="s">
        <v>2107</v>
      </c>
      <c r="AB129" s="2" t="s">
        <v>74</v>
      </c>
      <c r="AC129" s="2" t="s">
        <v>2108</v>
      </c>
      <c r="AD129" s="40">
        <v>2012</v>
      </c>
      <c r="AE129" s="2" t="s">
        <v>60</v>
      </c>
      <c r="AF129" s="52">
        <v>652.48</v>
      </c>
      <c r="AG129" s="52">
        <v>58.58</v>
      </c>
      <c r="AH129" s="52">
        <v>34.08</v>
      </c>
      <c r="AI129" s="52">
        <v>477.3</v>
      </c>
      <c r="AJ129" s="52">
        <v>46.18</v>
      </c>
      <c r="AK129" s="52">
        <v>38.65</v>
      </c>
      <c r="AL129" s="52">
        <v>495.43</v>
      </c>
      <c r="AM129" s="52">
        <v>-21.35</v>
      </c>
      <c r="AN129" s="64">
        <v>22.8</v>
      </c>
      <c r="AO129" s="4" t="s">
        <v>179</v>
      </c>
      <c r="AP129" s="2" t="s">
        <v>2109</v>
      </c>
      <c r="AQ129" s="2" t="s">
        <v>2110</v>
      </c>
      <c r="AR129" s="2" t="s">
        <v>266</v>
      </c>
      <c r="AS129" s="2" t="s">
        <v>60</v>
      </c>
      <c r="AT129" s="2" t="s">
        <v>2111</v>
      </c>
      <c r="AU129" s="2" t="s">
        <v>106</v>
      </c>
      <c r="AV129" s="2" t="s">
        <v>2112</v>
      </c>
      <c r="AW129" s="2" t="s">
        <v>60</v>
      </c>
      <c r="AX129" s="2" t="s">
        <v>109</v>
      </c>
      <c r="AY129" s="2" t="s">
        <v>60</v>
      </c>
      <c r="AZ129" s="4" t="s">
        <v>60</v>
      </c>
      <c r="BA129" s="2" t="s">
        <v>87</v>
      </c>
      <c r="BB129" s="4" t="s">
        <v>2111</v>
      </c>
      <c r="BC129" s="4" t="s">
        <v>60</v>
      </c>
      <c r="BD129" s="2" t="s">
        <v>2113</v>
      </c>
      <c r="BE129" s="2" t="s">
        <v>88</v>
      </c>
      <c r="BF129" s="2" t="s">
        <v>88</v>
      </c>
    </row>
    <row r="130" spans="1:58" x14ac:dyDescent="0.2">
      <c r="A130" s="3" t="s">
        <v>2114</v>
      </c>
      <c r="B130" s="3" t="s">
        <v>2115</v>
      </c>
      <c r="C130" s="3" t="s">
        <v>60</v>
      </c>
      <c r="D130" s="3" t="s">
        <v>60</v>
      </c>
      <c r="E130" s="3" t="s">
        <v>60</v>
      </c>
      <c r="F130" s="3" t="s">
        <v>60</v>
      </c>
      <c r="G130" s="3" t="s">
        <v>2116</v>
      </c>
      <c r="H130" s="3" t="s">
        <v>60</v>
      </c>
      <c r="I130" s="3" t="s">
        <v>60</v>
      </c>
      <c r="J130" s="3" t="s">
        <v>60</v>
      </c>
      <c r="K130" s="3" t="s">
        <v>2114</v>
      </c>
      <c r="L130" s="3" t="s">
        <v>2117</v>
      </c>
      <c r="M130" s="3" t="s">
        <v>63</v>
      </c>
      <c r="N130" s="3" t="s">
        <v>92</v>
      </c>
      <c r="O130" s="3" t="s">
        <v>748</v>
      </c>
      <c r="P130" s="3" t="s">
        <v>749</v>
      </c>
      <c r="Q130" s="3" t="s">
        <v>60</v>
      </c>
      <c r="R130" s="3" t="s">
        <v>2118</v>
      </c>
      <c r="S130" s="3" t="s">
        <v>96</v>
      </c>
      <c r="T130" s="17" t="s">
        <v>60</v>
      </c>
      <c r="U130" s="3" t="s">
        <v>97</v>
      </c>
      <c r="V130" s="3" t="s">
        <v>71</v>
      </c>
      <c r="W130" s="3" t="s">
        <v>98</v>
      </c>
      <c r="X130" s="9" t="str">
        <f>HYPERLINK("http://www.tam.sa", "www.tam.sa")</f>
        <v>www.tam.sa</v>
      </c>
      <c r="Y130" s="9" t="str">
        <f>HYPERLINK("http://www.linkedin.com/company/tam-development-llc", "http://www.linkedin.com/company/tam-development-llc")</f>
        <v>http://www.linkedin.com/company/tam-development-llc</v>
      </c>
      <c r="Z130" s="29" t="s">
        <v>60</v>
      </c>
      <c r="AA130" s="3" t="s">
        <v>60</v>
      </c>
      <c r="AB130" s="3" t="s">
        <v>74</v>
      </c>
      <c r="AC130" s="3" t="s">
        <v>2119</v>
      </c>
      <c r="AD130" s="41">
        <v>2012</v>
      </c>
      <c r="AE130" s="3" t="s">
        <v>60</v>
      </c>
      <c r="AF130" s="53">
        <v>61.92</v>
      </c>
      <c r="AG130" s="53">
        <v>24.45</v>
      </c>
      <c r="AH130" s="53">
        <v>8.07</v>
      </c>
      <c r="AI130" s="53">
        <v>114.18</v>
      </c>
      <c r="AJ130" s="53">
        <v>10.88</v>
      </c>
      <c r="AK130" s="53">
        <v>9.1999999999999993</v>
      </c>
      <c r="AL130" s="53">
        <v>71.510000000000005</v>
      </c>
      <c r="AM130" s="53">
        <v>0.51</v>
      </c>
      <c r="AN130" s="65">
        <v>-5.55</v>
      </c>
      <c r="AO130" s="5" t="s">
        <v>76</v>
      </c>
      <c r="AP130" s="3" t="s">
        <v>2120</v>
      </c>
      <c r="AQ130" s="3" t="s">
        <v>2121</v>
      </c>
      <c r="AR130" s="3" t="s">
        <v>2122</v>
      </c>
      <c r="AS130" s="3" t="s">
        <v>2123</v>
      </c>
      <c r="AT130" s="3" t="s">
        <v>60</v>
      </c>
      <c r="AU130" s="3" t="s">
        <v>106</v>
      </c>
      <c r="AV130" s="3" t="s">
        <v>2124</v>
      </c>
      <c r="AW130" s="3" t="s">
        <v>2125</v>
      </c>
      <c r="AX130" s="3" t="s">
        <v>109</v>
      </c>
      <c r="AY130" s="3" t="s">
        <v>60</v>
      </c>
      <c r="AZ130" s="5" t="s">
        <v>60</v>
      </c>
      <c r="BA130" s="3" t="s">
        <v>87</v>
      </c>
      <c r="BB130" s="5" t="s">
        <v>60</v>
      </c>
      <c r="BC130" s="5" t="s">
        <v>60</v>
      </c>
      <c r="BD130" s="3" t="s">
        <v>2126</v>
      </c>
      <c r="BE130" s="3" t="s">
        <v>88</v>
      </c>
      <c r="BF130" s="3" t="s">
        <v>88</v>
      </c>
    </row>
    <row r="131" spans="1:58" x14ac:dyDescent="0.2">
      <c r="A131" s="2" t="s">
        <v>2127</v>
      </c>
      <c r="B131" s="2" t="s">
        <v>2128</v>
      </c>
      <c r="C131" s="2" t="s">
        <v>60</v>
      </c>
      <c r="D131" s="2" t="s">
        <v>60</v>
      </c>
      <c r="E131" s="2" t="s">
        <v>60</v>
      </c>
      <c r="F131" s="2" t="s">
        <v>60</v>
      </c>
      <c r="G131" s="2" t="s">
        <v>2129</v>
      </c>
      <c r="H131" s="2" t="s">
        <v>60</v>
      </c>
      <c r="I131" s="2" t="s">
        <v>60</v>
      </c>
      <c r="J131" s="2" t="s">
        <v>60</v>
      </c>
      <c r="K131" s="2" t="s">
        <v>2127</v>
      </c>
      <c r="L131" s="2" t="s">
        <v>2130</v>
      </c>
      <c r="M131" s="2" t="s">
        <v>241</v>
      </c>
      <c r="N131" s="2" t="s">
        <v>839</v>
      </c>
      <c r="O131" s="2" t="s">
        <v>2131</v>
      </c>
      <c r="P131" s="2" t="s">
        <v>2132</v>
      </c>
      <c r="Q131" s="2" t="s">
        <v>60</v>
      </c>
      <c r="R131" s="2" t="s">
        <v>2133</v>
      </c>
      <c r="S131" s="2" t="s">
        <v>96</v>
      </c>
      <c r="T131" s="16">
        <v>14.16</v>
      </c>
      <c r="U131" s="2" t="s">
        <v>97</v>
      </c>
      <c r="V131" s="2" t="s">
        <v>71</v>
      </c>
      <c r="W131" s="2" t="s">
        <v>98</v>
      </c>
      <c r="X131" s="8" t="str">
        <f>HYPERLINK("http://www.almuneef.com", "www.almuneef.com")</f>
        <v>www.almuneef.com</v>
      </c>
      <c r="Y131" s="2" t="s">
        <v>60</v>
      </c>
      <c r="Z131" s="28">
        <v>226</v>
      </c>
      <c r="AA131" s="2" t="s">
        <v>2134</v>
      </c>
      <c r="AB131" s="2" t="s">
        <v>74</v>
      </c>
      <c r="AC131" s="2" t="s">
        <v>2135</v>
      </c>
      <c r="AD131" s="40">
        <v>1984</v>
      </c>
      <c r="AE131" s="2" t="s">
        <v>60</v>
      </c>
      <c r="AF131" s="52">
        <v>65.209999999999994</v>
      </c>
      <c r="AG131" s="52">
        <v>9.34</v>
      </c>
      <c r="AH131" s="52">
        <v>5.9</v>
      </c>
      <c r="AI131" s="52">
        <v>57.82</v>
      </c>
      <c r="AJ131" s="52">
        <v>8.6</v>
      </c>
      <c r="AK131" s="52">
        <v>6.95</v>
      </c>
      <c r="AL131" s="52">
        <v>82.9</v>
      </c>
      <c r="AM131" s="52">
        <v>-5.58</v>
      </c>
      <c r="AN131" s="64">
        <v>4.08</v>
      </c>
      <c r="AO131" s="4" t="s">
        <v>76</v>
      </c>
      <c r="AP131" s="2" t="s">
        <v>2136</v>
      </c>
      <c r="AQ131" s="2" t="s">
        <v>2137</v>
      </c>
      <c r="AR131" s="2" t="s">
        <v>79</v>
      </c>
      <c r="AS131" s="2" t="s">
        <v>60</v>
      </c>
      <c r="AT131" s="2" t="s">
        <v>2138</v>
      </c>
      <c r="AU131" s="2" t="s">
        <v>106</v>
      </c>
      <c r="AV131" s="2" t="s">
        <v>60</v>
      </c>
      <c r="AW131" s="2" t="s">
        <v>60</v>
      </c>
      <c r="AX131" s="2" t="s">
        <v>109</v>
      </c>
      <c r="AY131" s="2" t="s">
        <v>60</v>
      </c>
      <c r="AZ131" s="4" t="s">
        <v>60</v>
      </c>
      <c r="BA131" s="2" t="s">
        <v>87</v>
      </c>
      <c r="BB131" s="4" t="s">
        <v>2138</v>
      </c>
      <c r="BC131" s="4" t="s">
        <v>2139</v>
      </c>
      <c r="BD131" s="2" t="s">
        <v>60</v>
      </c>
      <c r="BE131" s="2" t="s">
        <v>88</v>
      </c>
      <c r="BF131" s="2" t="s">
        <v>88</v>
      </c>
    </row>
    <row r="132" spans="1:58" x14ac:dyDescent="0.2">
      <c r="A132" s="3" t="s">
        <v>2140</v>
      </c>
      <c r="B132" s="3" t="s">
        <v>2141</v>
      </c>
      <c r="C132" s="3" t="s">
        <v>60</v>
      </c>
      <c r="D132" s="3" t="s">
        <v>60</v>
      </c>
      <c r="E132" s="3" t="s">
        <v>60</v>
      </c>
      <c r="F132" s="3" t="s">
        <v>60</v>
      </c>
      <c r="G132" s="3" t="s">
        <v>2142</v>
      </c>
      <c r="H132" s="3" t="s">
        <v>60</v>
      </c>
      <c r="I132" s="3" t="s">
        <v>60</v>
      </c>
      <c r="J132" s="3" t="s">
        <v>60</v>
      </c>
      <c r="K132" s="3" t="s">
        <v>2140</v>
      </c>
      <c r="L132" s="3" t="s">
        <v>2143</v>
      </c>
      <c r="M132" s="3" t="s">
        <v>63</v>
      </c>
      <c r="N132" s="3" t="s">
        <v>64</v>
      </c>
      <c r="O132" s="3" t="s">
        <v>65</v>
      </c>
      <c r="P132" s="3" t="s">
        <v>2144</v>
      </c>
      <c r="Q132" s="3" t="s">
        <v>67</v>
      </c>
      <c r="R132" s="3" t="s">
        <v>2145</v>
      </c>
      <c r="S132" s="3" t="s">
        <v>96</v>
      </c>
      <c r="T132" s="17" t="s">
        <v>60</v>
      </c>
      <c r="U132" s="3" t="s">
        <v>97</v>
      </c>
      <c r="V132" s="3" t="s">
        <v>71</v>
      </c>
      <c r="W132" s="3" t="s">
        <v>98</v>
      </c>
      <c r="X132" s="9" t="str">
        <f>HYPERLINK("http://www.saudilime.com", "www.saudilime.com")</f>
        <v>www.saudilime.com</v>
      </c>
      <c r="Y132" s="9" t="str">
        <f>HYPERLINK("http://www.linkedin.com/company/saudi-lime-industries-company", "http://www.linkedin.com/company/saudi-lime-industries-company")</f>
        <v>http://www.linkedin.com/company/saudi-lime-industries-company</v>
      </c>
      <c r="Z132" s="29" t="s">
        <v>60</v>
      </c>
      <c r="AA132" s="3" t="s">
        <v>60</v>
      </c>
      <c r="AB132" s="3" t="s">
        <v>74</v>
      </c>
      <c r="AC132" s="3" t="s">
        <v>2146</v>
      </c>
      <c r="AD132" s="41">
        <v>1977</v>
      </c>
      <c r="AE132" s="3" t="s">
        <v>60</v>
      </c>
      <c r="AF132" s="53">
        <v>64.150000000000006</v>
      </c>
      <c r="AG132" s="53">
        <v>17.63</v>
      </c>
      <c r="AH132" s="53">
        <v>6.07</v>
      </c>
      <c r="AI132" s="53">
        <v>110.12</v>
      </c>
      <c r="AJ132" s="53">
        <v>13.37</v>
      </c>
      <c r="AK132" s="53">
        <v>7.65</v>
      </c>
      <c r="AL132" s="53">
        <v>70.88</v>
      </c>
      <c r="AM132" s="53">
        <v>30.32</v>
      </c>
      <c r="AN132" s="65">
        <v>43.04</v>
      </c>
      <c r="AO132" s="5" t="s">
        <v>76</v>
      </c>
      <c r="AP132" s="3" t="s">
        <v>2147</v>
      </c>
      <c r="AQ132" s="3" t="s">
        <v>2148</v>
      </c>
      <c r="AR132" s="3" t="s">
        <v>2149</v>
      </c>
      <c r="AS132" s="3" t="s">
        <v>2150</v>
      </c>
      <c r="AT132" s="3" t="s">
        <v>2151</v>
      </c>
      <c r="AU132" s="3" t="s">
        <v>106</v>
      </c>
      <c r="AV132" s="3" t="s">
        <v>2152</v>
      </c>
      <c r="AW132" s="3" t="s">
        <v>60</v>
      </c>
      <c r="AX132" s="3" t="s">
        <v>109</v>
      </c>
      <c r="AY132" s="3" t="s">
        <v>60</v>
      </c>
      <c r="AZ132" s="5" t="s">
        <v>2153</v>
      </c>
      <c r="BA132" s="3" t="s">
        <v>87</v>
      </c>
      <c r="BB132" s="5" t="s">
        <v>2151</v>
      </c>
      <c r="BC132" s="5" t="s">
        <v>2154</v>
      </c>
      <c r="BD132" s="3" t="s">
        <v>60</v>
      </c>
      <c r="BE132" s="3" t="s">
        <v>88</v>
      </c>
      <c r="BF132" s="3" t="s">
        <v>88</v>
      </c>
    </row>
    <row r="133" spans="1:58" x14ac:dyDescent="0.2">
      <c r="A133" s="2" t="s">
        <v>2155</v>
      </c>
      <c r="B133" s="2" t="s">
        <v>2156</v>
      </c>
      <c r="C133" s="2" t="s">
        <v>60</v>
      </c>
      <c r="D133" s="2" t="s">
        <v>60</v>
      </c>
      <c r="E133" s="2" t="s">
        <v>60</v>
      </c>
      <c r="F133" s="2" t="s">
        <v>60</v>
      </c>
      <c r="G133" s="2" t="s">
        <v>2157</v>
      </c>
      <c r="H133" s="2" t="s">
        <v>60</v>
      </c>
      <c r="I133" s="2" t="s">
        <v>60</v>
      </c>
      <c r="J133" s="2" t="s">
        <v>60</v>
      </c>
      <c r="K133" s="2" t="s">
        <v>2155</v>
      </c>
      <c r="L133" s="2" t="s">
        <v>2158</v>
      </c>
      <c r="M133" s="2" t="s">
        <v>115</v>
      </c>
      <c r="N133" s="2" t="s">
        <v>368</v>
      </c>
      <c r="O133" s="2" t="s">
        <v>470</v>
      </c>
      <c r="P133" s="2" t="s">
        <v>471</v>
      </c>
      <c r="Q133" s="2" t="s">
        <v>60</v>
      </c>
      <c r="R133" s="2" t="s">
        <v>2159</v>
      </c>
      <c r="S133" s="2" t="s">
        <v>96</v>
      </c>
      <c r="T133" s="16">
        <v>14.32</v>
      </c>
      <c r="U133" s="2" t="s">
        <v>97</v>
      </c>
      <c r="V133" s="2" t="s">
        <v>71</v>
      </c>
      <c r="W133" s="2" t="s">
        <v>98</v>
      </c>
      <c r="X133" s="8" t="str">
        <f>HYPERLINK("http://www.ghidas.com", "www.ghidas.com")</f>
        <v>www.ghidas.com</v>
      </c>
      <c r="Y133" s="8" t="str">
        <f>HYPERLINK("http://www.linkedin.com/company/ghida-al-sultan", "http://www.linkedin.com/company/ghida-al-sultan")</f>
        <v>http://www.linkedin.com/company/ghida-al-sultan</v>
      </c>
      <c r="Z133" s="28">
        <v>357</v>
      </c>
      <c r="AA133" s="2" t="s">
        <v>2160</v>
      </c>
      <c r="AB133" s="2" t="s">
        <v>74</v>
      </c>
      <c r="AC133" s="2" t="s">
        <v>2161</v>
      </c>
      <c r="AD133" s="40">
        <v>2004</v>
      </c>
      <c r="AE133" s="2" t="s">
        <v>60</v>
      </c>
      <c r="AF133" s="52">
        <v>48.31</v>
      </c>
      <c r="AG133" s="52">
        <v>17.309999999999999</v>
      </c>
      <c r="AH133" s="52">
        <v>1.62</v>
      </c>
      <c r="AI133" s="52">
        <v>46.74</v>
      </c>
      <c r="AJ133" s="52">
        <v>5.2</v>
      </c>
      <c r="AK133" s="52">
        <v>2.1</v>
      </c>
      <c r="AL133" s="52">
        <v>21.82</v>
      </c>
      <c r="AM133" s="52">
        <v>3.6</v>
      </c>
      <c r="AN133" s="64">
        <v>9.24</v>
      </c>
      <c r="AO133" s="4" t="s">
        <v>100</v>
      </c>
      <c r="AP133" s="2" t="s">
        <v>2162</v>
      </c>
      <c r="AQ133" s="2" t="s">
        <v>2163</v>
      </c>
      <c r="AR133" s="2" t="s">
        <v>79</v>
      </c>
      <c r="AS133" s="2" t="s">
        <v>2164</v>
      </c>
      <c r="AT133" s="2" t="s">
        <v>2165</v>
      </c>
      <c r="AU133" s="2" t="s">
        <v>82</v>
      </c>
      <c r="AV133" s="2" t="s">
        <v>2166</v>
      </c>
      <c r="AW133" s="2" t="s">
        <v>2167</v>
      </c>
      <c r="AX133" s="2" t="s">
        <v>85</v>
      </c>
      <c r="AY133" s="2" t="s">
        <v>60</v>
      </c>
      <c r="AZ133" s="4" t="s">
        <v>2168</v>
      </c>
      <c r="BA133" s="2" t="s">
        <v>87</v>
      </c>
      <c r="BB133" s="4" t="s">
        <v>2165</v>
      </c>
      <c r="BC133" s="4" t="s">
        <v>60</v>
      </c>
      <c r="BD133" s="2" t="s">
        <v>2169</v>
      </c>
      <c r="BE133" s="2" t="s">
        <v>88</v>
      </c>
      <c r="BF133" s="2" t="s">
        <v>88</v>
      </c>
    </row>
    <row r="134" spans="1:58" x14ac:dyDescent="0.2">
      <c r="A134" s="3" t="s">
        <v>2170</v>
      </c>
      <c r="B134" s="3" t="s">
        <v>2171</v>
      </c>
      <c r="C134" s="3" t="s">
        <v>60</v>
      </c>
      <c r="D134" s="3" t="s">
        <v>60</v>
      </c>
      <c r="E134" s="3" t="s">
        <v>60</v>
      </c>
      <c r="F134" s="3" t="s">
        <v>60</v>
      </c>
      <c r="G134" s="3" t="s">
        <v>2172</v>
      </c>
      <c r="H134" s="3" t="s">
        <v>60</v>
      </c>
      <c r="I134" s="3" t="s">
        <v>60</v>
      </c>
      <c r="J134" s="3" t="s">
        <v>60</v>
      </c>
      <c r="K134" s="3" t="s">
        <v>2170</v>
      </c>
      <c r="L134" s="3" t="s">
        <v>2173</v>
      </c>
      <c r="M134" s="3" t="s">
        <v>63</v>
      </c>
      <c r="N134" s="3" t="s">
        <v>64</v>
      </c>
      <c r="O134" s="3" t="s">
        <v>2174</v>
      </c>
      <c r="P134" s="3" t="s">
        <v>2175</v>
      </c>
      <c r="Q134" s="3" t="s">
        <v>60</v>
      </c>
      <c r="R134" s="3" t="s">
        <v>2176</v>
      </c>
      <c r="S134" s="3" t="s">
        <v>96</v>
      </c>
      <c r="T134" s="17" t="s">
        <v>60</v>
      </c>
      <c r="U134" s="3" t="s">
        <v>97</v>
      </c>
      <c r="V134" s="3" t="s">
        <v>71</v>
      </c>
      <c r="W134" s="3" t="s">
        <v>98</v>
      </c>
      <c r="X134" s="9" t="str">
        <f>HYPERLINK("http://www.mayar.com.sa", "www.mayar.com.sa")</f>
        <v>www.mayar.com.sa</v>
      </c>
      <c r="Y134" s="9" t="str">
        <f>HYPERLINK("http://www.linkedin.com/company/mayar-holding-company/about/", "http://www.linkedin.com/company/mayar-holding-company/about/")</f>
        <v>http://www.linkedin.com/company/mayar-holding-company/about/</v>
      </c>
      <c r="Z134" s="29">
        <v>18</v>
      </c>
      <c r="AA134" s="3" t="s">
        <v>2177</v>
      </c>
      <c r="AB134" s="3" t="s">
        <v>74</v>
      </c>
      <c r="AC134" s="3" t="s">
        <v>2178</v>
      </c>
      <c r="AD134" s="41">
        <v>2013</v>
      </c>
      <c r="AE134" s="3" t="s">
        <v>60</v>
      </c>
      <c r="AF134" s="53">
        <v>114.28</v>
      </c>
      <c r="AG134" s="53">
        <v>17.920000000000002</v>
      </c>
      <c r="AH134" s="53">
        <v>-0.28999999999999998</v>
      </c>
      <c r="AI134" s="53">
        <v>145.63999999999999</v>
      </c>
      <c r="AJ134" s="53">
        <v>11.97</v>
      </c>
      <c r="AK134" s="53">
        <v>7.83</v>
      </c>
      <c r="AL134" s="53">
        <v>51.45</v>
      </c>
      <c r="AM134" s="53">
        <v>71.72</v>
      </c>
      <c r="AN134" s="65">
        <v>15.22</v>
      </c>
      <c r="AO134" s="5" t="s">
        <v>76</v>
      </c>
      <c r="AP134" s="3" t="s">
        <v>2179</v>
      </c>
      <c r="AQ134" s="3" t="s">
        <v>2180</v>
      </c>
      <c r="AR134" s="3" t="s">
        <v>124</v>
      </c>
      <c r="AS134" s="3" t="s">
        <v>60</v>
      </c>
      <c r="AT134" s="3" t="s">
        <v>2181</v>
      </c>
      <c r="AU134" s="3" t="s">
        <v>106</v>
      </c>
      <c r="AV134" s="3" t="s">
        <v>2182</v>
      </c>
      <c r="AW134" s="3" t="s">
        <v>2183</v>
      </c>
      <c r="AX134" s="3" t="s">
        <v>109</v>
      </c>
      <c r="AY134" s="3" t="s">
        <v>60</v>
      </c>
      <c r="AZ134" s="5" t="s">
        <v>2184</v>
      </c>
      <c r="BA134" s="3" t="s">
        <v>87</v>
      </c>
      <c r="BB134" s="5" t="s">
        <v>2181</v>
      </c>
      <c r="BC134" s="5" t="s">
        <v>2185</v>
      </c>
      <c r="BD134" s="3" t="s">
        <v>2186</v>
      </c>
      <c r="BE134" s="3" t="s">
        <v>88</v>
      </c>
      <c r="BF134" s="3" t="s">
        <v>88</v>
      </c>
    </row>
    <row r="135" spans="1:58" x14ac:dyDescent="0.2">
      <c r="A135" s="2" t="s">
        <v>2187</v>
      </c>
      <c r="B135" s="2" t="s">
        <v>2188</v>
      </c>
      <c r="C135" s="2" t="s">
        <v>60</v>
      </c>
      <c r="D135" s="2" t="s">
        <v>60</v>
      </c>
      <c r="E135" s="2" t="s">
        <v>60</v>
      </c>
      <c r="F135" s="2" t="s">
        <v>60</v>
      </c>
      <c r="G135" s="2" t="s">
        <v>2189</v>
      </c>
      <c r="H135" s="2" t="s">
        <v>60</v>
      </c>
      <c r="I135" s="2" t="s">
        <v>60</v>
      </c>
      <c r="J135" s="2" t="s">
        <v>60</v>
      </c>
      <c r="K135" s="2" t="s">
        <v>2187</v>
      </c>
      <c r="L135" s="2" t="s">
        <v>2190</v>
      </c>
      <c r="M135" s="2" t="s">
        <v>115</v>
      </c>
      <c r="N135" s="2" t="s">
        <v>368</v>
      </c>
      <c r="O135" s="2" t="s">
        <v>2191</v>
      </c>
      <c r="P135" s="2" t="s">
        <v>2192</v>
      </c>
      <c r="Q135" s="2" t="s">
        <v>60</v>
      </c>
      <c r="R135" s="2" t="s">
        <v>2193</v>
      </c>
      <c r="S135" s="2" t="s">
        <v>96</v>
      </c>
      <c r="T135" s="16">
        <v>6.26</v>
      </c>
      <c r="U135" s="2" t="s">
        <v>97</v>
      </c>
      <c r="V135" s="2" t="s">
        <v>71</v>
      </c>
      <c r="W135" s="2" t="s">
        <v>98</v>
      </c>
      <c r="X135" s="8" t="str">
        <f>HYPERLINK("http://www.foodsgate.sa", "www.foodsgate.sa")</f>
        <v>www.foodsgate.sa</v>
      </c>
      <c r="Y135" s="8" t="str">
        <f>HYPERLINK("http://www.linkedin.com/company/foodsgate", "http://www.linkedin.com/company/foodsgate")</f>
        <v>http://www.linkedin.com/company/foodsgate</v>
      </c>
      <c r="Z135" s="28" t="s">
        <v>60</v>
      </c>
      <c r="AA135" s="2" t="s">
        <v>60</v>
      </c>
      <c r="AB135" s="2" t="s">
        <v>74</v>
      </c>
      <c r="AC135" s="2" t="s">
        <v>2194</v>
      </c>
      <c r="AD135" s="40">
        <v>2006</v>
      </c>
      <c r="AE135" s="2" t="s">
        <v>60</v>
      </c>
      <c r="AF135" s="52">
        <v>16.45</v>
      </c>
      <c r="AG135" s="52">
        <v>5.4</v>
      </c>
      <c r="AH135" s="52">
        <v>2.33</v>
      </c>
      <c r="AI135" s="52">
        <v>31.38</v>
      </c>
      <c r="AJ135" s="52">
        <v>5.23</v>
      </c>
      <c r="AK135" s="52">
        <v>2.5299999999999998</v>
      </c>
      <c r="AL135" s="52">
        <v>24.75</v>
      </c>
      <c r="AM135" s="52">
        <v>-2.8</v>
      </c>
      <c r="AN135" s="64">
        <v>-0.69</v>
      </c>
      <c r="AO135" s="4" t="s">
        <v>76</v>
      </c>
      <c r="AP135" s="2" t="s">
        <v>2195</v>
      </c>
      <c r="AQ135" s="2" t="s">
        <v>2196</v>
      </c>
      <c r="AR135" s="2" t="s">
        <v>2197</v>
      </c>
      <c r="AS135" s="2" t="s">
        <v>60</v>
      </c>
      <c r="AT135" s="2" t="s">
        <v>2198</v>
      </c>
      <c r="AU135" s="2" t="s">
        <v>106</v>
      </c>
      <c r="AV135" s="2" t="s">
        <v>2199</v>
      </c>
      <c r="AW135" s="2" t="s">
        <v>2200</v>
      </c>
      <c r="AX135" s="2" t="s">
        <v>109</v>
      </c>
      <c r="AY135" s="2" t="s">
        <v>60</v>
      </c>
      <c r="AZ135" s="4" t="s">
        <v>1421</v>
      </c>
      <c r="BA135" s="2" t="s">
        <v>87</v>
      </c>
      <c r="BB135" s="4" t="s">
        <v>2198</v>
      </c>
      <c r="BC135" s="4" t="s">
        <v>2201</v>
      </c>
      <c r="BD135" s="2" t="s">
        <v>2202</v>
      </c>
      <c r="BE135" s="2" t="s">
        <v>88</v>
      </c>
      <c r="BF135" s="2" t="s">
        <v>88</v>
      </c>
    </row>
    <row r="136" spans="1:58" x14ac:dyDescent="0.2">
      <c r="A136" s="3" t="s">
        <v>2203</v>
      </c>
      <c r="B136" s="3" t="s">
        <v>2204</v>
      </c>
      <c r="C136" s="3" t="s">
        <v>60</v>
      </c>
      <c r="D136" s="3" t="s">
        <v>60</v>
      </c>
      <c r="E136" s="3" t="s">
        <v>60</v>
      </c>
      <c r="F136" s="3" t="s">
        <v>60</v>
      </c>
      <c r="G136" s="3" t="s">
        <v>2205</v>
      </c>
      <c r="H136" s="3" t="s">
        <v>60</v>
      </c>
      <c r="I136" s="3" t="s">
        <v>60</v>
      </c>
      <c r="J136" s="3" t="s">
        <v>60</v>
      </c>
      <c r="K136" s="3" t="s">
        <v>2203</v>
      </c>
      <c r="L136" s="3" t="s">
        <v>2206</v>
      </c>
      <c r="M136" s="3" t="s">
        <v>115</v>
      </c>
      <c r="N136" s="3" t="s">
        <v>208</v>
      </c>
      <c r="O136" s="3" t="s">
        <v>226</v>
      </c>
      <c r="P136" s="3" t="s">
        <v>227</v>
      </c>
      <c r="Q136" s="3" t="s">
        <v>60</v>
      </c>
      <c r="R136" s="3" t="s">
        <v>2207</v>
      </c>
      <c r="S136" s="3" t="s">
        <v>96</v>
      </c>
      <c r="T136" s="17">
        <v>15.77</v>
      </c>
      <c r="U136" s="3" t="s">
        <v>97</v>
      </c>
      <c r="V136" s="3" t="s">
        <v>71</v>
      </c>
      <c r="W136" s="3" t="s">
        <v>98</v>
      </c>
      <c r="X136" s="9" t="str">
        <f>HYPERLINK("http://www.horizonfood.sa", "www.horizonfood.sa")</f>
        <v>www.horizonfood.sa</v>
      </c>
      <c r="Y136" s="3" t="s">
        <v>60</v>
      </c>
      <c r="Z136" s="29">
        <v>131</v>
      </c>
      <c r="AA136" s="3" t="s">
        <v>2208</v>
      </c>
      <c r="AB136" s="3" t="s">
        <v>74</v>
      </c>
      <c r="AC136" s="3" t="s">
        <v>2209</v>
      </c>
      <c r="AD136" s="41">
        <v>2018</v>
      </c>
      <c r="AE136" s="3" t="s">
        <v>60</v>
      </c>
      <c r="AF136" s="53">
        <v>20.18</v>
      </c>
      <c r="AG136" s="53">
        <v>6.59</v>
      </c>
      <c r="AH136" s="53">
        <v>3.08</v>
      </c>
      <c r="AI136" s="53">
        <v>67.760000000000005</v>
      </c>
      <c r="AJ136" s="53">
        <v>4.49</v>
      </c>
      <c r="AK136" s="53">
        <v>3.37</v>
      </c>
      <c r="AL136" s="53">
        <v>77.52</v>
      </c>
      <c r="AM136" s="53">
        <v>-1.52</v>
      </c>
      <c r="AN136" s="65" t="s">
        <v>60</v>
      </c>
      <c r="AO136" s="5" t="s">
        <v>179</v>
      </c>
      <c r="AP136" s="3" t="s">
        <v>2210</v>
      </c>
      <c r="AQ136" s="3" t="s">
        <v>2211</v>
      </c>
      <c r="AR136" s="3" t="s">
        <v>124</v>
      </c>
      <c r="AS136" s="3" t="s">
        <v>2212</v>
      </c>
      <c r="AT136" s="3" t="s">
        <v>2213</v>
      </c>
      <c r="AU136" s="3" t="s">
        <v>847</v>
      </c>
      <c r="AV136" s="3" t="s">
        <v>2214</v>
      </c>
      <c r="AW136" s="3" t="s">
        <v>60</v>
      </c>
      <c r="AX136" s="3" t="s">
        <v>849</v>
      </c>
      <c r="AY136" s="3" t="s">
        <v>60</v>
      </c>
      <c r="AZ136" s="5" t="s">
        <v>2215</v>
      </c>
      <c r="BA136" s="3" t="s">
        <v>87</v>
      </c>
      <c r="BB136" s="5" t="s">
        <v>2213</v>
      </c>
      <c r="BC136" s="5" t="s">
        <v>2216</v>
      </c>
      <c r="BD136" s="3" t="s">
        <v>2217</v>
      </c>
      <c r="BE136" s="3" t="s">
        <v>88</v>
      </c>
      <c r="BF136" s="3" t="s">
        <v>88</v>
      </c>
    </row>
    <row r="137" spans="1:58" x14ac:dyDescent="0.2">
      <c r="A137" s="2" t="s">
        <v>2218</v>
      </c>
      <c r="B137" s="2" t="s">
        <v>2219</v>
      </c>
      <c r="C137" s="2" t="s">
        <v>60</v>
      </c>
      <c r="D137" s="2" t="s">
        <v>60</v>
      </c>
      <c r="E137" s="2" t="s">
        <v>2220</v>
      </c>
      <c r="F137" s="2" t="s">
        <v>60</v>
      </c>
      <c r="G137" s="2" t="s">
        <v>2221</v>
      </c>
      <c r="H137" s="2" t="s">
        <v>60</v>
      </c>
      <c r="I137" s="2" t="s">
        <v>60</v>
      </c>
      <c r="J137" s="2" t="s">
        <v>60</v>
      </c>
      <c r="K137" s="2" t="s">
        <v>2218</v>
      </c>
      <c r="L137" s="2" t="s">
        <v>2222</v>
      </c>
      <c r="M137" s="2" t="s">
        <v>485</v>
      </c>
      <c r="N137" s="2" t="s">
        <v>486</v>
      </c>
      <c r="O137" s="2" t="s">
        <v>616</v>
      </c>
      <c r="P137" s="2" t="s">
        <v>2223</v>
      </c>
      <c r="Q137" s="2" t="s">
        <v>2224</v>
      </c>
      <c r="R137" s="2" t="s">
        <v>2225</v>
      </c>
      <c r="S137" s="2" t="s">
        <v>96</v>
      </c>
      <c r="T137" s="16">
        <v>7.46</v>
      </c>
      <c r="U137" s="2" t="s">
        <v>97</v>
      </c>
      <c r="V137" s="2" t="s">
        <v>71</v>
      </c>
      <c r="W137" s="2" t="s">
        <v>98</v>
      </c>
      <c r="X137" s="8" t="str">
        <f>HYPERLINK("http://kn-it.com", "kn-it.com")</f>
        <v>kn-it.com</v>
      </c>
      <c r="Y137" s="8" t="str">
        <f>HYPERLINK("http://www.linkedin.com/company/knowledgenet", "http://www.linkedin.com/company/knowledgenet")</f>
        <v>http://www.linkedin.com/company/knowledgenet</v>
      </c>
      <c r="Z137" s="28" t="s">
        <v>60</v>
      </c>
      <c r="AA137" s="2" t="s">
        <v>60</v>
      </c>
      <c r="AB137" s="2" t="s">
        <v>74</v>
      </c>
      <c r="AC137" s="2" t="s">
        <v>2226</v>
      </c>
      <c r="AD137" s="40">
        <v>1999</v>
      </c>
      <c r="AE137" s="2" t="s">
        <v>60</v>
      </c>
      <c r="AF137" s="52">
        <v>12.69</v>
      </c>
      <c r="AG137" s="52">
        <v>6.04</v>
      </c>
      <c r="AH137" s="52">
        <v>6.66</v>
      </c>
      <c r="AI137" s="52">
        <v>29.33</v>
      </c>
      <c r="AJ137" s="52">
        <v>-4.83</v>
      </c>
      <c r="AK137" s="52">
        <v>-6.11</v>
      </c>
      <c r="AL137" s="52">
        <v>22.94</v>
      </c>
      <c r="AM137" s="52">
        <v>0.11</v>
      </c>
      <c r="AN137" s="64">
        <v>-11.25</v>
      </c>
      <c r="AO137" s="4" t="s">
        <v>76</v>
      </c>
      <c r="AP137" s="2" t="s">
        <v>2227</v>
      </c>
      <c r="AQ137" s="2" t="s">
        <v>2228</v>
      </c>
      <c r="AR137" s="2" t="s">
        <v>2229</v>
      </c>
      <c r="AS137" s="2" t="s">
        <v>2230</v>
      </c>
      <c r="AT137" s="2" t="s">
        <v>60</v>
      </c>
      <c r="AU137" s="2" t="s">
        <v>106</v>
      </c>
      <c r="AV137" s="2" t="s">
        <v>2231</v>
      </c>
      <c r="AW137" s="2" t="s">
        <v>60</v>
      </c>
      <c r="AX137" s="2" t="s">
        <v>109</v>
      </c>
      <c r="AY137" s="2" t="s">
        <v>2232</v>
      </c>
      <c r="AZ137" s="4" t="s">
        <v>2233</v>
      </c>
      <c r="BA137" s="2" t="s">
        <v>87</v>
      </c>
      <c r="BB137" s="4" t="s">
        <v>60</v>
      </c>
      <c r="BC137" s="4" t="s">
        <v>60</v>
      </c>
      <c r="BD137" s="2" t="s">
        <v>2234</v>
      </c>
      <c r="BE137" s="2" t="s">
        <v>88</v>
      </c>
      <c r="BF137" s="2" t="s">
        <v>88</v>
      </c>
    </row>
    <row r="138" spans="1:58" x14ac:dyDescent="0.2">
      <c r="A138" s="3" t="s">
        <v>2235</v>
      </c>
      <c r="B138" s="3" t="s">
        <v>2236</v>
      </c>
      <c r="C138" s="3" t="s">
        <v>60</v>
      </c>
      <c r="D138" s="3" t="s">
        <v>60</v>
      </c>
      <c r="E138" s="3" t="s">
        <v>2237</v>
      </c>
      <c r="F138" s="3" t="s">
        <v>60</v>
      </c>
      <c r="G138" s="3" t="s">
        <v>2238</v>
      </c>
      <c r="H138" s="3" t="s">
        <v>60</v>
      </c>
      <c r="I138" s="3" t="s">
        <v>60</v>
      </c>
      <c r="J138" s="3" t="s">
        <v>60</v>
      </c>
      <c r="K138" s="3" t="s">
        <v>2235</v>
      </c>
      <c r="L138" s="3" t="s">
        <v>2239</v>
      </c>
      <c r="M138" s="3" t="s">
        <v>134</v>
      </c>
      <c r="N138" s="3" t="s">
        <v>135</v>
      </c>
      <c r="O138" s="3" t="s">
        <v>136</v>
      </c>
      <c r="P138" s="3" t="s">
        <v>2240</v>
      </c>
      <c r="Q138" s="3" t="s">
        <v>60</v>
      </c>
      <c r="R138" s="3" t="s">
        <v>2241</v>
      </c>
      <c r="S138" s="3" t="s">
        <v>96</v>
      </c>
      <c r="T138" s="17" t="s">
        <v>60</v>
      </c>
      <c r="U138" s="3" t="s">
        <v>97</v>
      </c>
      <c r="V138" s="3" t="s">
        <v>71</v>
      </c>
      <c r="W138" s="3" t="s">
        <v>98</v>
      </c>
      <c r="X138" s="9" t="str">
        <f>HYPERLINK("http://www.waja.com.sa", "www.waja.com.sa")</f>
        <v>www.waja.com.sa</v>
      </c>
      <c r="Y138" s="3" t="s">
        <v>60</v>
      </c>
      <c r="Z138" s="29">
        <v>106</v>
      </c>
      <c r="AA138" s="3" t="s">
        <v>2242</v>
      </c>
      <c r="AB138" s="3" t="s">
        <v>74</v>
      </c>
      <c r="AC138" s="3" t="s">
        <v>2243</v>
      </c>
      <c r="AD138" s="41">
        <v>2013</v>
      </c>
      <c r="AE138" s="3" t="s">
        <v>60</v>
      </c>
      <c r="AF138" s="53">
        <v>33.53</v>
      </c>
      <c r="AG138" s="53">
        <v>5.8</v>
      </c>
      <c r="AH138" s="53">
        <v>-1.19</v>
      </c>
      <c r="AI138" s="53">
        <v>143.52000000000001</v>
      </c>
      <c r="AJ138" s="53">
        <v>0.82</v>
      </c>
      <c r="AK138" s="53">
        <v>0.34</v>
      </c>
      <c r="AL138" s="53">
        <v>149.16</v>
      </c>
      <c r="AM138" s="53">
        <v>7</v>
      </c>
      <c r="AN138" s="65" t="s">
        <v>60</v>
      </c>
      <c r="AO138" s="5" t="s">
        <v>179</v>
      </c>
      <c r="AP138" s="3" t="s">
        <v>2244</v>
      </c>
      <c r="AQ138" s="3" t="s">
        <v>2245</v>
      </c>
      <c r="AR138" s="3" t="s">
        <v>124</v>
      </c>
      <c r="AS138" s="3" t="s">
        <v>60</v>
      </c>
      <c r="AT138" s="3" t="s">
        <v>2246</v>
      </c>
      <c r="AU138" s="3" t="s">
        <v>106</v>
      </c>
      <c r="AV138" s="3" t="s">
        <v>2247</v>
      </c>
      <c r="AW138" s="3" t="s">
        <v>2248</v>
      </c>
      <c r="AX138" s="3" t="s">
        <v>109</v>
      </c>
      <c r="AY138" s="3" t="s">
        <v>2249</v>
      </c>
      <c r="AZ138" s="5" t="s">
        <v>2250</v>
      </c>
      <c r="BA138" s="3" t="s">
        <v>87</v>
      </c>
      <c r="BB138" s="5" t="s">
        <v>2246</v>
      </c>
      <c r="BC138" s="5" t="s">
        <v>2251</v>
      </c>
      <c r="BD138" s="3" t="s">
        <v>2252</v>
      </c>
      <c r="BE138" s="3" t="s">
        <v>88</v>
      </c>
      <c r="BF138" s="3" t="s">
        <v>88</v>
      </c>
    </row>
    <row r="139" spans="1:58" x14ac:dyDescent="0.2">
      <c r="A139" s="2" t="s">
        <v>2253</v>
      </c>
      <c r="B139" s="2" t="s">
        <v>2254</v>
      </c>
      <c r="C139" s="2" t="s">
        <v>60</v>
      </c>
      <c r="D139" s="2" t="s">
        <v>60</v>
      </c>
      <c r="E139" s="2" t="s">
        <v>60</v>
      </c>
      <c r="F139" s="2" t="s">
        <v>60</v>
      </c>
      <c r="G139" s="2" t="s">
        <v>2255</v>
      </c>
      <c r="H139" s="2" t="s">
        <v>60</v>
      </c>
      <c r="I139" s="2" t="s">
        <v>60</v>
      </c>
      <c r="J139" s="2" t="s">
        <v>60</v>
      </c>
      <c r="K139" s="2" t="s">
        <v>2253</v>
      </c>
      <c r="L139" s="2" t="s">
        <v>2256</v>
      </c>
      <c r="M139" s="2" t="s">
        <v>241</v>
      </c>
      <c r="N139" s="2" t="s">
        <v>2257</v>
      </c>
      <c r="O139" s="2" t="s">
        <v>2258</v>
      </c>
      <c r="P139" s="2" t="s">
        <v>2259</v>
      </c>
      <c r="Q139" s="2" t="s">
        <v>1392</v>
      </c>
      <c r="R139" s="2" t="s">
        <v>2260</v>
      </c>
      <c r="S139" s="2" t="s">
        <v>96</v>
      </c>
      <c r="T139" s="16">
        <v>8.31</v>
      </c>
      <c r="U139" s="2" t="s">
        <v>97</v>
      </c>
      <c r="V139" s="2" t="s">
        <v>71</v>
      </c>
      <c r="W139" s="2" t="s">
        <v>98</v>
      </c>
      <c r="X139" s="8" t="str">
        <f>HYPERLINK("http://www.benasteel.com", "www.benasteel.com")</f>
        <v>www.benasteel.com</v>
      </c>
      <c r="Y139" s="8" t="str">
        <f>HYPERLINK("http://www.linkedin.com/company/bena-steel-industries", "http://www.linkedin.com/company/bena-steel-industries")</f>
        <v>http://www.linkedin.com/company/bena-steel-industries</v>
      </c>
      <c r="Z139" s="28" t="s">
        <v>60</v>
      </c>
      <c r="AA139" s="2" t="s">
        <v>60</v>
      </c>
      <c r="AB139" s="2" t="s">
        <v>74</v>
      </c>
      <c r="AC139" s="2" t="s">
        <v>2261</v>
      </c>
      <c r="AD139" s="40">
        <v>1993</v>
      </c>
      <c r="AE139" s="2" t="s">
        <v>60</v>
      </c>
      <c r="AF139" s="52">
        <v>111.63</v>
      </c>
      <c r="AG139" s="52">
        <v>9.69</v>
      </c>
      <c r="AH139" s="52">
        <v>1.77</v>
      </c>
      <c r="AI139" s="52">
        <v>90.61</v>
      </c>
      <c r="AJ139" s="52">
        <v>6.53</v>
      </c>
      <c r="AK139" s="52">
        <v>5.21</v>
      </c>
      <c r="AL139" s="52">
        <v>63.93</v>
      </c>
      <c r="AM139" s="52">
        <v>40.83</v>
      </c>
      <c r="AN139" s="64">
        <v>9.1999999999999993</v>
      </c>
      <c r="AO139" s="4" t="s">
        <v>76</v>
      </c>
      <c r="AP139" s="2" t="s">
        <v>2262</v>
      </c>
      <c r="AQ139" s="2" t="s">
        <v>2263</v>
      </c>
      <c r="AR139" s="2" t="s">
        <v>79</v>
      </c>
      <c r="AS139" s="2" t="s">
        <v>2264</v>
      </c>
      <c r="AT139" s="2" t="s">
        <v>2265</v>
      </c>
      <c r="AU139" s="2" t="s">
        <v>847</v>
      </c>
      <c r="AV139" s="2" t="s">
        <v>2266</v>
      </c>
      <c r="AW139" s="2" t="s">
        <v>2267</v>
      </c>
      <c r="AX139" s="2" t="s">
        <v>849</v>
      </c>
      <c r="AY139" s="2" t="s">
        <v>60</v>
      </c>
      <c r="AZ139" s="4" t="s">
        <v>2268</v>
      </c>
      <c r="BA139" s="2" t="s">
        <v>87</v>
      </c>
      <c r="BB139" s="4" t="s">
        <v>2265</v>
      </c>
      <c r="BC139" s="4" t="s">
        <v>2269</v>
      </c>
      <c r="BD139" s="2" t="s">
        <v>2270</v>
      </c>
      <c r="BE139" s="2" t="s">
        <v>88</v>
      </c>
      <c r="BF139" s="2" t="s">
        <v>88</v>
      </c>
    </row>
    <row r="140" spans="1:58" x14ac:dyDescent="0.2">
      <c r="A140" s="3" t="s">
        <v>2271</v>
      </c>
      <c r="B140" s="3" t="s">
        <v>2272</v>
      </c>
      <c r="C140" s="3" t="s">
        <v>60</v>
      </c>
      <c r="D140" s="3" t="s">
        <v>60</v>
      </c>
      <c r="E140" s="3" t="s">
        <v>60</v>
      </c>
      <c r="F140" s="3" t="s">
        <v>60</v>
      </c>
      <c r="G140" s="3" t="s">
        <v>2273</v>
      </c>
      <c r="H140" s="3" t="s">
        <v>60</v>
      </c>
      <c r="I140" s="3" t="s">
        <v>60</v>
      </c>
      <c r="J140" s="3" t="s">
        <v>60</v>
      </c>
      <c r="K140" s="3" t="s">
        <v>2271</v>
      </c>
      <c r="L140" s="3" t="s">
        <v>2274</v>
      </c>
      <c r="M140" s="3" t="s">
        <v>134</v>
      </c>
      <c r="N140" s="3" t="s">
        <v>135</v>
      </c>
      <c r="O140" s="3" t="s">
        <v>2275</v>
      </c>
      <c r="P140" s="3" t="s">
        <v>2276</v>
      </c>
      <c r="Q140" s="3" t="s">
        <v>60</v>
      </c>
      <c r="R140" s="3" t="s">
        <v>2277</v>
      </c>
      <c r="S140" s="3" t="s">
        <v>96</v>
      </c>
      <c r="T140" s="17">
        <v>136.02000000000001</v>
      </c>
      <c r="U140" s="3" t="s">
        <v>97</v>
      </c>
      <c r="V140" s="3" t="s">
        <v>71</v>
      </c>
      <c r="W140" s="3" t="s">
        <v>98</v>
      </c>
      <c r="X140" s="9" t="str">
        <f>HYPERLINK("http://www.alinmainvest.com", "www.alinmainvest.com")</f>
        <v>www.alinmainvest.com</v>
      </c>
      <c r="Y140" s="3" t="s">
        <v>60</v>
      </c>
      <c r="Z140" s="29" t="s">
        <v>60</v>
      </c>
      <c r="AA140" s="3" t="s">
        <v>60</v>
      </c>
      <c r="AB140" s="3" t="s">
        <v>74</v>
      </c>
      <c r="AC140" s="3" t="s">
        <v>2278</v>
      </c>
      <c r="AD140" s="41">
        <v>2022</v>
      </c>
      <c r="AE140" s="3" t="s">
        <v>60</v>
      </c>
      <c r="AF140" s="53">
        <v>20.329999999999998</v>
      </c>
      <c r="AG140" s="53" t="s">
        <v>60</v>
      </c>
      <c r="AH140" s="53">
        <v>12.97</v>
      </c>
      <c r="AI140" s="53">
        <v>222.93</v>
      </c>
      <c r="AJ140" s="53" t="s">
        <v>60</v>
      </c>
      <c r="AK140" s="53" t="s">
        <v>60</v>
      </c>
      <c r="AL140" s="53">
        <v>218.44</v>
      </c>
      <c r="AM140" s="53">
        <v>-3.89</v>
      </c>
      <c r="AN140" s="65" t="s">
        <v>60</v>
      </c>
      <c r="AO140" s="5" t="s">
        <v>76</v>
      </c>
      <c r="AP140" s="3" t="s">
        <v>2279</v>
      </c>
      <c r="AQ140" s="3" t="s">
        <v>2280</v>
      </c>
      <c r="AR140" s="3" t="s">
        <v>232</v>
      </c>
      <c r="AS140" s="3" t="s">
        <v>60</v>
      </c>
      <c r="AT140" s="3" t="s">
        <v>60</v>
      </c>
      <c r="AU140" s="3" t="s">
        <v>106</v>
      </c>
      <c r="AV140" s="3" t="s">
        <v>2281</v>
      </c>
      <c r="AW140" s="3" t="s">
        <v>2282</v>
      </c>
      <c r="AX140" s="3" t="s">
        <v>109</v>
      </c>
      <c r="AY140" s="3" t="s">
        <v>60</v>
      </c>
      <c r="AZ140" s="5" t="s">
        <v>2283</v>
      </c>
      <c r="BA140" s="3" t="s">
        <v>87</v>
      </c>
      <c r="BB140" s="5" t="s">
        <v>60</v>
      </c>
      <c r="BC140" s="5" t="s">
        <v>60</v>
      </c>
      <c r="BD140" s="3" t="s">
        <v>2284</v>
      </c>
      <c r="BE140" s="3" t="s">
        <v>88</v>
      </c>
      <c r="BF140" s="3" t="s">
        <v>88</v>
      </c>
    </row>
    <row r="141" spans="1:58" x14ac:dyDescent="0.2">
      <c r="A141" s="2" t="s">
        <v>2285</v>
      </c>
      <c r="B141" s="2" t="s">
        <v>2286</v>
      </c>
      <c r="C141" s="2" t="s">
        <v>60</v>
      </c>
      <c r="D141" s="2" t="s">
        <v>60</v>
      </c>
      <c r="E141" s="2" t="s">
        <v>60</v>
      </c>
      <c r="F141" s="2" t="s">
        <v>2287</v>
      </c>
      <c r="G141" s="2" t="s">
        <v>2288</v>
      </c>
      <c r="H141" s="2" t="s">
        <v>60</v>
      </c>
      <c r="I141" s="2" t="s">
        <v>60</v>
      </c>
      <c r="J141" s="2" t="s">
        <v>2289</v>
      </c>
      <c r="K141" s="2" t="s">
        <v>2285</v>
      </c>
      <c r="L141" s="2" t="s">
        <v>2290</v>
      </c>
      <c r="M141" s="2" t="s">
        <v>485</v>
      </c>
      <c r="N141" s="2" t="s">
        <v>2291</v>
      </c>
      <c r="O141" s="2" t="s">
        <v>2292</v>
      </c>
      <c r="P141" s="2" t="s">
        <v>2293</v>
      </c>
      <c r="Q141" s="2" t="s">
        <v>311</v>
      </c>
      <c r="R141" s="2" t="s">
        <v>2294</v>
      </c>
      <c r="S141" s="2" t="s">
        <v>96</v>
      </c>
      <c r="T141" s="16" t="s">
        <v>60</v>
      </c>
      <c r="U141" s="2" t="s">
        <v>70</v>
      </c>
      <c r="V141" s="2" t="s">
        <v>71</v>
      </c>
      <c r="W141" s="2" t="s">
        <v>175</v>
      </c>
      <c r="X141" s="8" t="str">
        <f>HYPERLINK("http://mobily.com.sa", "mobily.com.sa")</f>
        <v>mobily.com.sa</v>
      </c>
      <c r="Y141" s="8" t="str">
        <f>HYPERLINK("http://www.linkedin.com/company/mobily", "http://www.linkedin.com/company/mobily")</f>
        <v>http://www.linkedin.com/company/mobily</v>
      </c>
      <c r="Z141" s="28">
        <v>6727</v>
      </c>
      <c r="AA141" s="2" t="s">
        <v>2295</v>
      </c>
      <c r="AB141" s="2" t="s">
        <v>74</v>
      </c>
      <c r="AC141" s="2" t="s">
        <v>2296</v>
      </c>
      <c r="AD141" s="40">
        <v>2004</v>
      </c>
      <c r="AE141" s="2" t="s">
        <v>60</v>
      </c>
      <c r="AF141" s="52">
        <v>5099.32</v>
      </c>
      <c r="AG141" s="52">
        <v>2761.65</v>
      </c>
      <c r="AH141" s="52">
        <v>929.86</v>
      </c>
      <c r="AI141" s="52">
        <v>15606.07</v>
      </c>
      <c r="AJ141" s="52">
        <v>2110.1</v>
      </c>
      <c r="AK141" s="52">
        <v>1104.53</v>
      </c>
      <c r="AL141" s="52">
        <v>14064.79</v>
      </c>
      <c r="AM141" s="52">
        <v>1819.61</v>
      </c>
      <c r="AN141" s="64">
        <v>7.5</v>
      </c>
      <c r="AO141" s="4" t="s">
        <v>179</v>
      </c>
      <c r="AP141" s="2" t="s">
        <v>2297</v>
      </c>
      <c r="AQ141" s="2" t="s">
        <v>2298</v>
      </c>
      <c r="AR141" s="2" t="s">
        <v>124</v>
      </c>
      <c r="AS141" s="2" t="s">
        <v>2299</v>
      </c>
      <c r="AT141" s="2" t="s">
        <v>60</v>
      </c>
      <c r="AU141" s="2" t="s">
        <v>106</v>
      </c>
      <c r="AV141" s="2" t="s">
        <v>2300</v>
      </c>
      <c r="AW141" s="2" t="s">
        <v>2301</v>
      </c>
      <c r="AX141" s="2" t="s">
        <v>109</v>
      </c>
      <c r="AY141" s="2" t="s">
        <v>60</v>
      </c>
      <c r="AZ141" s="4" t="s">
        <v>2302</v>
      </c>
      <c r="BA141" s="2" t="s">
        <v>87</v>
      </c>
      <c r="BB141" s="4" t="s">
        <v>60</v>
      </c>
      <c r="BC141" s="4" t="s">
        <v>60</v>
      </c>
      <c r="BD141" s="2" t="s">
        <v>2303</v>
      </c>
      <c r="BE141" s="2" t="s">
        <v>88</v>
      </c>
      <c r="BF141" s="2" t="s">
        <v>88</v>
      </c>
    </row>
    <row r="142" spans="1:58" x14ac:dyDescent="0.2">
      <c r="A142" s="3" t="s">
        <v>2304</v>
      </c>
      <c r="B142" s="3" t="s">
        <v>2305</v>
      </c>
      <c r="C142" s="3" t="s">
        <v>60</v>
      </c>
      <c r="D142" s="3" t="s">
        <v>60</v>
      </c>
      <c r="E142" s="3" t="s">
        <v>60</v>
      </c>
      <c r="F142" s="3" t="s">
        <v>60</v>
      </c>
      <c r="G142" s="3" t="s">
        <v>2306</v>
      </c>
      <c r="H142" s="3" t="s">
        <v>60</v>
      </c>
      <c r="I142" s="3" t="s">
        <v>60</v>
      </c>
      <c r="J142" s="3" t="s">
        <v>60</v>
      </c>
      <c r="K142" s="3" t="s">
        <v>2304</v>
      </c>
      <c r="L142" s="3" t="s">
        <v>2307</v>
      </c>
      <c r="M142" s="3" t="s">
        <v>115</v>
      </c>
      <c r="N142" s="3" t="s">
        <v>208</v>
      </c>
      <c r="O142" s="3" t="s">
        <v>226</v>
      </c>
      <c r="P142" s="3" t="s">
        <v>1882</v>
      </c>
      <c r="Q142" s="3" t="s">
        <v>60</v>
      </c>
      <c r="R142" s="3" t="s">
        <v>2308</v>
      </c>
      <c r="S142" s="3" t="s">
        <v>96</v>
      </c>
      <c r="T142" s="17">
        <v>1.1499999999999999</v>
      </c>
      <c r="U142" s="3" t="s">
        <v>97</v>
      </c>
      <c r="V142" s="3" t="s">
        <v>71</v>
      </c>
      <c r="W142" s="3" t="s">
        <v>98</v>
      </c>
      <c r="X142" s="9" t="str">
        <f>HYPERLINK("http://www.nofoth.com", "www.nofoth.com")</f>
        <v>www.nofoth.com</v>
      </c>
      <c r="Y142" s="9" t="str">
        <f>HYPERLINK("http://www.linkedin.com/company/nofoth-holding-company", "http://www.linkedin.com/company/nofoth-holding-company")</f>
        <v>http://www.linkedin.com/company/nofoth-holding-company</v>
      </c>
      <c r="Z142" s="29" t="s">
        <v>60</v>
      </c>
      <c r="AA142" s="3" t="s">
        <v>60</v>
      </c>
      <c r="AB142" s="3" t="s">
        <v>74</v>
      </c>
      <c r="AC142" s="3" t="s">
        <v>2309</v>
      </c>
      <c r="AD142" s="41">
        <v>2015</v>
      </c>
      <c r="AE142" s="3" t="s">
        <v>60</v>
      </c>
      <c r="AF142" s="53">
        <v>112.7</v>
      </c>
      <c r="AG142" s="53">
        <v>70.959999999999994</v>
      </c>
      <c r="AH142" s="53">
        <v>15.92</v>
      </c>
      <c r="AI142" s="53">
        <v>288.74</v>
      </c>
      <c r="AJ142" s="53">
        <v>24.43</v>
      </c>
      <c r="AK142" s="53">
        <v>15.91</v>
      </c>
      <c r="AL142" s="53">
        <v>224.82</v>
      </c>
      <c r="AM142" s="53">
        <v>-10.93</v>
      </c>
      <c r="AN142" s="65" t="s">
        <v>60</v>
      </c>
      <c r="AO142" s="5" t="s">
        <v>179</v>
      </c>
      <c r="AP142" s="3" t="s">
        <v>2310</v>
      </c>
      <c r="AQ142" s="3" t="s">
        <v>2311</v>
      </c>
      <c r="AR142" s="3" t="s">
        <v>215</v>
      </c>
      <c r="AS142" s="3" t="s">
        <v>60</v>
      </c>
      <c r="AT142" s="3" t="s">
        <v>2312</v>
      </c>
      <c r="AU142" s="3" t="s">
        <v>106</v>
      </c>
      <c r="AV142" s="3" t="s">
        <v>2313</v>
      </c>
      <c r="AW142" s="3" t="s">
        <v>2314</v>
      </c>
      <c r="AX142" s="3" t="s">
        <v>109</v>
      </c>
      <c r="AY142" s="3" t="s">
        <v>60</v>
      </c>
      <c r="AZ142" s="5" t="s">
        <v>2315</v>
      </c>
      <c r="BA142" s="3" t="s">
        <v>87</v>
      </c>
      <c r="BB142" s="5" t="s">
        <v>2312</v>
      </c>
      <c r="BC142" s="5" t="s">
        <v>60</v>
      </c>
      <c r="BD142" s="3" t="s">
        <v>2316</v>
      </c>
      <c r="BE142" s="3" t="s">
        <v>88</v>
      </c>
      <c r="BF142" s="3" t="s">
        <v>88</v>
      </c>
    </row>
    <row r="143" spans="1:58" x14ac:dyDescent="0.2">
      <c r="A143" s="2" t="s">
        <v>2317</v>
      </c>
      <c r="B143" s="2" t="s">
        <v>2318</v>
      </c>
      <c r="C143" s="2" t="s">
        <v>60</v>
      </c>
      <c r="D143" s="2" t="s">
        <v>60</v>
      </c>
      <c r="E143" s="2" t="s">
        <v>60</v>
      </c>
      <c r="F143" s="2" t="s">
        <v>60</v>
      </c>
      <c r="G143" s="2" t="s">
        <v>2319</v>
      </c>
      <c r="H143" s="2" t="s">
        <v>60</v>
      </c>
      <c r="I143" s="2" t="s">
        <v>60</v>
      </c>
      <c r="J143" s="2" t="s">
        <v>60</v>
      </c>
      <c r="K143" s="2" t="s">
        <v>2317</v>
      </c>
      <c r="L143" s="2" t="s">
        <v>2320</v>
      </c>
      <c r="M143" s="2" t="s">
        <v>115</v>
      </c>
      <c r="N143" s="2" t="s">
        <v>208</v>
      </c>
      <c r="O143" s="2" t="s">
        <v>226</v>
      </c>
      <c r="P143" s="2" t="s">
        <v>2321</v>
      </c>
      <c r="Q143" s="2" t="s">
        <v>60</v>
      </c>
      <c r="R143" s="2" t="s">
        <v>2322</v>
      </c>
      <c r="S143" s="2" t="s">
        <v>96</v>
      </c>
      <c r="T143" s="16">
        <v>16.54</v>
      </c>
      <c r="U143" s="2" t="s">
        <v>1516</v>
      </c>
      <c r="V143" s="2" t="s">
        <v>71</v>
      </c>
      <c r="W143" s="2" t="s">
        <v>373</v>
      </c>
      <c r="X143" s="8" t="str">
        <f>HYPERLINK("http://www.leenalkhair.com", "www.leenalkhair.com")</f>
        <v>www.leenalkhair.com</v>
      </c>
      <c r="Y143" s="8" t="str">
        <f>HYPERLINK("http://www.linkedin.com/company/leenalkhair", "http://www.linkedin.com/company/leenalkhair")</f>
        <v>http://www.linkedin.com/company/leenalkhair</v>
      </c>
      <c r="Z143" s="28">
        <v>282</v>
      </c>
      <c r="AA143" s="2" t="s">
        <v>2323</v>
      </c>
      <c r="AB143" s="2" t="s">
        <v>74</v>
      </c>
      <c r="AC143" s="2" t="s">
        <v>2324</v>
      </c>
      <c r="AD143" s="40">
        <v>2006</v>
      </c>
      <c r="AE143" s="2" t="s">
        <v>60</v>
      </c>
      <c r="AF143" s="52">
        <v>69.19</v>
      </c>
      <c r="AG143" s="52">
        <v>4.7</v>
      </c>
      <c r="AH143" s="52">
        <v>-0.91</v>
      </c>
      <c r="AI143" s="52">
        <v>41.27</v>
      </c>
      <c r="AJ143" s="52">
        <v>-0.52</v>
      </c>
      <c r="AK143" s="52">
        <v>-0.52</v>
      </c>
      <c r="AL143" s="52">
        <v>39.99</v>
      </c>
      <c r="AM143" s="52">
        <v>27.86</v>
      </c>
      <c r="AN143" s="64">
        <v>2.12</v>
      </c>
      <c r="AO143" s="4" t="s">
        <v>76</v>
      </c>
      <c r="AP143" s="2" t="s">
        <v>2325</v>
      </c>
      <c r="AQ143" s="2" t="s">
        <v>2326</v>
      </c>
      <c r="AR143" s="2" t="s">
        <v>299</v>
      </c>
      <c r="AS143" s="2" t="s">
        <v>2327</v>
      </c>
      <c r="AT143" s="2" t="s">
        <v>2328</v>
      </c>
      <c r="AU143" s="2" t="s">
        <v>106</v>
      </c>
      <c r="AV143" s="2" t="s">
        <v>2329</v>
      </c>
      <c r="AW143" s="2" t="s">
        <v>60</v>
      </c>
      <c r="AX143" s="2" t="s">
        <v>109</v>
      </c>
      <c r="AY143" s="2" t="s">
        <v>60</v>
      </c>
      <c r="AZ143" s="4" t="s">
        <v>60</v>
      </c>
      <c r="BA143" s="2" t="s">
        <v>87</v>
      </c>
      <c r="BB143" s="4" t="s">
        <v>2328</v>
      </c>
      <c r="BC143" s="4" t="s">
        <v>60</v>
      </c>
      <c r="BD143" s="2" t="s">
        <v>2330</v>
      </c>
      <c r="BE143" s="2" t="s">
        <v>88</v>
      </c>
      <c r="BF143" s="2" t="s">
        <v>88</v>
      </c>
    </row>
    <row r="144" spans="1:58" x14ac:dyDescent="0.2">
      <c r="A144" s="3" t="s">
        <v>2331</v>
      </c>
      <c r="B144" s="3" t="s">
        <v>2332</v>
      </c>
      <c r="C144" s="3" t="s">
        <v>60</v>
      </c>
      <c r="D144" s="3" t="s">
        <v>60</v>
      </c>
      <c r="E144" s="3" t="s">
        <v>60</v>
      </c>
      <c r="F144" s="3" t="s">
        <v>60</v>
      </c>
      <c r="G144" s="3" t="s">
        <v>2333</v>
      </c>
      <c r="H144" s="3" t="s">
        <v>60</v>
      </c>
      <c r="I144" s="3" t="s">
        <v>60</v>
      </c>
      <c r="J144" s="3" t="s">
        <v>60</v>
      </c>
      <c r="K144" s="3" t="s">
        <v>2331</v>
      </c>
      <c r="L144" s="3" t="s">
        <v>2334</v>
      </c>
      <c r="M144" s="3" t="s">
        <v>485</v>
      </c>
      <c r="N144" s="3" t="s">
        <v>486</v>
      </c>
      <c r="O144" s="3" t="s">
        <v>487</v>
      </c>
      <c r="P144" s="3" t="s">
        <v>2335</v>
      </c>
      <c r="Q144" s="3" t="s">
        <v>60</v>
      </c>
      <c r="R144" s="3" t="s">
        <v>2336</v>
      </c>
      <c r="S144" s="3" t="s">
        <v>96</v>
      </c>
      <c r="T144" s="17" t="s">
        <v>60</v>
      </c>
      <c r="U144" s="3" t="s">
        <v>97</v>
      </c>
      <c r="V144" s="3" t="s">
        <v>71</v>
      </c>
      <c r="W144" s="3" t="s">
        <v>98</v>
      </c>
      <c r="X144" s="9" t="str">
        <f>HYPERLINK("http://www.alqemam.com", "www.alqemam.com")</f>
        <v>www.alqemam.com</v>
      </c>
      <c r="Y144" s="9" t="str">
        <f>HYPERLINK("http://www.linkedin.com/company/alqemam", "http://www.linkedin.com/company/alqemam")</f>
        <v>http://www.linkedin.com/company/alqemam</v>
      </c>
      <c r="Z144" s="29">
        <v>71</v>
      </c>
      <c r="AA144" s="3" t="s">
        <v>2337</v>
      </c>
      <c r="AB144" s="3" t="s">
        <v>74</v>
      </c>
      <c r="AC144" s="3" t="s">
        <v>2338</v>
      </c>
      <c r="AD144" s="41">
        <v>2012</v>
      </c>
      <c r="AE144" s="3" t="s">
        <v>60</v>
      </c>
      <c r="AF144" s="53">
        <v>10.37</v>
      </c>
      <c r="AG144" s="53">
        <v>5.3</v>
      </c>
      <c r="AH144" s="53">
        <v>-1.3</v>
      </c>
      <c r="AI144" s="53">
        <v>78.69</v>
      </c>
      <c r="AJ144" s="53">
        <v>-0.95</v>
      </c>
      <c r="AK144" s="53">
        <v>-0.95</v>
      </c>
      <c r="AL144" s="53">
        <v>55.94</v>
      </c>
      <c r="AM144" s="53">
        <v>0.84</v>
      </c>
      <c r="AN144" s="65">
        <v>-25.5</v>
      </c>
      <c r="AO144" s="5" t="s">
        <v>76</v>
      </c>
      <c r="AP144" s="3" t="s">
        <v>2339</v>
      </c>
      <c r="AQ144" s="3" t="s">
        <v>2340</v>
      </c>
      <c r="AR144" s="3" t="s">
        <v>124</v>
      </c>
      <c r="AS144" s="3" t="s">
        <v>2341</v>
      </c>
      <c r="AT144" s="3" t="s">
        <v>2342</v>
      </c>
      <c r="AU144" s="3" t="s">
        <v>2343</v>
      </c>
      <c r="AV144" s="3" t="s">
        <v>2344</v>
      </c>
      <c r="AW144" s="3" t="s">
        <v>60</v>
      </c>
      <c r="AX144" s="3" t="s">
        <v>2345</v>
      </c>
      <c r="AY144" s="3" t="s">
        <v>60</v>
      </c>
      <c r="AZ144" s="5" t="s">
        <v>60</v>
      </c>
      <c r="BA144" s="3" t="s">
        <v>87</v>
      </c>
      <c r="BB144" s="5" t="s">
        <v>2342</v>
      </c>
      <c r="BC144" s="5" t="s">
        <v>60</v>
      </c>
      <c r="BD144" s="3" t="s">
        <v>2346</v>
      </c>
      <c r="BE144" s="3" t="s">
        <v>88</v>
      </c>
      <c r="BF144" s="3" t="s">
        <v>88</v>
      </c>
    </row>
    <row r="145" spans="1:58" x14ac:dyDescent="0.2">
      <c r="A145" s="2" t="s">
        <v>2347</v>
      </c>
      <c r="B145" s="2" t="s">
        <v>2348</v>
      </c>
      <c r="C145" s="2" t="s">
        <v>60</v>
      </c>
      <c r="D145" s="2" t="s">
        <v>60</v>
      </c>
      <c r="E145" s="2" t="s">
        <v>60</v>
      </c>
      <c r="F145" s="2" t="s">
        <v>2349</v>
      </c>
      <c r="G145" s="2" t="s">
        <v>2350</v>
      </c>
      <c r="H145" s="2" t="s">
        <v>60</v>
      </c>
      <c r="I145" s="2" t="s">
        <v>60</v>
      </c>
      <c r="J145" s="2" t="s">
        <v>2351</v>
      </c>
      <c r="K145" s="2" t="s">
        <v>2347</v>
      </c>
      <c r="L145" s="2" t="s">
        <v>2352</v>
      </c>
      <c r="M145" s="2" t="s">
        <v>115</v>
      </c>
      <c r="N145" s="2" t="s">
        <v>116</v>
      </c>
      <c r="O145" s="2" t="s">
        <v>117</v>
      </c>
      <c r="P145" s="2" t="s">
        <v>118</v>
      </c>
      <c r="Q145" s="2" t="s">
        <v>60</v>
      </c>
      <c r="R145" s="2" t="s">
        <v>2353</v>
      </c>
      <c r="S145" s="2" t="s">
        <v>96</v>
      </c>
      <c r="T145" s="16" t="s">
        <v>60</v>
      </c>
      <c r="U145" s="2" t="s">
        <v>97</v>
      </c>
      <c r="V145" s="2" t="s">
        <v>71</v>
      </c>
      <c r="W145" s="2" t="s">
        <v>175</v>
      </c>
      <c r="X145" s="8" t="str">
        <f>HYPERLINK("http://www.daralarkan.com", "www.daralarkan.com")</f>
        <v>www.daralarkan.com</v>
      </c>
      <c r="Y145" s="8" t="str">
        <f>HYPERLINK("http://www.linkedin.com/company/daralarkandevelopment", "http://www.linkedin.com/company/daralarkandevelopment")</f>
        <v>http://www.linkedin.com/company/daralarkandevelopment</v>
      </c>
      <c r="Z145" s="28">
        <v>500</v>
      </c>
      <c r="AA145" s="2" t="s">
        <v>2354</v>
      </c>
      <c r="AB145" s="2" t="s">
        <v>74</v>
      </c>
      <c r="AC145" s="2" t="s">
        <v>2355</v>
      </c>
      <c r="AD145" s="40">
        <v>1994</v>
      </c>
      <c r="AE145" s="2" t="s">
        <v>60</v>
      </c>
      <c r="AF145" s="52">
        <v>1015.79</v>
      </c>
      <c r="AG145" s="52">
        <v>496.23</v>
      </c>
      <c r="AH145" s="52">
        <v>281.41000000000003</v>
      </c>
      <c r="AI145" s="52">
        <v>6999.86</v>
      </c>
      <c r="AJ145" s="52">
        <v>235.64</v>
      </c>
      <c r="AK145" s="52">
        <v>221.21</v>
      </c>
      <c r="AL145" s="52">
        <v>5341.98</v>
      </c>
      <c r="AM145" s="52">
        <v>2061.36</v>
      </c>
      <c r="AN145" s="64">
        <v>21.27</v>
      </c>
      <c r="AO145" s="4" t="s">
        <v>179</v>
      </c>
      <c r="AP145" s="2" t="s">
        <v>2356</v>
      </c>
      <c r="AQ145" s="2" t="s">
        <v>2357</v>
      </c>
      <c r="AR145" s="2" t="s">
        <v>124</v>
      </c>
      <c r="AS145" s="2" t="s">
        <v>2358</v>
      </c>
      <c r="AT145" s="2" t="s">
        <v>60</v>
      </c>
      <c r="AU145" s="2" t="s">
        <v>106</v>
      </c>
      <c r="AV145" s="2" t="s">
        <v>2359</v>
      </c>
      <c r="AW145" s="2" t="s">
        <v>2360</v>
      </c>
      <c r="AX145" s="2" t="s">
        <v>109</v>
      </c>
      <c r="AY145" s="2" t="s">
        <v>60</v>
      </c>
      <c r="AZ145" s="4" t="s">
        <v>1320</v>
      </c>
      <c r="BA145" s="2" t="s">
        <v>87</v>
      </c>
      <c r="BB145" s="4" t="s">
        <v>60</v>
      </c>
      <c r="BC145" s="4" t="s">
        <v>60</v>
      </c>
      <c r="BD145" s="2" t="s">
        <v>2361</v>
      </c>
      <c r="BE145" s="2" t="s">
        <v>88</v>
      </c>
      <c r="BF145" s="2" t="s">
        <v>88</v>
      </c>
    </row>
    <row r="146" spans="1:58" x14ac:dyDescent="0.2">
      <c r="A146" s="3" t="s">
        <v>2362</v>
      </c>
      <c r="B146" s="3" t="s">
        <v>2363</v>
      </c>
      <c r="C146" s="3" t="s">
        <v>60</v>
      </c>
      <c r="D146" s="3" t="s">
        <v>60</v>
      </c>
      <c r="E146" s="3" t="s">
        <v>60</v>
      </c>
      <c r="F146" s="3" t="s">
        <v>2364</v>
      </c>
      <c r="G146" s="3" t="s">
        <v>2365</v>
      </c>
      <c r="H146" s="3" t="s">
        <v>60</v>
      </c>
      <c r="I146" s="3" t="s">
        <v>60</v>
      </c>
      <c r="J146" s="3" t="s">
        <v>60</v>
      </c>
      <c r="K146" s="3" t="s">
        <v>2362</v>
      </c>
      <c r="L146" s="3" t="s">
        <v>2366</v>
      </c>
      <c r="M146" s="3" t="s">
        <v>115</v>
      </c>
      <c r="N146" s="3" t="s">
        <v>116</v>
      </c>
      <c r="O146" s="3" t="s">
        <v>117</v>
      </c>
      <c r="P146" s="3" t="s">
        <v>118</v>
      </c>
      <c r="Q146" s="3" t="s">
        <v>2367</v>
      </c>
      <c r="R146" s="3" t="s">
        <v>2368</v>
      </c>
      <c r="S146" s="3" t="s">
        <v>96</v>
      </c>
      <c r="T146" s="17">
        <v>272.07</v>
      </c>
      <c r="U146" s="3" t="s">
        <v>1516</v>
      </c>
      <c r="V146" s="3" t="s">
        <v>71</v>
      </c>
      <c r="W146" s="3" t="s">
        <v>98</v>
      </c>
      <c r="X146" s="9" t="str">
        <f>HYPERLINK("http://www.madinahkec.com", "www.madinahkec.com")</f>
        <v>www.madinahkec.com</v>
      </c>
      <c r="Y146" s="9" t="str">
        <f>HYPERLINK("http://www.linkedin.com/company/madinahkec", "http://www.linkedin.com/company/madinahkec")</f>
        <v>http://www.linkedin.com/company/madinahkec</v>
      </c>
      <c r="Z146" s="29">
        <v>43</v>
      </c>
      <c r="AA146" s="3" t="s">
        <v>2369</v>
      </c>
      <c r="AB146" s="3" t="s">
        <v>74</v>
      </c>
      <c r="AC146" s="3" t="s">
        <v>2370</v>
      </c>
      <c r="AD146" s="41">
        <v>2006</v>
      </c>
      <c r="AE146" s="3" t="s">
        <v>60</v>
      </c>
      <c r="AF146" s="53">
        <v>92.82</v>
      </c>
      <c r="AG146" s="53">
        <v>35.659999999999997</v>
      </c>
      <c r="AH146" s="53">
        <v>-0.01</v>
      </c>
      <c r="AI146" s="53">
        <v>1644.13</v>
      </c>
      <c r="AJ146" s="53">
        <v>3.36</v>
      </c>
      <c r="AK146" s="53">
        <v>2.52</v>
      </c>
      <c r="AL146" s="53">
        <v>1158.6099999999999</v>
      </c>
      <c r="AM146" s="53">
        <v>504.25</v>
      </c>
      <c r="AN146" s="65">
        <v>596.96</v>
      </c>
      <c r="AO146" s="5" t="s">
        <v>179</v>
      </c>
      <c r="AP146" s="3" t="s">
        <v>2371</v>
      </c>
      <c r="AQ146" s="3" t="s">
        <v>2372</v>
      </c>
      <c r="AR146" s="3" t="s">
        <v>79</v>
      </c>
      <c r="AS146" s="3" t="s">
        <v>2373</v>
      </c>
      <c r="AT146" s="3" t="s">
        <v>2374</v>
      </c>
      <c r="AU146" s="3" t="s">
        <v>553</v>
      </c>
      <c r="AV146" s="3" t="s">
        <v>2375</v>
      </c>
      <c r="AW146" s="3" t="s">
        <v>1032</v>
      </c>
      <c r="AX146" s="3" t="s">
        <v>556</v>
      </c>
      <c r="AY146" s="3" t="s">
        <v>60</v>
      </c>
      <c r="AZ146" s="5" t="s">
        <v>2376</v>
      </c>
      <c r="BA146" s="3" t="s">
        <v>87</v>
      </c>
      <c r="BB146" s="5" t="s">
        <v>2374</v>
      </c>
      <c r="BC146" s="5" t="s">
        <v>2377</v>
      </c>
      <c r="BD146" s="3" t="s">
        <v>2378</v>
      </c>
      <c r="BE146" s="3" t="s">
        <v>88</v>
      </c>
      <c r="BF146" s="3" t="s">
        <v>88</v>
      </c>
    </row>
    <row r="147" spans="1:58" x14ac:dyDescent="0.2">
      <c r="A147" s="2" t="s">
        <v>2379</v>
      </c>
      <c r="B147" s="2" t="s">
        <v>2380</v>
      </c>
      <c r="C147" s="2" t="s">
        <v>60</v>
      </c>
      <c r="D147" s="2" t="s">
        <v>60</v>
      </c>
      <c r="E147" s="2" t="s">
        <v>60</v>
      </c>
      <c r="F147" s="2" t="s">
        <v>60</v>
      </c>
      <c r="G147" s="2" t="s">
        <v>2381</v>
      </c>
      <c r="H147" s="2" t="s">
        <v>60</v>
      </c>
      <c r="I147" s="2" t="s">
        <v>60</v>
      </c>
      <c r="J147" s="2" t="s">
        <v>60</v>
      </c>
      <c r="K147" s="2" t="s">
        <v>2379</v>
      </c>
      <c r="L147" s="2" t="s">
        <v>2382</v>
      </c>
      <c r="M147" s="2" t="s">
        <v>115</v>
      </c>
      <c r="N147" s="2" t="s">
        <v>275</v>
      </c>
      <c r="O147" s="2" t="s">
        <v>2383</v>
      </c>
      <c r="P147" s="2" t="s">
        <v>2384</v>
      </c>
      <c r="Q147" s="2" t="s">
        <v>821</v>
      </c>
      <c r="R147" s="2" t="s">
        <v>2385</v>
      </c>
      <c r="S147" s="2" t="s">
        <v>96</v>
      </c>
      <c r="T147" s="16">
        <v>320.57</v>
      </c>
      <c r="U147" s="2" t="s">
        <v>97</v>
      </c>
      <c r="V147" s="2" t="s">
        <v>71</v>
      </c>
      <c r="W147" s="2" t="s">
        <v>98</v>
      </c>
      <c r="X147" s="8" t="str">
        <f>HYPERLINK("http://www.alsaifgallery.com", "www.alsaifgallery.com")</f>
        <v>www.alsaifgallery.com</v>
      </c>
      <c r="Y147" s="8" t="str">
        <f>HYPERLINK("http://www.linkedin.com/company/alsaifgallery", "http://www.linkedin.com/company/alsaifgallery")</f>
        <v>http://www.linkedin.com/company/alsaifgallery</v>
      </c>
      <c r="Z147" s="28">
        <v>1222</v>
      </c>
      <c r="AA147" s="2" t="s">
        <v>2386</v>
      </c>
      <c r="AB147" s="2" t="s">
        <v>74</v>
      </c>
      <c r="AC147" s="2" t="s">
        <v>2387</v>
      </c>
      <c r="AD147" s="40">
        <v>1993</v>
      </c>
      <c r="AE147" s="2" t="s">
        <v>60</v>
      </c>
      <c r="AF147" s="52">
        <v>191.14</v>
      </c>
      <c r="AG147" s="52">
        <v>35.119999999999997</v>
      </c>
      <c r="AH147" s="52">
        <v>13.87</v>
      </c>
      <c r="AI147" s="52">
        <v>684.69</v>
      </c>
      <c r="AJ147" s="52">
        <v>35.299999999999997</v>
      </c>
      <c r="AK147" s="52">
        <v>19.809999999999999</v>
      </c>
      <c r="AL147" s="52">
        <v>581.73</v>
      </c>
      <c r="AM147" s="52">
        <v>42.4</v>
      </c>
      <c r="AN147" s="64">
        <v>-7.61</v>
      </c>
      <c r="AO147" s="4" t="s">
        <v>179</v>
      </c>
      <c r="AP147" s="2" t="s">
        <v>2388</v>
      </c>
      <c r="AQ147" s="2" t="s">
        <v>2389</v>
      </c>
      <c r="AR147" s="2" t="s">
        <v>299</v>
      </c>
      <c r="AS147" s="2" t="s">
        <v>2390</v>
      </c>
      <c r="AT147" s="2" t="s">
        <v>2391</v>
      </c>
      <c r="AU147" s="2" t="s">
        <v>106</v>
      </c>
      <c r="AV147" s="2" t="s">
        <v>2392</v>
      </c>
      <c r="AW147" s="2" t="s">
        <v>2393</v>
      </c>
      <c r="AX147" s="2" t="s">
        <v>109</v>
      </c>
      <c r="AY147" s="2" t="s">
        <v>60</v>
      </c>
      <c r="AZ147" s="4" t="s">
        <v>2394</v>
      </c>
      <c r="BA147" s="2" t="s">
        <v>87</v>
      </c>
      <c r="BB147" s="4" t="s">
        <v>2391</v>
      </c>
      <c r="BC147" s="4" t="s">
        <v>2395</v>
      </c>
      <c r="BD147" s="2" t="s">
        <v>2396</v>
      </c>
      <c r="BE147" s="2" t="s">
        <v>88</v>
      </c>
      <c r="BF147" s="2" t="s">
        <v>88</v>
      </c>
    </row>
    <row r="148" spans="1:58" x14ac:dyDescent="0.2">
      <c r="A148" s="3" t="s">
        <v>2397</v>
      </c>
      <c r="B148" s="3" t="s">
        <v>2398</v>
      </c>
      <c r="C148" s="3" t="s">
        <v>60</v>
      </c>
      <c r="D148" s="3" t="s">
        <v>60</v>
      </c>
      <c r="E148" s="3" t="s">
        <v>60</v>
      </c>
      <c r="F148" s="3" t="s">
        <v>2399</v>
      </c>
      <c r="G148" s="3" t="s">
        <v>2400</v>
      </c>
      <c r="H148" s="3" t="s">
        <v>60</v>
      </c>
      <c r="I148" s="3" t="s">
        <v>60</v>
      </c>
      <c r="J148" s="3" t="s">
        <v>60</v>
      </c>
      <c r="K148" s="3" t="s">
        <v>2397</v>
      </c>
      <c r="L148" s="3" t="s">
        <v>2401</v>
      </c>
      <c r="M148" s="3" t="s">
        <v>241</v>
      </c>
      <c r="N148" s="3" t="s">
        <v>839</v>
      </c>
      <c r="O148" s="3" t="s">
        <v>2402</v>
      </c>
      <c r="P148" s="3" t="s">
        <v>2403</v>
      </c>
      <c r="Q148" s="3" t="s">
        <v>1392</v>
      </c>
      <c r="R148" s="3" t="s">
        <v>2404</v>
      </c>
      <c r="S148" s="3" t="s">
        <v>372</v>
      </c>
      <c r="T148" s="17">
        <v>1315.31</v>
      </c>
      <c r="U148" s="3" t="s">
        <v>97</v>
      </c>
      <c r="V148" s="3" t="s">
        <v>71</v>
      </c>
      <c r="W148" s="3" t="s">
        <v>72</v>
      </c>
      <c r="X148" s="9" t="str">
        <f>HYPERLINK("http://www.luberef.com", "www.luberef.com")</f>
        <v>www.luberef.com</v>
      </c>
      <c r="Y148" s="9" t="str">
        <f>HYPERLINK("http://www.linkedin.com/company/luberef", "http://www.linkedin.com/company/luberef")</f>
        <v>http://www.linkedin.com/company/luberef</v>
      </c>
      <c r="Z148" s="29">
        <v>729</v>
      </c>
      <c r="AA148" s="3" t="s">
        <v>2405</v>
      </c>
      <c r="AB148" s="3" t="s">
        <v>74</v>
      </c>
      <c r="AC148" s="3" t="s">
        <v>2406</v>
      </c>
      <c r="AD148" s="41">
        <v>1976</v>
      </c>
      <c r="AE148" s="3" t="s">
        <v>60</v>
      </c>
      <c r="AF148" s="53">
        <v>2439.12</v>
      </c>
      <c r="AG148" s="53">
        <v>348.81</v>
      </c>
      <c r="AH148" s="53">
        <v>253.93</v>
      </c>
      <c r="AI148" s="53">
        <v>4073.34</v>
      </c>
      <c r="AJ148" s="53">
        <v>354.54</v>
      </c>
      <c r="AK148" s="53">
        <v>286.52999999999997</v>
      </c>
      <c r="AL148" s="53">
        <v>4638.47</v>
      </c>
      <c r="AM148" s="53">
        <v>43.99</v>
      </c>
      <c r="AN148" s="65">
        <v>-7.82</v>
      </c>
      <c r="AO148" s="5" t="s">
        <v>179</v>
      </c>
      <c r="AP148" s="3" t="s">
        <v>2407</v>
      </c>
      <c r="AQ148" s="3" t="s">
        <v>2408</v>
      </c>
      <c r="AR148" s="3" t="s">
        <v>1874</v>
      </c>
      <c r="AS148" s="3" t="s">
        <v>60</v>
      </c>
      <c r="AT148" s="3" t="s">
        <v>2409</v>
      </c>
      <c r="AU148" s="3" t="s">
        <v>82</v>
      </c>
      <c r="AV148" s="3" t="s">
        <v>2410</v>
      </c>
      <c r="AW148" s="3" t="s">
        <v>2411</v>
      </c>
      <c r="AX148" s="3" t="s">
        <v>85</v>
      </c>
      <c r="AY148" s="3" t="s">
        <v>60</v>
      </c>
      <c r="AZ148" s="5" t="s">
        <v>2412</v>
      </c>
      <c r="BA148" s="3" t="s">
        <v>87</v>
      </c>
      <c r="BB148" s="5" t="s">
        <v>2409</v>
      </c>
      <c r="BC148" s="5" t="s">
        <v>2413</v>
      </c>
      <c r="BD148" s="3" t="s">
        <v>60</v>
      </c>
      <c r="BE148" s="3" t="s">
        <v>88</v>
      </c>
      <c r="BF148" s="3" t="s">
        <v>88</v>
      </c>
    </row>
    <row r="149" spans="1:58" x14ac:dyDescent="0.2">
      <c r="A149" s="2" t="s">
        <v>2415</v>
      </c>
      <c r="B149" s="2" t="s">
        <v>2416</v>
      </c>
      <c r="C149" s="2" t="s">
        <v>60</v>
      </c>
      <c r="D149" s="2" t="s">
        <v>60</v>
      </c>
      <c r="E149" s="2" t="s">
        <v>60</v>
      </c>
      <c r="F149" s="2" t="s">
        <v>60</v>
      </c>
      <c r="G149" s="2" t="s">
        <v>2417</v>
      </c>
      <c r="H149" s="2" t="s">
        <v>60</v>
      </c>
      <c r="I149" s="2" t="s">
        <v>60</v>
      </c>
      <c r="J149" s="2" t="s">
        <v>60</v>
      </c>
      <c r="K149" s="2" t="s">
        <v>2415</v>
      </c>
      <c r="L149" s="2" t="s">
        <v>2418</v>
      </c>
      <c r="M149" s="2" t="s">
        <v>485</v>
      </c>
      <c r="N149" s="2" t="s">
        <v>1023</v>
      </c>
      <c r="O149" s="2" t="s">
        <v>2419</v>
      </c>
      <c r="P149" s="2" t="s">
        <v>2420</v>
      </c>
      <c r="Q149" s="2" t="s">
        <v>2421</v>
      </c>
      <c r="R149" s="2" t="s">
        <v>2422</v>
      </c>
      <c r="S149" s="2" t="s">
        <v>96</v>
      </c>
      <c r="T149" s="16" t="s">
        <v>60</v>
      </c>
      <c r="U149" s="2" t="s">
        <v>97</v>
      </c>
      <c r="V149" s="2" t="s">
        <v>71</v>
      </c>
      <c r="W149" s="2" t="s">
        <v>98</v>
      </c>
      <c r="X149" s="8" t="str">
        <f>HYPERLINK("http://www.edaratgroup.com", "www.edaratgroup.com")</f>
        <v>www.edaratgroup.com</v>
      </c>
      <c r="Y149" s="8" t="str">
        <f>HYPERLINK("http://www.linkedin.com/company/edarat-group", "http://www.linkedin.com/company/edarat-group")</f>
        <v>http://www.linkedin.com/company/edarat-group</v>
      </c>
      <c r="Z149" s="28" t="s">
        <v>60</v>
      </c>
      <c r="AA149" s="2" t="s">
        <v>60</v>
      </c>
      <c r="AB149" s="2" t="s">
        <v>74</v>
      </c>
      <c r="AC149" s="2" t="s">
        <v>2423</v>
      </c>
      <c r="AD149" s="40">
        <v>2008</v>
      </c>
      <c r="AE149" s="2" t="s">
        <v>60</v>
      </c>
      <c r="AF149" s="52">
        <v>35.700000000000003</v>
      </c>
      <c r="AG149" s="52">
        <v>14</v>
      </c>
      <c r="AH149" s="52">
        <v>7.54</v>
      </c>
      <c r="AI149" s="52">
        <v>323.42</v>
      </c>
      <c r="AJ149" s="52">
        <v>9.64</v>
      </c>
      <c r="AK149" s="52">
        <v>8.56</v>
      </c>
      <c r="AL149" s="52">
        <v>468.92</v>
      </c>
      <c r="AM149" s="52">
        <v>-3.28</v>
      </c>
      <c r="AN149" s="64">
        <v>55.96</v>
      </c>
      <c r="AO149" s="4" t="s">
        <v>76</v>
      </c>
      <c r="AP149" s="2" t="s">
        <v>2424</v>
      </c>
      <c r="AQ149" s="2" t="s">
        <v>2425</v>
      </c>
      <c r="AR149" s="2" t="s">
        <v>2426</v>
      </c>
      <c r="AS149" s="2" t="s">
        <v>2427</v>
      </c>
      <c r="AT149" s="2" t="s">
        <v>2428</v>
      </c>
      <c r="AU149" s="2" t="s">
        <v>106</v>
      </c>
      <c r="AV149" s="2" t="s">
        <v>2429</v>
      </c>
      <c r="AW149" s="2" t="s">
        <v>1847</v>
      </c>
      <c r="AX149" s="2" t="s">
        <v>109</v>
      </c>
      <c r="AY149" s="2" t="s">
        <v>60</v>
      </c>
      <c r="AZ149" s="4" t="s">
        <v>689</v>
      </c>
      <c r="BA149" s="2" t="s">
        <v>87</v>
      </c>
      <c r="BB149" s="4" t="s">
        <v>2428</v>
      </c>
      <c r="BC149" s="4" t="s">
        <v>2430</v>
      </c>
      <c r="BD149" s="2" t="s">
        <v>60</v>
      </c>
      <c r="BE149" s="2" t="s">
        <v>88</v>
      </c>
      <c r="BF149" s="2" t="s">
        <v>88</v>
      </c>
    </row>
    <row r="150" spans="1:58" x14ac:dyDescent="0.2">
      <c r="A150" s="3" t="s">
        <v>2431</v>
      </c>
      <c r="B150" s="3" t="s">
        <v>2432</v>
      </c>
      <c r="C150" s="3" t="s">
        <v>60</v>
      </c>
      <c r="D150" s="3" t="s">
        <v>60</v>
      </c>
      <c r="E150" s="3" t="s">
        <v>60</v>
      </c>
      <c r="F150" s="3" t="s">
        <v>60</v>
      </c>
      <c r="G150" s="3" t="s">
        <v>2433</v>
      </c>
      <c r="H150" s="3" t="s">
        <v>60</v>
      </c>
      <c r="I150" s="3" t="s">
        <v>60</v>
      </c>
      <c r="J150" s="3" t="s">
        <v>60</v>
      </c>
      <c r="K150" s="3" t="s">
        <v>2431</v>
      </c>
      <c r="L150" s="3" t="s">
        <v>2434</v>
      </c>
      <c r="M150" s="3" t="s">
        <v>241</v>
      </c>
      <c r="N150" s="3" t="s">
        <v>2435</v>
      </c>
      <c r="O150" s="3" t="s">
        <v>2435</v>
      </c>
      <c r="P150" s="3" t="s">
        <v>2436</v>
      </c>
      <c r="Q150" s="3" t="s">
        <v>1392</v>
      </c>
      <c r="R150" s="3" t="s">
        <v>2437</v>
      </c>
      <c r="S150" s="3" t="s">
        <v>96</v>
      </c>
      <c r="T150" s="17">
        <v>31.07</v>
      </c>
      <c r="U150" s="3" t="s">
        <v>97</v>
      </c>
      <c r="V150" s="3" t="s">
        <v>71</v>
      </c>
      <c r="W150" s="3" t="s">
        <v>98</v>
      </c>
      <c r="X150" s="9" t="str">
        <f>HYPERLINK("http://www.stp.com.sa", "www.stp.com.sa")</f>
        <v>www.stp.com.sa</v>
      </c>
      <c r="Y150" s="9" t="str">
        <f>HYPERLINK("http://www.linkedin.com/company/sauditop", "http://www.linkedin.com/company/sauditop")</f>
        <v>http://www.linkedin.com/company/sauditop</v>
      </c>
      <c r="Z150" s="29">
        <v>47</v>
      </c>
      <c r="AA150" s="3" t="s">
        <v>2438</v>
      </c>
      <c r="AB150" s="3" t="s">
        <v>74</v>
      </c>
      <c r="AC150" s="3" t="s">
        <v>2439</v>
      </c>
      <c r="AD150" s="41">
        <v>2007</v>
      </c>
      <c r="AE150" s="3" t="s">
        <v>60</v>
      </c>
      <c r="AF150" s="53">
        <v>48</v>
      </c>
      <c r="AG150" s="53">
        <v>7.04</v>
      </c>
      <c r="AH150" s="53">
        <v>2.02</v>
      </c>
      <c r="AI150" s="53">
        <v>84.25</v>
      </c>
      <c r="AJ150" s="53">
        <v>4.05</v>
      </c>
      <c r="AK150" s="53">
        <v>2.61</v>
      </c>
      <c r="AL150" s="53">
        <v>73.3</v>
      </c>
      <c r="AM150" s="53">
        <v>0.52</v>
      </c>
      <c r="AN150" s="65">
        <v>21.44</v>
      </c>
      <c r="AO150" s="5" t="s">
        <v>76</v>
      </c>
      <c r="AP150" s="3" t="s">
        <v>2440</v>
      </c>
      <c r="AQ150" s="3" t="s">
        <v>2441</v>
      </c>
      <c r="AR150" s="3" t="s">
        <v>79</v>
      </c>
      <c r="AS150" s="3" t="s">
        <v>2442</v>
      </c>
      <c r="AT150" s="3" t="s">
        <v>2443</v>
      </c>
      <c r="AU150" s="3" t="s">
        <v>106</v>
      </c>
      <c r="AV150" s="3" t="s">
        <v>2444</v>
      </c>
      <c r="AW150" s="3" t="s">
        <v>60</v>
      </c>
      <c r="AX150" s="3" t="s">
        <v>109</v>
      </c>
      <c r="AY150" s="3" t="s">
        <v>60</v>
      </c>
      <c r="AZ150" s="5" t="s">
        <v>2445</v>
      </c>
      <c r="BA150" s="3" t="s">
        <v>87</v>
      </c>
      <c r="BB150" s="5" t="s">
        <v>2443</v>
      </c>
      <c r="BC150" s="5" t="s">
        <v>2446</v>
      </c>
      <c r="BD150" s="3" t="s">
        <v>2447</v>
      </c>
      <c r="BE150" s="3" t="s">
        <v>88</v>
      </c>
      <c r="BF150" s="3" t="s">
        <v>88</v>
      </c>
    </row>
    <row r="151" spans="1:58" x14ac:dyDescent="0.2">
      <c r="A151" s="2" t="s">
        <v>2448</v>
      </c>
      <c r="B151" s="2" t="s">
        <v>2449</v>
      </c>
      <c r="C151" s="2" t="s">
        <v>60</v>
      </c>
      <c r="D151" s="2" t="s">
        <v>60</v>
      </c>
      <c r="E151" s="2" t="s">
        <v>60</v>
      </c>
      <c r="F151" s="2" t="s">
        <v>60</v>
      </c>
      <c r="G151" s="2" t="s">
        <v>2450</v>
      </c>
      <c r="H151" s="2" t="s">
        <v>60</v>
      </c>
      <c r="I151" s="2" t="s">
        <v>60</v>
      </c>
      <c r="J151" s="2" t="s">
        <v>60</v>
      </c>
      <c r="K151" s="2" t="s">
        <v>2448</v>
      </c>
      <c r="L151" s="2" t="s">
        <v>2451</v>
      </c>
      <c r="M151" s="2" t="s">
        <v>63</v>
      </c>
      <c r="N151" s="2" t="s">
        <v>64</v>
      </c>
      <c r="O151" s="2" t="s">
        <v>1128</v>
      </c>
      <c r="P151" s="2" t="s">
        <v>2452</v>
      </c>
      <c r="Q151" s="2" t="s">
        <v>60</v>
      </c>
      <c r="R151" s="2" t="s">
        <v>2453</v>
      </c>
      <c r="S151" s="2" t="s">
        <v>96</v>
      </c>
      <c r="T151" s="16">
        <v>3.39</v>
      </c>
      <c r="U151" s="2" t="s">
        <v>1516</v>
      </c>
      <c r="V151" s="2" t="s">
        <v>71</v>
      </c>
      <c r="W151" s="2" t="s">
        <v>98</v>
      </c>
      <c r="X151" s="8" t="str">
        <f>HYPERLINK("http://www.molansteel.com", "www.molansteel.com")</f>
        <v>www.molansteel.com</v>
      </c>
      <c r="Y151" s="2" t="s">
        <v>60</v>
      </c>
      <c r="Z151" s="28" t="s">
        <v>60</v>
      </c>
      <c r="AA151" s="2" t="s">
        <v>60</v>
      </c>
      <c r="AB151" s="2" t="s">
        <v>74</v>
      </c>
      <c r="AC151" s="2" t="s">
        <v>2454</v>
      </c>
      <c r="AD151" s="40">
        <v>2015</v>
      </c>
      <c r="AE151" s="2" t="s">
        <v>60</v>
      </c>
      <c r="AF151" s="52">
        <v>21.24</v>
      </c>
      <c r="AG151" s="52">
        <v>1.2</v>
      </c>
      <c r="AH151" s="52">
        <v>-1.97</v>
      </c>
      <c r="AI151" s="52">
        <v>23.67</v>
      </c>
      <c r="AJ151" s="52">
        <v>-1.77</v>
      </c>
      <c r="AK151" s="52">
        <v>-1.77</v>
      </c>
      <c r="AL151" s="52">
        <v>11.05</v>
      </c>
      <c r="AM151" s="52">
        <v>0</v>
      </c>
      <c r="AN151" s="64">
        <v>-6.75</v>
      </c>
      <c r="AO151" s="4" t="s">
        <v>76</v>
      </c>
      <c r="AP151" s="2" t="s">
        <v>2455</v>
      </c>
      <c r="AQ151" s="2" t="s">
        <v>2456</v>
      </c>
      <c r="AR151" s="2" t="s">
        <v>124</v>
      </c>
      <c r="AS151" s="2" t="s">
        <v>60</v>
      </c>
      <c r="AT151" s="2" t="s">
        <v>2457</v>
      </c>
      <c r="AU151" s="2" t="s">
        <v>106</v>
      </c>
      <c r="AV151" s="2" t="s">
        <v>2458</v>
      </c>
      <c r="AW151" s="2" t="s">
        <v>2459</v>
      </c>
      <c r="AX151" s="2" t="s">
        <v>109</v>
      </c>
      <c r="AY151" s="2" t="s">
        <v>60</v>
      </c>
      <c r="AZ151" s="4" t="s">
        <v>2460</v>
      </c>
      <c r="BA151" s="2" t="s">
        <v>87</v>
      </c>
      <c r="BB151" s="4" t="s">
        <v>2457</v>
      </c>
      <c r="BC151" s="4" t="s">
        <v>2461</v>
      </c>
      <c r="BD151" s="2" t="s">
        <v>2462</v>
      </c>
      <c r="BE151" s="2" t="s">
        <v>88</v>
      </c>
      <c r="BF151" s="2" t="s">
        <v>88</v>
      </c>
    </row>
    <row r="152" spans="1:58" x14ac:dyDescent="0.2">
      <c r="A152" s="3" t="s">
        <v>2463</v>
      </c>
      <c r="B152" s="3" t="s">
        <v>2464</v>
      </c>
      <c r="C152" s="3" t="s">
        <v>60</v>
      </c>
      <c r="D152" s="3" t="s">
        <v>60</v>
      </c>
      <c r="E152" s="3" t="s">
        <v>60</v>
      </c>
      <c r="F152" s="3" t="s">
        <v>60</v>
      </c>
      <c r="G152" s="3" t="s">
        <v>2465</v>
      </c>
      <c r="H152" s="3" t="s">
        <v>60</v>
      </c>
      <c r="I152" s="3" t="s">
        <v>60</v>
      </c>
      <c r="J152" s="3" t="s">
        <v>60</v>
      </c>
      <c r="K152" s="3" t="s">
        <v>2463</v>
      </c>
      <c r="L152" s="3" t="s">
        <v>2466</v>
      </c>
      <c r="M152" s="3" t="s">
        <v>1175</v>
      </c>
      <c r="N152" s="3" t="s">
        <v>2467</v>
      </c>
      <c r="O152" s="3" t="s">
        <v>2468</v>
      </c>
      <c r="P152" s="3" t="s">
        <v>2469</v>
      </c>
      <c r="Q152" s="3" t="s">
        <v>2470</v>
      </c>
      <c r="R152" s="3" t="s">
        <v>2471</v>
      </c>
      <c r="S152" s="3" t="s">
        <v>96</v>
      </c>
      <c r="T152" s="17">
        <v>376.78</v>
      </c>
      <c r="U152" s="3" t="s">
        <v>97</v>
      </c>
      <c r="V152" s="3" t="s">
        <v>71</v>
      </c>
      <c r="W152" s="3" t="s">
        <v>98</v>
      </c>
      <c r="X152" s="9" t="str">
        <f>HYPERLINK("http://www.riyadh-cables.com", "www.riyadh-cables.com")</f>
        <v>www.riyadh-cables.com</v>
      </c>
      <c r="Y152" s="9" t="str">
        <f>HYPERLINK("http://www.linkedin.com/company/riyadhcablessa", "http://www.linkedin.com/company/riyadhcablessa")</f>
        <v>http://www.linkedin.com/company/riyadhcablessa</v>
      </c>
      <c r="Z152" s="29">
        <v>427</v>
      </c>
      <c r="AA152" s="3" t="s">
        <v>2472</v>
      </c>
      <c r="AB152" s="3" t="s">
        <v>74</v>
      </c>
      <c r="AC152" s="3" t="s">
        <v>2473</v>
      </c>
      <c r="AD152" s="41">
        <v>1984</v>
      </c>
      <c r="AE152" s="3" t="s">
        <v>60</v>
      </c>
      <c r="AF152" s="53">
        <v>2776.22</v>
      </c>
      <c r="AG152" s="53">
        <v>437.7</v>
      </c>
      <c r="AH152" s="53">
        <v>284.7</v>
      </c>
      <c r="AI152" s="53">
        <v>5238.2299999999996</v>
      </c>
      <c r="AJ152" s="53">
        <v>348.91</v>
      </c>
      <c r="AK152" s="53">
        <v>329.05</v>
      </c>
      <c r="AL152" s="53">
        <v>5144.33</v>
      </c>
      <c r="AM152" s="53">
        <v>125.63</v>
      </c>
      <c r="AN152" s="65">
        <v>24.05</v>
      </c>
      <c r="AO152" s="5" t="s">
        <v>179</v>
      </c>
      <c r="AP152" s="3" t="s">
        <v>2474</v>
      </c>
      <c r="AQ152" s="3" t="s">
        <v>2475</v>
      </c>
      <c r="AR152" s="3" t="s">
        <v>2476</v>
      </c>
      <c r="AS152" s="3" t="s">
        <v>2477</v>
      </c>
      <c r="AT152" s="3" t="s">
        <v>2478</v>
      </c>
      <c r="AU152" s="3" t="s">
        <v>106</v>
      </c>
      <c r="AV152" s="3" t="s">
        <v>2479</v>
      </c>
      <c r="AW152" s="3" t="s">
        <v>2480</v>
      </c>
      <c r="AX152" s="3" t="s">
        <v>109</v>
      </c>
      <c r="AY152" s="3" t="s">
        <v>60</v>
      </c>
      <c r="AZ152" s="5" t="s">
        <v>2481</v>
      </c>
      <c r="BA152" s="3" t="s">
        <v>87</v>
      </c>
      <c r="BB152" s="5" t="s">
        <v>2478</v>
      </c>
      <c r="BC152" s="5" t="s">
        <v>60</v>
      </c>
      <c r="BD152" s="3" t="s">
        <v>2482</v>
      </c>
      <c r="BE152" s="3" t="s">
        <v>88</v>
      </c>
      <c r="BF152" s="3" t="s">
        <v>88</v>
      </c>
    </row>
    <row r="153" spans="1:58" x14ac:dyDescent="0.2">
      <c r="A153" s="2" t="s">
        <v>2483</v>
      </c>
      <c r="B153" s="2" t="s">
        <v>2484</v>
      </c>
      <c r="C153" s="2" t="s">
        <v>60</v>
      </c>
      <c r="D153" s="2" t="s">
        <v>60</v>
      </c>
      <c r="E153" s="2" t="s">
        <v>60</v>
      </c>
      <c r="F153" s="2" t="s">
        <v>60</v>
      </c>
      <c r="G153" s="2" t="s">
        <v>2485</v>
      </c>
      <c r="H153" s="2" t="s">
        <v>60</v>
      </c>
      <c r="I153" s="2" t="s">
        <v>60</v>
      </c>
      <c r="J153" s="2" t="s">
        <v>60</v>
      </c>
      <c r="K153" s="2" t="s">
        <v>2483</v>
      </c>
      <c r="L153" s="2" t="s">
        <v>2486</v>
      </c>
      <c r="M153" s="2" t="s">
        <v>134</v>
      </c>
      <c r="N153" s="2" t="s">
        <v>135</v>
      </c>
      <c r="O153" s="2" t="s">
        <v>2275</v>
      </c>
      <c r="P153" s="2" t="s">
        <v>2276</v>
      </c>
      <c r="Q153" s="2" t="s">
        <v>60</v>
      </c>
      <c r="R153" s="2" t="s">
        <v>2487</v>
      </c>
      <c r="S153" s="2" t="s">
        <v>96</v>
      </c>
      <c r="T153" s="16" t="s">
        <v>60</v>
      </c>
      <c r="U153" s="2" t="s">
        <v>97</v>
      </c>
      <c r="V153" s="2" t="s">
        <v>71</v>
      </c>
      <c r="W153" s="2" t="s">
        <v>98</v>
      </c>
      <c r="X153" s="2" t="s">
        <v>60</v>
      </c>
      <c r="Y153" s="2" t="s">
        <v>60</v>
      </c>
      <c r="Z153" s="28" t="s">
        <v>60</v>
      </c>
      <c r="AA153" s="2" t="s">
        <v>60</v>
      </c>
      <c r="AB153" s="2" t="s">
        <v>74</v>
      </c>
      <c r="AC153" s="2" t="s">
        <v>2488</v>
      </c>
      <c r="AD153" s="40">
        <v>2022</v>
      </c>
      <c r="AE153" s="2" t="s">
        <v>60</v>
      </c>
      <c r="AF153" s="52">
        <v>5.31</v>
      </c>
      <c r="AG153" s="52">
        <v>4.5</v>
      </c>
      <c r="AH153" s="52">
        <v>3.21</v>
      </c>
      <c r="AI153" s="52">
        <v>45.74</v>
      </c>
      <c r="AJ153" s="52">
        <v>3.62</v>
      </c>
      <c r="AK153" s="52">
        <v>3.21</v>
      </c>
      <c r="AL153" s="52">
        <v>51.13</v>
      </c>
      <c r="AM153" s="52">
        <v>-2.41</v>
      </c>
      <c r="AN153" s="64" t="s">
        <v>60</v>
      </c>
      <c r="AO153" s="4" t="s">
        <v>76</v>
      </c>
      <c r="AP153" s="2" t="s">
        <v>2489</v>
      </c>
      <c r="AQ153" s="2" t="s">
        <v>2490</v>
      </c>
      <c r="AR153" s="2" t="s">
        <v>1874</v>
      </c>
      <c r="AS153" s="2" t="s">
        <v>60</v>
      </c>
      <c r="AT153" s="2" t="s">
        <v>2491</v>
      </c>
      <c r="AU153" s="2" t="s">
        <v>106</v>
      </c>
      <c r="AV153" s="2" t="s">
        <v>2492</v>
      </c>
      <c r="AW153" s="2" t="s">
        <v>60</v>
      </c>
      <c r="AX153" s="2" t="s">
        <v>109</v>
      </c>
      <c r="AY153" s="2" t="s">
        <v>60</v>
      </c>
      <c r="AZ153" s="4" t="s">
        <v>1925</v>
      </c>
      <c r="BA153" s="2" t="s">
        <v>87</v>
      </c>
      <c r="BB153" s="4" t="s">
        <v>2491</v>
      </c>
      <c r="BC153" s="4" t="s">
        <v>2493</v>
      </c>
      <c r="BD153" s="2" t="s">
        <v>2494</v>
      </c>
      <c r="BE153" s="2" t="s">
        <v>88</v>
      </c>
      <c r="BF153" s="2" t="s">
        <v>88</v>
      </c>
    </row>
    <row r="154" spans="1:58" x14ac:dyDescent="0.2">
      <c r="A154" s="3" t="s">
        <v>2495</v>
      </c>
      <c r="B154" s="3" t="s">
        <v>2496</v>
      </c>
      <c r="C154" s="3" t="s">
        <v>60</v>
      </c>
      <c r="D154" s="3" t="s">
        <v>60</v>
      </c>
      <c r="E154" s="3" t="s">
        <v>60</v>
      </c>
      <c r="F154" s="3" t="s">
        <v>60</v>
      </c>
      <c r="G154" s="3" t="s">
        <v>2497</v>
      </c>
      <c r="H154" s="3" t="s">
        <v>60</v>
      </c>
      <c r="I154" s="3" t="s">
        <v>60</v>
      </c>
      <c r="J154" s="3" t="s">
        <v>2498</v>
      </c>
      <c r="K154" s="3" t="s">
        <v>2495</v>
      </c>
      <c r="L154" s="3" t="s">
        <v>2499</v>
      </c>
      <c r="M154" s="3" t="s">
        <v>1175</v>
      </c>
      <c r="N154" s="3" t="s">
        <v>2467</v>
      </c>
      <c r="O154" s="3" t="s">
        <v>2500</v>
      </c>
      <c r="P154" s="3" t="s">
        <v>2501</v>
      </c>
      <c r="Q154" s="3" t="s">
        <v>60</v>
      </c>
      <c r="R154" s="3" t="s">
        <v>2502</v>
      </c>
      <c r="S154" s="3" t="s">
        <v>96</v>
      </c>
      <c r="T154" s="17">
        <v>1195.6400000000001</v>
      </c>
      <c r="U154" s="3" t="s">
        <v>97</v>
      </c>
      <c r="V154" s="3" t="s">
        <v>71</v>
      </c>
      <c r="W154" s="3" t="s">
        <v>98</v>
      </c>
      <c r="X154" s="9" t="str">
        <f>HYPERLINK("http://www.marafiq.com.sa", "www.marafiq.com.sa")</f>
        <v>www.marafiq.com.sa</v>
      </c>
      <c r="Y154" s="9" t="str">
        <f>HYPERLINK("http://www.linkedin.com/company/marafiq", "http://www.linkedin.com/company/marafiq")</f>
        <v>http://www.linkedin.com/company/marafiq</v>
      </c>
      <c r="Z154" s="29" t="s">
        <v>60</v>
      </c>
      <c r="AA154" s="3" t="s">
        <v>60</v>
      </c>
      <c r="AB154" s="3" t="s">
        <v>74</v>
      </c>
      <c r="AC154" s="3" t="s">
        <v>2503</v>
      </c>
      <c r="AD154" s="41">
        <v>2000</v>
      </c>
      <c r="AE154" s="3" t="s">
        <v>60</v>
      </c>
      <c r="AF154" s="53">
        <v>1814.7</v>
      </c>
      <c r="AG154" s="53">
        <v>229.69</v>
      </c>
      <c r="AH154" s="53">
        <v>7.54</v>
      </c>
      <c r="AI154" s="53">
        <v>6058.01</v>
      </c>
      <c r="AJ154" s="53">
        <v>536.16999999999996</v>
      </c>
      <c r="AK154" s="53">
        <v>130.32</v>
      </c>
      <c r="AL154" s="53">
        <v>2188.13</v>
      </c>
      <c r="AM154" s="53">
        <v>3273.82</v>
      </c>
      <c r="AN154" s="65">
        <v>0.33</v>
      </c>
      <c r="AO154" s="5" t="s">
        <v>179</v>
      </c>
      <c r="AP154" s="3" t="s">
        <v>2504</v>
      </c>
      <c r="AQ154" s="3" t="s">
        <v>2505</v>
      </c>
      <c r="AR154" s="3" t="s">
        <v>2506</v>
      </c>
      <c r="AS154" s="3" t="s">
        <v>60</v>
      </c>
      <c r="AT154" s="3" t="s">
        <v>2507</v>
      </c>
      <c r="AU154" s="3" t="s">
        <v>2508</v>
      </c>
      <c r="AV154" s="3" t="s">
        <v>2509</v>
      </c>
      <c r="AW154" s="3" t="s">
        <v>2510</v>
      </c>
      <c r="AX154" s="3" t="s">
        <v>2511</v>
      </c>
      <c r="AY154" s="3" t="s">
        <v>60</v>
      </c>
      <c r="AZ154" s="5" t="s">
        <v>2512</v>
      </c>
      <c r="BA154" s="3" t="s">
        <v>87</v>
      </c>
      <c r="BB154" s="5" t="s">
        <v>2507</v>
      </c>
      <c r="BC154" s="5" t="s">
        <v>2513</v>
      </c>
      <c r="BD154" s="3" t="s">
        <v>60</v>
      </c>
      <c r="BE154" s="3" t="s">
        <v>88</v>
      </c>
      <c r="BF154" s="3" t="s">
        <v>88</v>
      </c>
    </row>
    <row r="155" spans="1:58" x14ac:dyDescent="0.2">
      <c r="A155" s="2" t="s">
        <v>2514</v>
      </c>
      <c r="B155" s="2" t="s">
        <v>2515</v>
      </c>
      <c r="C155" s="2" t="s">
        <v>60</v>
      </c>
      <c r="D155" s="2" t="s">
        <v>60</v>
      </c>
      <c r="E155" s="2" t="s">
        <v>60</v>
      </c>
      <c r="F155" s="2" t="s">
        <v>60</v>
      </c>
      <c r="G155" s="2" t="s">
        <v>2516</v>
      </c>
      <c r="H155" s="2" t="s">
        <v>60</v>
      </c>
      <c r="I155" s="2" t="s">
        <v>60</v>
      </c>
      <c r="J155" s="2" t="s">
        <v>60</v>
      </c>
      <c r="K155" s="2" t="s">
        <v>2514</v>
      </c>
      <c r="L155" s="2" t="s">
        <v>2517</v>
      </c>
      <c r="M155" s="2" t="s">
        <v>115</v>
      </c>
      <c r="N155" s="2" t="s">
        <v>386</v>
      </c>
      <c r="O155" s="2" t="s">
        <v>941</v>
      </c>
      <c r="P155" s="2" t="s">
        <v>2518</v>
      </c>
      <c r="Q155" s="2" t="s">
        <v>60</v>
      </c>
      <c r="R155" s="2" t="s">
        <v>2519</v>
      </c>
      <c r="S155" s="2" t="s">
        <v>96</v>
      </c>
      <c r="T155" s="16" t="s">
        <v>60</v>
      </c>
      <c r="U155" s="2" t="s">
        <v>97</v>
      </c>
      <c r="V155" s="2" t="s">
        <v>71</v>
      </c>
      <c r="W155" s="2" t="s">
        <v>98</v>
      </c>
      <c r="X155" s="8" t="str">
        <f>HYPERLINK("http://www.kntbook.com", "www.kntbook.com")</f>
        <v>www.kntbook.com</v>
      </c>
      <c r="Y155" s="8" t="str">
        <f>HYPERLINK("http://www.linkedin.com/company/kntbook", "http://www.linkedin.com/company/kntbook")</f>
        <v>http://www.linkedin.com/company/kntbook</v>
      </c>
      <c r="Z155" s="28">
        <v>12</v>
      </c>
      <c r="AA155" s="2" t="s">
        <v>2520</v>
      </c>
      <c r="AB155" s="2" t="s">
        <v>74</v>
      </c>
      <c r="AC155" s="2" t="s">
        <v>2521</v>
      </c>
      <c r="AD155" s="40">
        <v>2011</v>
      </c>
      <c r="AE155" s="2" t="s">
        <v>60</v>
      </c>
      <c r="AF155" s="52">
        <v>7.69</v>
      </c>
      <c r="AG155" s="52">
        <v>2.4700000000000002</v>
      </c>
      <c r="AH155" s="52">
        <v>0.57999999999999996</v>
      </c>
      <c r="AI155" s="52">
        <v>62.64</v>
      </c>
      <c r="AJ155" s="52">
        <v>0.92</v>
      </c>
      <c r="AK155" s="52">
        <v>0.82</v>
      </c>
      <c r="AL155" s="52">
        <v>52.02</v>
      </c>
      <c r="AM155" s="52">
        <v>1.39</v>
      </c>
      <c r="AN155" s="64">
        <v>-6.03</v>
      </c>
      <c r="AO155" s="4" t="s">
        <v>2522</v>
      </c>
      <c r="AP155" s="2" t="s">
        <v>2523</v>
      </c>
      <c r="AQ155" s="2" t="s">
        <v>2524</v>
      </c>
      <c r="AR155" s="2" t="s">
        <v>1874</v>
      </c>
      <c r="AS155" s="2" t="s">
        <v>60</v>
      </c>
      <c r="AT155" s="2" t="s">
        <v>2525</v>
      </c>
      <c r="AU155" s="2" t="s">
        <v>847</v>
      </c>
      <c r="AV155" s="2" t="s">
        <v>2526</v>
      </c>
      <c r="AW155" s="2" t="s">
        <v>2527</v>
      </c>
      <c r="AX155" s="2" t="s">
        <v>849</v>
      </c>
      <c r="AY155" s="2" t="s">
        <v>60</v>
      </c>
      <c r="AZ155" s="4" t="s">
        <v>2528</v>
      </c>
      <c r="BA155" s="2" t="s">
        <v>87</v>
      </c>
      <c r="BB155" s="4" t="s">
        <v>2525</v>
      </c>
      <c r="BC155" s="4" t="s">
        <v>2529</v>
      </c>
      <c r="BD155" s="2" t="s">
        <v>2530</v>
      </c>
      <c r="BE155" s="2" t="s">
        <v>88</v>
      </c>
      <c r="BF155" s="2" t="s">
        <v>88</v>
      </c>
    </row>
    <row r="156" spans="1:58" x14ac:dyDescent="0.2">
      <c r="A156" s="3" t="s">
        <v>2531</v>
      </c>
      <c r="B156" s="3" t="s">
        <v>2532</v>
      </c>
      <c r="C156" s="3" t="s">
        <v>60</v>
      </c>
      <c r="D156" s="3" t="s">
        <v>60</v>
      </c>
      <c r="E156" s="3" t="s">
        <v>60</v>
      </c>
      <c r="F156" s="3" t="s">
        <v>60</v>
      </c>
      <c r="G156" s="3" t="s">
        <v>2533</v>
      </c>
      <c r="H156" s="3" t="s">
        <v>60</v>
      </c>
      <c r="I156" s="3" t="s">
        <v>60</v>
      </c>
      <c r="J156" s="3" t="s">
        <v>60</v>
      </c>
      <c r="K156" s="3" t="s">
        <v>2531</v>
      </c>
      <c r="L156" s="3" t="s">
        <v>2534</v>
      </c>
      <c r="M156" s="3" t="s">
        <v>485</v>
      </c>
      <c r="N156" s="3" t="s">
        <v>1023</v>
      </c>
      <c r="O156" s="3" t="s">
        <v>1024</v>
      </c>
      <c r="P156" s="3" t="s">
        <v>2535</v>
      </c>
      <c r="Q156" s="3" t="s">
        <v>2536</v>
      </c>
      <c r="R156" s="3" t="s">
        <v>2537</v>
      </c>
      <c r="S156" s="3" t="s">
        <v>96</v>
      </c>
      <c r="T156" s="17">
        <v>221.18</v>
      </c>
      <c r="U156" s="3" t="s">
        <v>97</v>
      </c>
      <c r="V156" s="3" t="s">
        <v>71</v>
      </c>
      <c r="W156" s="3" t="s">
        <v>98</v>
      </c>
      <c r="X156" s="9" t="str">
        <f>HYPERLINK("http://www.2p.com.sa", "www.2p.com.sa")</f>
        <v>www.2p.com.sa</v>
      </c>
      <c r="Y156" s="9" t="str">
        <f>HYPERLINK("http://www.linkedin.com/company/2pcompanysa", "http://www.linkedin.com/company/2pcompanysa")</f>
        <v>http://www.linkedin.com/company/2pcompanysa</v>
      </c>
      <c r="Z156" s="29">
        <v>779</v>
      </c>
      <c r="AA156" s="3" t="s">
        <v>2538</v>
      </c>
      <c r="AB156" s="3" t="s">
        <v>74</v>
      </c>
      <c r="AC156" s="3" t="s">
        <v>2539</v>
      </c>
      <c r="AD156" s="41">
        <v>2004</v>
      </c>
      <c r="AE156" s="3" t="s">
        <v>60</v>
      </c>
      <c r="AF156" s="53">
        <v>311.89</v>
      </c>
      <c r="AG156" s="53">
        <v>72.010000000000005</v>
      </c>
      <c r="AH156" s="53">
        <v>36.75</v>
      </c>
      <c r="AI156" s="53">
        <v>1025.42</v>
      </c>
      <c r="AJ156" s="53">
        <v>53.24</v>
      </c>
      <c r="AK156" s="53">
        <v>50.2</v>
      </c>
      <c r="AL156" s="53">
        <v>665.39</v>
      </c>
      <c r="AM156" s="53">
        <v>150.76</v>
      </c>
      <c r="AN156" s="65">
        <v>0.71</v>
      </c>
      <c r="AO156" s="5" t="s">
        <v>179</v>
      </c>
      <c r="AP156" s="3" t="s">
        <v>2540</v>
      </c>
      <c r="AQ156" s="3" t="s">
        <v>2541</v>
      </c>
      <c r="AR156" s="3" t="s">
        <v>299</v>
      </c>
      <c r="AS156" s="3" t="s">
        <v>2542</v>
      </c>
      <c r="AT156" s="3" t="s">
        <v>2543</v>
      </c>
      <c r="AU156" s="3" t="s">
        <v>106</v>
      </c>
      <c r="AV156" s="3" t="s">
        <v>2544</v>
      </c>
      <c r="AW156" s="3" t="s">
        <v>2545</v>
      </c>
      <c r="AX156" s="3" t="s">
        <v>109</v>
      </c>
      <c r="AY156" s="3" t="s">
        <v>60</v>
      </c>
      <c r="AZ156" s="5" t="s">
        <v>2546</v>
      </c>
      <c r="BA156" s="3" t="s">
        <v>87</v>
      </c>
      <c r="BB156" s="5" t="s">
        <v>2543</v>
      </c>
      <c r="BC156" s="5" t="s">
        <v>2547</v>
      </c>
      <c r="BD156" s="3" t="s">
        <v>2548</v>
      </c>
      <c r="BE156" s="3" t="s">
        <v>88</v>
      </c>
      <c r="BF156" s="3" t="s">
        <v>88</v>
      </c>
    </row>
    <row r="157" spans="1:58" x14ac:dyDescent="0.2">
      <c r="A157" s="2" t="s">
        <v>2549</v>
      </c>
      <c r="B157" s="2" t="s">
        <v>2550</v>
      </c>
      <c r="C157" s="2" t="s">
        <v>60</v>
      </c>
      <c r="D157" s="2" t="s">
        <v>60</v>
      </c>
      <c r="E157" s="2" t="s">
        <v>60</v>
      </c>
      <c r="F157" s="2" t="s">
        <v>60</v>
      </c>
      <c r="G157" s="2" t="s">
        <v>2551</v>
      </c>
      <c r="H157" s="2" t="s">
        <v>60</v>
      </c>
      <c r="I157" s="2" t="s">
        <v>60</v>
      </c>
      <c r="J157" s="2" t="s">
        <v>60</v>
      </c>
      <c r="K157" s="2" t="s">
        <v>2549</v>
      </c>
      <c r="L157" s="2" t="s">
        <v>2552</v>
      </c>
      <c r="M157" s="2" t="s">
        <v>134</v>
      </c>
      <c r="N157" s="2" t="s">
        <v>638</v>
      </c>
      <c r="O157" s="2" t="s">
        <v>2553</v>
      </c>
      <c r="P157" s="2" t="s">
        <v>2554</v>
      </c>
      <c r="Q157" s="2" t="s">
        <v>2224</v>
      </c>
      <c r="R157" s="2" t="s">
        <v>2555</v>
      </c>
      <c r="S157" s="2" t="s">
        <v>69</v>
      </c>
      <c r="T157" s="16">
        <v>1006.53</v>
      </c>
      <c r="U157" s="2" t="s">
        <v>97</v>
      </c>
      <c r="V157" s="2" t="s">
        <v>71</v>
      </c>
      <c r="W157" s="2" t="s">
        <v>373</v>
      </c>
      <c r="X157" s="8" t="str">
        <f>HYPERLINK("http://www.tadawulgroup.sa", "www.tadawulgroup.sa")</f>
        <v>www.tadawulgroup.sa</v>
      </c>
      <c r="Y157" s="8" t="str">
        <f>HYPERLINK("http://www.linkedin.com/company/saudi-tadawul-group", "http://www.linkedin.com/company/saudi-tadawul-group")</f>
        <v>http://www.linkedin.com/company/saudi-tadawul-group</v>
      </c>
      <c r="Z157" s="28">
        <v>264</v>
      </c>
      <c r="AA157" s="2" t="s">
        <v>2556</v>
      </c>
      <c r="AB157" s="2" t="s">
        <v>74</v>
      </c>
      <c r="AC157" s="2" t="s">
        <v>2557</v>
      </c>
      <c r="AD157" s="40">
        <v>2021</v>
      </c>
      <c r="AE157" s="2" t="s">
        <v>60</v>
      </c>
      <c r="AF157" s="52">
        <v>349.11</v>
      </c>
      <c r="AG157" s="52">
        <v>199.77</v>
      </c>
      <c r="AH157" s="52">
        <v>110.64</v>
      </c>
      <c r="AI157" s="52">
        <v>6037.41</v>
      </c>
      <c r="AJ157" s="52">
        <v>164.87</v>
      </c>
      <c r="AK157" s="52">
        <v>138.25</v>
      </c>
      <c r="AL157" s="52">
        <v>5075.7299999999996</v>
      </c>
      <c r="AM157" s="52">
        <v>-557.15</v>
      </c>
      <c r="AN157" s="64">
        <v>-5.14</v>
      </c>
      <c r="AO157" s="4" t="s">
        <v>179</v>
      </c>
      <c r="AP157" s="2" t="s">
        <v>2558</v>
      </c>
      <c r="AQ157" s="2" t="s">
        <v>2559</v>
      </c>
      <c r="AR157" s="2" t="s">
        <v>299</v>
      </c>
      <c r="AS157" s="2" t="s">
        <v>2560</v>
      </c>
      <c r="AT157" s="2" t="s">
        <v>60</v>
      </c>
      <c r="AU157" s="2" t="s">
        <v>106</v>
      </c>
      <c r="AV157" s="2" t="s">
        <v>2561</v>
      </c>
      <c r="AW157" s="2" t="s">
        <v>2562</v>
      </c>
      <c r="AX157" s="2" t="s">
        <v>109</v>
      </c>
      <c r="AY157" s="2" t="s">
        <v>60</v>
      </c>
      <c r="AZ157" s="4" t="s">
        <v>166</v>
      </c>
      <c r="BA157" s="2" t="s">
        <v>87</v>
      </c>
      <c r="BB157" s="4" t="s">
        <v>60</v>
      </c>
      <c r="BC157" s="4" t="s">
        <v>60</v>
      </c>
      <c r="BD157" s="2" t="s">
        <v>2563</v>
      </c>
      <c r="BE157" s="2" t="s">
        <v>88</v>
      </c>
      <c r="BF157" s="2" t="s">
        <v>88</v>
      </c>
    </row>
    <row r="158" spans="1:58" x14ac:dyDescent="0.2">
      <c r="A158" s="3" t="s">
        <v>2564</v>
      </c>
      <c r="B158" s="3" t="s">
        <v>2565</v>
      </c>
      <c r="C158" s="3" t="s">
        <v>60</v>
      </c>
      <c r="D158" s="3" t="s">
        <v>60</v>
      </c>
      <c r="E158" s="3" t="s">
        <v>60</v>
      </c>
      <c r="F158" s="3" t="s">
        <v>60</v>
      </c>
      <c r="G158" s="3" t="s">
        <v>2566</v>
      </c>
      <c r="H158" s="3" t="s">
        <v>60</v>
      </c>
      <c r="I158" s="3" t="s">
        <v>60</v>
      </c>
      <c r="J158" s="3" t="s">
        <v>2567</v>
      </c>
      <c r="K158" s="3" t="s">
        <v>2564</v>
      </c>
      <c r="L158" s="3" t="s">
        <v>2568</v>
      </c>
      <c r="M158" s="3" t="s">
        <v>1175</v>
      </c>
      <c r="N158" s="3" t="s">
        <v>1560</v>
      </c>
      <c r="O158" s="3" t="s">
        <v>2569</v>
      </c>
      <c r="P158" s="3" t="s">
        <v>2570</v>
      </c>
      <c r="Q158" s="3" t="s">
        <v>1392</v>
      </c>
      <c r="R158" s="3" t="s">
        <v>2571</v>
      </c>
      <c r="S158" s="3" t="s">
        <v>96</v>
      </c>
      <c r="T158" s="17">
        <v>238.9</v>
      </c>
      <c r="U158" s="3" t="s">
        <v>97</v>
      </c>
      <c r="V158" s="3" t="s">
        <v>71</v>
      </c>
      <c r="W158" s="3" t="s">
        <v>98</v>
      </c>
      <c r="X158" s="9" t="str">
        <f>HYPERLINK("http://www.arabdrill.com", "www.arabdrill.com")</f>
        <v>www.arabdrill.com</v>
      </c>
      <c r="Y158" s="9" t="str">
        <f>HYPERLINK("http://www.linkedin.com/company/arabian-drilling", "http://www.linkedin.com/company/arabian-drilling")</f>
        <v>http://www.linkedin.com/company/arabian-drilling</v>
      </c>
      <c r="Z158" s="29">
        <v>4419</v>
      </c>
      <c r="AA158" s="3" t="s">
        <v>2572</v>
      </c>
      <c r="AB158" s="3" t="s">
        <v>74</v>
      </c>
      <c r="AC158" s="3" t="s">
        <v>2573</v>
      </c>
      <c r="AD158" s="41">
        <v>1964</v>
      </c>
      <c r="AE158" s="3" t="s">
        <v>60</v>
      </c>
      <c r="AF158" s="53">
        <v>920.86</v>
      </c>
      <c r="AG158" s="53">
        <v>156.1</v>
      </c>
      <c r="AH158" s="53">
        <v>38.18</v>
      </c>
      <c r="AI158" s="53">
        <v>2574.1999999999998</v>
      </c>
      <c r="AJ158" s="53">
        <v>295.82</v>
      </c>
      <c r="AK158" s="53">
        <v>44.73</v>
      </c>
      <c r="AL158" s="53">
        <v>2420.37</v>
      </c>
      <c r="AM158" s="53">
        <v>717.83</v>
      </c>
      <c r="AN158" s="65">
        <v>-7.92</v>
      </c>
      <c r="AO158" s="5" t="s">
        <v>179</v>
      </c>
      <c r="AP158" s="3" t="s">
        <v>2574</v>
      </c>
      <c r="AQ158" s="3" t="s">
        <v>2575</v>
      </c>
      <c r="AR158" s="3" t="s">
        <v>124</v>
      </c>
      <c r="AS158" s="3" t="s">
        <v>2576</v>
      </c>
      <c r="AT158" s="3" t="s">
        <v>2577</v>
      </c>
      <c r="AU158" s="3" t="s">
        <v>2578</v>
      </c>
      <c r="AV158" s="3" t="s">
        <v>2579</v>
      </c>
      <c r="AW158" s="3" t="s">
        <v>60</v>
      </c>
      <c r="AX158" s="3" t="s">
        <v>2580</v>
      </c>
      <c r="AY158" s="3" t="s">
        <v>60</v>
      </c>
      <c r="AZ158" s="5" t="s">
        <v>917</v>
      </c>
      <c r="BA158" s="3" t="s">
        <v>87</v>
      </c>
      <c r="BB158" s="5" t="s">
        <v>2577</v>
      </c>
      <c r="BC158" s="5" t="s">
        <v>2581</v>
      </c>
      <c r="BD158" s="3" t="s">
        <v>2582</v>
      </c>
      <c r="BE158" s="3" t="s">
        <v>88</v>
      </c>
      <c r="BF158" s="3" t="s">
        <v>88</v>
      </c>
    </row>
    <row r="159" spans="1:58" x14ac:dyDescent="0.2">
      <c r="A159" s="2" t="s">
        <v>2583</v>
      </c>
      <c r="B159" s="2" t="s">
        <v>2584</v>
      </c>
      <c r="C159" s="2" t="s">
        <v>60</v>
      </c>
      <c r="D159" s="2" t="s">
        <v>60</v>
      </c>
      <c r="E159" s="2" t="s">
        <v>2585</v>
      </c>
      <c r="F159" s="2" t="s">
        <v>60</v>
      </c>
      <c r="G159" s="2" t="s">
        <v>2586</v>
      </c>
      <c r="H159" s="2" t="s">
        <v>60</v>
      </c>
      <c r="I159" s="2" t="s">
        <v>60</v>
      </c>
      <c r="J159" s="2" t="s">
        <v>2587</v>
      </c>
      <c r="K159" s="2" t="s">
        <v>2583</v>
      </c>
      <c r="L159" s="2" t="s">
        <v>2588</v>
      </c>
      <c r="M159" s="2" t="s">
        <v>485</v>
      </c>
      <c r="N159" s="2" t="s">
        <v>1023</v>
      </c>
      <c r="O159" s="2" t="s">
        <v>1024</v>
      </c>
      <c r="P159" s="2" t="s">
        <v>2589</v>
      </c>
      <c r="Q159" s="2" t="s">
        <v>2590</v>
      </c>
      <c r="R159" s="2" t="s">
        <v>2591</v>
      </c>
      <c r="S159" s="2" t="s">
        <v>620</v>
      </c>
      <c r="T159" s="16">
        <v>2.6</v>
      </c>
      <c r="U159" s="2" t="s">
        <v>97</v>
      </c>
      <c r="V159" s="2" t="s">
        <v>71</v>
      </c>
      <c r="W159" s="2" t="s">
        <v>621</v>
      </c>
      <c r="X159" s="8" t="str">
        <f>HYPERLINK("http://www.surepay.sa", "www.surepay.sa")</f>
        <v>www.surepay.sa</v>
      </c>
      <c r="Y159" s="8" t="str">
        <f>HYPERLINK("http://www.linkedin.com/company/sureksa", "http://www.linkedin.com/company/sureksa")</f>
        <v>http://www.linkedin.com/company/sureksa</v>
      </c>
      <c r="Z159" s="28">
        <v>282</v>
      </c>
      <c r="AA159" s="2" t="s">
        <v>2592</v>
      </c>
      <c r="AB159" s="2" t="s">
        <v>74</v>
      </c>
      <c r="AC159" s="2" t="s">
        <v>2593</v>
      </c>
      <c r="AD159" s="40">
        <v>2004</v>
      </c>
      <c r="AE159" s="2" t="s">
        <v>60</v>
      </c>
      <c r="AF159" s="52">
        <v>77.48</v>
      </c>
      <c r="AG159" s="52">
        <v>16.07</v>
      </c>
      <c r="AH159" s="52">
        <v>8.35</v>
      </c>
      <c r="AI159" s="52">
        <v>147.87</v>
      </c>
      <c r="AJ159" s="52">
        <v>9.7200000000000006</v>
      </c>
      <c r="AK159" s="52">
        <v>8.92</v>
      </c>
      <c r="AL159" s="52">
        <v>119.01</v>
      </c>
      <c r="AM159" s="52">
        <v>-6.45</v>
      </c>
      <c r="AN159" s="64">
        <v>36</v>
      </c>
      <c r="AO159" s="4" t="s">
        <v>76</v>
      </c>
      <c r="AP159" s="2" t="s">
        <v>2594</v>
      </c>
      <c r="AQ159" s="2" t="s">
        <v>2595</v>
      </c>
      <c r="AR159" s="2" t="s">
        <v>1874</v>
      </c>
      <c r="AS159" s="2" t="s">
        <v>2596</v>
      </c>
      <c r="AT159" s="2" t="s">
        <v>2597</v>
      </c>
      <c r="AU159" s="2" t="s">
        <v>106</v>
      </c>
      <c r="AV159" s="2" t="s">
        <v>2598</v>
      </c>
      <c r="AW159" s="2" t="s">
        <v>2599</v>
      </c>
      <c r="AX159" s="2" t="s">
        <v>109</v>
      </c>
      <c r="AY159" s="2" t="s">
        <v>2600</v>
      </c>
      <c r="AZ159" s="4" t="s">
        <v>2601</v>
      </c>
      <c r="BA159" s="2" t="s">
        <v>87</v>
      </c>
      <c r="BB159" s="4" t="s">
        <v>2597</v>
      </c>
      <c r="BC159" s="4" t="s">
        <v>60</v>
      </c>
      <c r="BD159" s="2" t="s">
        <v>2602</v>
      </c>
      <c r="BE159" s="2" t="s">
        <v>88</v>
      </c>
      <c r="BF159" s="2" t="s">
        <v>88</v>
      </c>
    </row>
    <row r="160" spans="1:58" x14ac:dyDescent="0.2">
      <c r="A160" s="3" t="s">
        <v>2603</v>
      </c>
      <c r="B160" s="3" t="s">
        <v>2604</v>
      </c>
      <c r="C160" s="3" t="s">
        <v>60</v>
      </c>
      <c r="D160" s="3" t="s">
        <v>60</v>
      </c>
      <c r="E160" s="3" t="s">
        <v>60</v>
      </c>
      <c r="F160" s="3" t="s">
        <v>60</v>
      </c>
      <c r="G160" s="3" t="s">
        <v>2605</v>
      </c>
      <c r="H160" s="3" t="s">
        <v>60</v>
      </c>
      <c r="I160" s="3" t="s">
        <v>60</v>
      </c>
      <c r="J160" s="3" t="s">
        <v>60</v>
      </c>
      <c r="K160" s="3" t="s">
        <v>2603</v>
      </c>
      <c r="L160" s="3" t="s">
        <v>2606</v>
      </c>
      <c r="M160" s="3" t="s">
        <v>115</v>
      </c>
      <c r="N160" s="3" t="s">
        <v>208</v>
      </c>
      <c r="O160" s="3" t="s">
        <v>226</v>
      </c>
      <c r="P160" s="3" t="s">
        <v>227</v>
      </c>
      <c r="Q160" s="3" t="s">
        <v>60</v>
      </c>
      <c r="R160" s="3" t="s">
        <v>2607</v>
      </c>
      <c r="S160" s="3" t="s">
        <v>96</v>
      </c>
      <c r="T160" s="17">
        <v>11.11</v>
      </c>
      <c r="U160" s="3" t="s">
        <v>97</v>
      </c>
      <c r="V160" s="3" t="s">
        <v>71</v>
      </c>
      <c r="W160" s="3" t="s">
        <v>98</v>
      </c>
      <c r="X160" s="9" t="str">
        <f>HYPERLINK("http://www.albabtainfood.com", "www.albabtainfood.com")</f>
        <v>www.albabtainfood.com</v>
      </c>
      <c r="Y160" s="9" t="str">
        <f>HYPERLINK("http://www.linkedin.com/company/albabtain-food", "http://www.linkedin.com/company/albabtain-food")</f>
        <v>http://www.linkedin.com/company/albabtain-food</v>
      </c>
      <c r="Z160" s="29" t="s">
        <v>60</v>
      </c>
      <c r="AA160" s="3" t="s">
        <v>60</v>
      </c>
      <c r="AB160" s="3" t="s">
        <v>74</v>
      </c>
      <c r="AC160" s="3" t="s">
        <v>2608</v>
      </c>
      <c r="AD160" s="41">
        <v>1998</v>
      </c>
      <c r="AE160" s="3" t="s">
        <v>60</v>
      </c>
      <c r="AF160" s="53">
        <v>65</v>
      </c>
      <c r="AG160" s="53" t="s">
        <v>60</v>
      </c>
      <c r="AH160" s="53">
        <v>1.35</v>
      </c>
      <c r="AI160" s="53">
        <v>32.26</v>
      </c>
      <c r="AJ160" s="53" t="s">
        <v>60</v>
      </c>
      <c r="AK160" s="53">
        <v>1.74</v>
      </c>
      <c r="AL160" s="53">
        <v>22.64</v>
      </c>
      <c r="AM160" s="53">
        <v>0</v>
      </c>
      <c r="AN160" s="65">
        <v>43.6</v>
      </c>
      <c r="AO160" s="5" t="s">
        <v>76</v>
      </c>
      <c r="AP160" s="3" t="s">
        <v>60</v>
      </c>
      <c r="AQ160" s="3" t="s">
        <v>60</v>
      </c>
      <c r="AR160" s="3" t="s">
        <v>60</v>
      </c>
      <c r="AS160" s="3" t="s">
        <v>60</v>
      </c>
      <c r="AT160" s="3" t="s">
        <v>60</v>
      </c>
      <c r="AU160" s="3" t="s">
        <v>106</v>
      </c>
      <c r="AV160" s="3" t="s">
        <v>2609</v>
      </c>
      <c r="AW160" s="3" t="s">
        <v>60</v>
      </c>
      <c r="AX160" s="3" t="s">
        <v>109</v>
      </c>
      <c r="AY160" s="3" t="s">
        <v>60</v>
      </c>
      <c r="AZ160" s="5" t="s">
        <v>1709</v>
      </c>
      <c r="BA160" s="3" t="s">
        <v>87</v>
      </c>
      <c r="BB160" s="5" t="s">
        <v>2610</v>
      </c>
      <c r="BC160" s="5" t="s">
        <v>60</v>
      </c>
      <c r="BD160" s="3" t="s">
        <v>60</v>
      </c>
      <c r="BE160" s="3" t="s">
        <v>88</v>
      </c>
      <c r="BF160" s="3" t="s">
        <v>88</v>
      </c>
    </row>
    <row r="161" spans="1:58" x14ac:dyDescent="0.2">
      <c r="A161" s="2" t="s">
        <v>2611</v>
      </c>
      <c r="B161" s="2" t="s">
        <v>2612</v>
      </c>
      <c r="C161" s="2" t="s">
        <v>60</v>
      </c>
      <c r="D161" s="2" t="s">
        <v>60</v>
      </c>
      <c r="E161" s="2" t="s">
        <v>60</v>
      </c>
      <c r="F161" s="2" t="s">
        <v>60</v>
      </c>
      <c r="G161" s="2" t="s">
        <v>2613</v>
      </c>
      <c r="H161" s="2" t="s">
        <v>60</v>
      </c>
      <c r="I161" s="2" t="s">
        <v>60</v>
      </c>
      <c r="J161" s="2" t="s">
        <v>2614</v>
      </c>
      <c r="K161" s="2" t="s">
        <v>2611</v>
      </c>
      <c r="L161" s="2" t="s">
        <v>2615</v>
      </c>
      <c r="M161" s="2" t="s">
        <v>241</v>
      </c>
      <c r="N161" s="2" t="s">
        <v>499</v>
      </c>
      <c r="O161" s="2" t="s">
        <v>2616</v>
      </c>
      <c r="P161" s="2" t="s">
        <v>2617</v>
      </c>
      <c r="Q161" s="2" t="s">
        <v>60</v>
      </c>
      <c r="R161" s="2" t="s">
        <v>2618</v>
      </c>
      <c r="S161" s="2" t="s">
        <v>96</v>
      </c>
      <c r="T161" s="16" t="s">
        <v>60</v>
      </c>
      <c r="U161" s="2" t="s">
        <v>97</v>
      </c>
      <c r="V161" s="2" t="s">
        <v>71</v>
      </c>
      <c r="W161" s="2" t="s">
        <v>98</v>
      </c>
      <c r="X161" s="8" t="str">
        <f>HYPERLINK("http://www.apico.com.sa", "www.apico.com.sa")</f>
        <v>www.apico.com.sa</v>
      </c>
      <c r="Y161" s="8" t="str">
        <f>HYPERLINK("http://www.linkedin.com/company/apicoksa", "http://www.linkedin.com/company/apicoksa")</f>
        <v>http://www.linkedin.com/company/apicoksa</v>
      </c>
      <c r="Z161" s="28">
        <v>251</v>
      </c>
      <c r="AA161" s="2" t="s">
        <v>2619</v>
      </c>
      <c r="AB161" s="2" t="s">
        <v>74</v>
      </c>
      <c r="AC161" s="2" t="s">
        <v>2620</v>
      </c>
      <c r="AD161" s="40">
        <v>1996</v>
      </c>
      <c r="AE161" s="2" t="s">
        <v>60</v>
      </c>
      <c r="AF161" s="52">
        <v>52.31</v>
      </c>
      <c r="AG161" s="52">
        <v>11.45</v>
      </c>
      <c r="AH161" s="52">
        <v>4.97</v>
      </c>
      <c r="AI161" s="52">
        <v>104.86</v>
      </c>
      <c r="AJ161" s="52">
        <v>10.07</v>
      </c>
      <c r="AK161" s="52">
        <v>6.36</v>
      </c>
      <c r="AL161" s="52">
        <v>89.94</v>
      </c>
      <c r="AM161" s="52">
        <v>19.79</v>
      </c>
      <c r="AN161" s="64">
        <v>22.36</v>
      </c>
      <c r="AO161" s="4" t="s">
        <v>76</v>
      </c>
      <c r="AP161" s="2" t="s">
        <v>2621</v>
      </c>
      <c r="AQ161" s="2" t="s">
        <v>2622</v>
      </c>
      <c r="AR161" s="2" t="s">
        <v>79</v>
      </c>
      <c r="AS161" s="2" t="s">
        <v>60</v>
      </c>
      <c r="AT161" s="2" t="s">
        <v>2623</v>
      </c>
      <c r="AU161" s="2" t="s">
        <v>82</v>
      </c>
      <c r="AV161" s="2" t="s">
        <v>2624</v>
      </c>
      <c r="AW161" s="2" t="s">
        <v>2625</v>
      </c>
      <c r="AX161" s="2" t="s">
        <v>85</v>
      </c>
      <c r="AY161" s="2" t="s">
        <v>60</v>
      </c>
      <c r="AZ161" s="4" t="s">
        <v>60</v>
      </c>
      <c r="BA161" s="2" t="s">
        <v>87</v>
      </c>
      <c r="BB161" s="4" t="s">
        <v>2623</v>
      </c>
      <c r="BC161" s="4" t="s">
        <v>2623</v>
      </c>
      <c r="BD161" s="2" t="s">
        <v>2626</v>
      </c>
      <c r="BE161" s="2" t="s">
        <v>88</v>
      </c>
      <c r="BF161" s="2" t="s">
        <v>88</v>
      </c>
    </row>
    <row r="162" spans="1:58" x14ac:dyDescent="0.2">
      <c r="A162" s="3" t="s">
        <v>2627</v>
      </c>
      <c r="B162" s="3" t="s">
        <v>2628</v>
      </c>
      <c r="C162" s="3" t="s">
        <v>60</v>
      </c>
      <c r="D162" s="3" t="s">
        <v>60</v>
      </c>
      <c r="E162" s="3" t="s">
        <v>60</v>
      </c>
      <c r="F162" s="3" t="s">
        <v>2629</v>
      </c>
      <c r="G162" s="3" t="s">
        <v>2630</v>
      </c>
      <c r="H162" s="3" t="s">
        <v>60</v>
      </c>
      <c r="I162" s="3" t="s">
        <v>60</v>
      </c>
      <c r="J162" s="3" t="s">
        <v>60</v>
      </c>
      <c r="K162" s="3" t="s">
        <v>2627</v>
      </c>
      <c r="L162" s="3" t="s">
        <v>2631</v>
      </c>
      <c r="M162" s="3" t="s">
        <v>134</v>
      </c>
      <c r="N162" s="3" t="s">
        <v>565</v>
      </c>
      <c r="O162" s="3" t="s">
        <v>1666</v>
      </c>
      <c r="P162" s="3" t="s">
        <v>1667</v>
      </c>
      <c r="Q162" s="3" t="s">
        <v>60</v>
      </c>
      <c r="R162" s="3" t="s">
        <v>2632</v>
      </c>
      <c r="S162" s="3" t="s">
        <v>96</v>
      </c>
      <c r="T162" s="17" t="s">
        <v>60</v>
      </c>
      <c r="U162" s="3" t="s">
        <v>97</v>
      </c>
      <c r="V162" s="3" t="s">
        <v>71</v>
      </c>
      <c r="W162" s="3" t="s">
        <v>175</v>
      </c>
      <c r="X162" s="9" t="str">
        <f>HYPERLINK("http://www.alsagr.com", "www.alsagr.com")</f>
        <v>www.alsagr.com</v>
      </c>
      <c r="Y162" s="9" t="str">
        <f>HYPERLINK("http://www.linkedin.com/company/al-sagr-cooperative-insurance-co", "http://www.linkedin.com/company/al-sagr-cooperative-insurance-co")</f>
        <v>http://www.linkedin.com/company/al-sagr-cooperative-insurance-co</v>
      </c>
      <c r="Z162" s="29">
        <v>217</v>
      </c>
      <c r="AA162" s="3" t="s">
        <v>2633</v>
      </c>
      <c r="AB162" s="3" t="s">
        <v>74</v>
      </c>
      <c r="AC162" s="3" t="s">
        <v>2634</v>
      </c>
      <c r="AD162" s="41">
        <v>1983</v>
      </c>
      <c r="AE162" s="3" t="s">
        <v>60</v>
      </c>
      <c r="AF162" s="53">
        <v>150.03</v>
      </c>
      <c r="AG162" s="53" t="s">
        <v>60</v>
      </c>
      <c r="AH162" s="53">
        <v>-11.45</v>
      </c>
      <c r="AI162" s="53">
        <v>37.78</v>
      </c>
      <c r="AJ162" s="53">
        <v>-9.26</v>
      </c>
      <c r="AK162" s="53">
        <v>-10.87</v>
      </c>
      <c r="AL162" s="53">
        <v>79.91</v>
      </c>
      <c r="AM162" s="53">
        <v>-55.68</v>
      </c>
      <c r="AN162" s="65">
        <v>24.3</v>
      </c>
      <c r="AO162" s="5" t="s">
        <v>179</v>
      </c>
      <c r="AP162" s="3" t="s">
        <v>2635</v>
      </c>
      <c r="AQ162" s="3" t="s">
        <v>2636</v>
      </c>
      <c r="AR162" s="3" t="s">
        <v>124</v>
      </c>
      <c r="AS162" s="3" t="s">
        <v>60</v>
      </c>
      <c r="AT162" s="3" t="s">
        <v>60</v>
      </c>
      <c r="AU162" s="3" t="s">
        <v>847</v>
      </c>
      <c r="AV162" s="3" t="s">
        <v>2637</v>
      </c>
      <c r="AW162" s="3" t="s">
        <v>2638</v>
      </c>
      <c r="AX162" s="3" t="s">
        <v>849</v>
      </c>
      <c r="AY162" s="3" t="s">
        <v>2639</v>
      </c>
      <c r="AZ162" s="5" t="s">
        <v>2640</v>
      </c>
      <c r="BA162" s="3" t="s">
        <v>87</v>
      </c>
      <c r="BB162" s="5" t="s">
        <v>60</v>
      </c>
      <c r="BC162" s="5" t="s">
        <v>60</v>
      </c>
      <c r="BD162" s="3" t="s">
        <v>2641</v>
      </c>
      <c r="BE162" s="3" t="s">
        <v>88</v>
      </c>
      <c r="BF162" s="3" t="s">
        <v>88</v>
      </c>
    </row>
    <row r="163" spans="1:58" x14ac:dyDescent="0.2">
      <c r="A163" s="2" t="s">
        <v>2642</v>
      </c>
      <c r="B163" s="2" t="s">
        <v>2643</v>
      </c>
      <c r="C163" s="2" t="s">
        <v>60</v>
      </c>
      <c r="D163" s="2" t="s">
        <v>60</v>
      </c>
      <c r="E163" s="2" t="s">
        <v>2644</v>
      </c>
      <c r="F163" s="2" t="s">
        <v>60</v>
      </c>
      <c r="G163" s="2" t="s">
        <v>2645</v>
      </c>
      <c r="H163" s="2" t="s">
        <v>60</v>
      </c>
      <c r="I163" s="2" t="s">
        <v>60</v>
      </c>
      <c r="J163" s="2" t="s">
        <v>60</v>
      </c>
      <c r="K163" s="2" t="s">
        <v>2642</v>
      </c>
      <c r="L163" s="2" t="s">
        <v>2646</v>
      </c>
      <c r="M163" s="2" t="s">
        <v>328</v>
      </c>
      <c r="N163" s="2" t="s">
        <v>401</v>
      </c>
      <c r="O163" s="2" t="s">
        <v>402</v>
      </c>
      <c r="P163" s="2" t="s">
        <v>403</v>
      </c>
      <c r="Q163" s="2" t="s">
        <v>60</v>
      </c>
      <c r="R163" s="2" t="s">
        <v>2647</v>
      </c>
      <c r="S163" s="2" t="s">
        <v>96</v>
      </c>
      <c r="T163" s="16" t="s">
        <v>60</v>
      </c>
      <c r="U163" s="2" t="s">
        <v>97</v>
      </c>
      <c r="V163" s="2" t="s">
        <v>71</v>
      </c>
      <c r="W163" s="2" t="s">
        <v>98</v>
      </c>
      <c r="X163" s="8" t="str">
        <f>HYPERLINK("http://www.nams.sa", "www.nams.sa")</f>
        <v>www.nams.sa</v>
      </c>
      <c r="Y163" s="2" t="s">
        <v>60</v>
      </c>
      <c r="Z163" s="28">
        <v>501</v>
      </c>
      <c r="AA163" s="2" t="s">
        <v>2648</v>
      </c>
      <c r="AB163" s="2" t="s">
        <v>74</v>
      </c>
      <c r="AC163" s="2" t="s">
        <v>2649</v>
      </c>
      <c r="AD163" s="40">
        <v>1984</v>
      </c>
      <c r="AE163" s="2" t="s">
        <v>60</v>
      </c>
      <c r="AF163" s="52">
        <v>52.2</v>
      </c>
      <c r="AG163" s="52">
        <v>16.760000000000002</v>
      </c>
      <c r="AH163" s="52">
        <v>6.11</v>
      </c>
      <c r="AI163" s="52">
        <v>200.38</v>
      </c>
      <c r="AJ163" s="52">
        <v>6.79</v>
      </c>
      <c r="AK163" s="52">
        <v>6.79</v>
      </c>
      <c r="AL163" s="52">
        <v>134.52000000000001</v>
      </c>
      <c r="AM163" s="52">
        <v>21.8</v>
      </c>
      <c r="AN163" s="64">
        <v>-0.35</v>
      </c>
      <c r="AO163" s="4" t="s">
        <v>76</v>
      </c>
      <c r="AP163" s="2" t="s">
        <v>2650</v>
      </c>
      <c r="AQ163" s="2" t="s">
        <v>2651</v>
      </c>
      <c r="AR163" s="2" t="s">
        <v>266</v>
      </c>
      <c r="AS163" s="2" t="s">
        <v>60</v>
      </c>
      <c r="AT163" s="2" t="s">
        <v>2652</v>
      </c>
      <c r="AU163" s="2" t="s">
        <v>2578</v>
      </c>
      <c r="AV163" s="2" t="s">
        <v>2653</v>
      </c>
      <c r="AW163" s="2" t="s">
        <v>2654</v>
      </c>
      <c r="AX163" s="2" t="s">
        <v>2580</v>
      </c>
      <c r="AY163" s="2" t="s">
        <v>60</v>
      </c>
      <c r="AZ163" s="4" t="s">
        <v>2655</v>
      </c>
      <c r="BA163" s="2" t="s">
        <v>87</v>
      </c>
      <c r="BB163" s="4" t="s">
        <v>2652</v>
      </c>
      <c r="BC163" s="4" t="s">
        <v>60</v>
      </c>
      <c r="BD163" s="2" t="s">
        <v>2656</v>
      </c>
      <c r="BE163" s="2" t="s">
        <v>88</v>
      </c>
      <c r="BF163" s="2" t="s">
        <v>88</v>
      </c>
    </row>
    <row r="164" spans="1:58" x14ac:dyDescent="0.2">
      <c r="A164" s="3" t="s">
        <v>2657</v>
      </c>
      <c r="B164" s="3" t="s">
        <v>2658</v>
      </c>
      <c r="C164" s="3" t="s">
        <v>60</v>
      </c>
      <c r="D164" s="3" t="s">
        <v>60</v>
      </c>
      <c r="E164" s="3" t="s">
        <v>60</v>
      </c>
      <c r="F164" s="3" t="s">
        <v>60</v>
      </c>
      <c r="G164" s="3" t="s">
        <v>2659</v>
      </c>
      <c r="H164" s="3" t="s">
        <v>60</v>
      </c>
      <c r="I164" s="3" t="s">
        <v>60</v>
      </c>
      <c r="J164" s="3" t="s">
        <v>60</v>
      </c>
      <c r="K164" s="3" t="s">
        <v>2657</v>
      </c>
      <c r="L164" s="3" t="s">
        <v>2660</v>
      </c>
      <c r="M164" s="3" t="s">
        <v>63</v>
      </c>
      <c r="N164" s="3" t="s">
        <v>92</v>
      </c>
      <c r="O164" s="3" t="s">
        <v>973</v>
      </c>
      <c r="P164" s="3" t="s">
        <v>2661</v>
      </c>
      <c r="Q164" s="3" t="s">
        <v>60</v>
      </c>
      <c r="R164" s="3" t="s">
        <v>2662</v>
      </c>
      <c r="S164" s="3" t="s">
        <v>96</v>
      </c>
      <c r="T164" s="17">
        <v>4.5199999999999996</v>
      </c>
      <c r="U164" s="3" t="s">
        <v>97</v>
      </c>
      <c r="V164" s="3" t="s">
        <v>71</v>
      </c>
      <c r="W164" s="3" t="s">
        <v>98</v>
      </c>
      <c r="X164" s="9" t="str">
        <f>HYPERLINK("http://www.ihr.sa", "www.ihr.sa")</f>
        <v>www.ihr.sa</v>
      </c>
      <c r="Y164" s="9" t="str">
        <f>HYPERLINK("http://www.linkedin.com/company/ihrjobs", "http://www.linkedin.com/company/ihrjobs")</f>
        <v>http://www.linkedin.com/company/ihrjobs</v>
      </c>
      <c r="Z164" s="29" t="s">
        <v>60</v>
      </c>
      <c r="AA164" s="3" t="s">
        <v>60</v>
      </c>
      <c r="AB164" s="3" t="s">
        <v>74</v>
      </c>
      <c r="AC164" s="3" t="s">
        <v>2663</v>
      </c>
      <c r="AD164" s="41">
        <v>2005</v>
      </c>
      <c r="AE164" s="3" t="s">
        <v>60</v>
      </c>
      <c r="AF164" s="53">
        <v>77.39</v>
      </c>
      <c r="AG164" s="53">
        <v>10.81</v>
      </c>
      <c r="AH164" s="53">
        <v>3.9</v>
      </c>
      <c r="AI164" s="53">
        <v>77.900000000000006</v>
      </c>
      <c r="AJ164" s="53" t="s">
        <v>60</v>
      </c>
      <c r="AK164" s="53">
        <v>4.16</v>
      </c>
      <c r="AL164" s="53">
        <v>75.91</v>
      </c>
      <c r="AM164" s="53">
        <v>3.47</v>
      </c>
      <c r="AN164" s="65" t="s">
        <v>60</v>
      </c>
      <c r="AO164" s="5" t="s">
        <v>179</v>
      </c>
      <c r="AP164" s="3" t="s">
        <v>2664</v>
      </c>
      <c r="AQ164" s="3" t="s">
        <v>2665</v>
      </c>
      <c r="AR164" s="3" t="s">
        <v>2666</v>
      </c>
      <c r="AS164" s="3" t="s">
        <v>60</v>
      </c>
      <c r="AT164" s="3" t="s">
        <v>2667</v>
      </c>
      <c r="AU164" s="3" t="s">
        <v>106</v>
      </c>
      <c r="AV164" s="3" t="s">
        <v>2668</v>
      </c>
      <c r="AW164" s="3" t="s">
        <v>2669</v>
      </c>
      <c r="AX164" s="3" t="s">
        <v>109</v>
      </c>
      <c r="AY164" s="3" t="s">
        <v>60</v>
      </c>
      <c r="AZ164" s="5" t="s">
        <v>60</v>
      </c>
      <c r="BA164" s="3" t="s">
        <v>87</v>
      </c>
      <c r="BB164" s="5" t="s">
        <v>2667</v>
      </c>
      <c r="BC164" s="5" t="s">
        <v>60</v>
      </c>
      <c r="BD164" s="3" t="s">
        <v>2670</v>
      </c>
      <c r="BE164" s="3" t="s">
        <v>88</v>
      </c>
      <c r="BF164" s="3" t="s">
        <v>88</v>
      </c>
    </row>
    <row r="165" spans="1:58" x14ac:dyDescent="0.2">
      <c r="A165" s="2" t="s">
        <v>2671</v>
      </c>
      <c r="B165" s="2" t="s">
        <v>2672</v>
      </c>
      <c r="C165" s="2" t="s">
        <v>60</v>
      </c>
      <c r="D165" s="2" t="s">
        <v>60</v>
      </c>
      <c r="E165" s="2" t="s">
        <v>60</v>
      </c>
      <c r="F165" s="2" t="s">
        <v>60</v>
      </c>
      <c r="G165" s="2" t="s">
        <v>2673</v>
      </c>
      <c r="H165" s="2" t="s">
        <v>60</v>
      </c>
      <c r="I165" s="2" t="s">
        <v>60</v>
      </c>
      <c r="J165" s="2" t="s">
        <v>60</v>
      </c>
      <c r="K165" s="2" t="s">
        <v>2671</v>
      </c>
      <c r="L165" s="2" t="s">
        <v>2674</v>
      </c>
      <c r="M165" s="2" t="s">
        <v>485</v>
      </c>
      <c r="N165" s="2" t="s">
        <v>2291</v>
      </c>
      <c r="O165" s="2" t="s">
        <v>2292</v>
      </c>
      <c r="P165" s="2" t="s">
        <v>2675</v>
      </c>
      <c r="Q165" s="2" t="s">
        <v>60</v>
      </c>
      <c r="R165" s="2" t="s">
        <v>2676</v>
      </c>
      <c r="S165" s="2" t="s">
        <v>96</v>
      </c>
      <c r="T165" s="16" t="s">
        <v>60</v>
      </c>
      <c r="U165" s="2" t="s">
        <v>97</v>
      </c>
      <c r="V165" s="2" t="s">
        <v>71</v>
      </c>
      <c r="W165" s="2" t="s">
        <v>98</v>
      </c>
      <c r="X165" s="8" t="str">
        <f>HYPERLINK("http://www.rawasi-albina.com", "www.rawasi-albina.com")</f>
        <v>www.rawasi-albina.com</v>
      </c>
      <c r="Y165" s="2" t="s">
        <v>60</v>
      </c>
      <c r="Z165" s="28">
        <v>360</v>
      </c>
      <c r="AA165" s="2" t="s">
        <v>2677</v>
      </c>
      <c r="AB165" s="2" t="s">
        <v>74</v>
      </c>
      <c r="AC165" s="2" t="s">
        <v>2678</v>
      </c>
      <c r="AD165" s="40">
        <v>2008</v>
      </c>
      <c r="AE165" s="2" t="s">
        <v>60</v>
      </c>
      <c r="AF165" s="52">
        <v>45.12</v>
      </c>
      <c r="AG165" s="52">
        <v>12.3</v>
      </c>
      <c r="AH165" s="52">
        <v>4.9000000000000004</v>
      </c>
      <c r="AI165" s="52">
        <v>25.75</v>
      </c>
      <c r="AJ165" s="52" t="s">
        <v>60</v>
      </c>
      <c r="AK165" s="52">
        <v>9.5500000000000007</v>
      </c>
      <c r="AL165" s="52">
        <v>5</v>
      </c>
      <c r="AM165" s="52">
        <v>0</v>
      </c>
      <c r="AN165" s="64">
        <v>56.76</v>
      </c>
      <c r="AO165" s="4" t="s">
        <v>76</v>
      </c>
      <c r="AP165" s="2" t="s">
        <v>2679</v>
      </c>
      <c r="AQ165" s="2" t="s">
        <v>2680</v>
      </c>
      <c r="AR165" s="2" t="s">
        <v>2666</v>
      </c>
      <c r="AS165" s="2" t="s">
        <v>2681</v>
      </c>
      <c r="AT165" s="2" t="s">
        <v>2682</v>
      </c>
      <c r="AU165" s="2" t="s">
        <v>106</v>
      </c>
      <c r="AV165" s="2" t="s">
        <v>2683</v>
      </c>
      <c r="AW165" s="2" t="s">
        <v>2684</v>
      </c>
      <c r="AX165" s="2" t="s">
        <v>109</v>
      </c>
      <c r="AY165" s="2" t="s">
        <v>60</v>
      </c>
      <c r="AZ165" s="4" t="s">
        <v>60</v>
      </c>
      <c r="BA165" s="2" t="s">
        <v>87</v>
      </c>
      <c r="BB165" s="4" t="s">
        <v>2682</v>
      </c>
      <c r="BC165" s="4" t="s">
        <v>2685</v>
      </c>
      <c r="BD165" s="2" t="s">
        <v>2686</v>
      </c>
      <c r="BE165" s="2" t="s">
        <v>88</v>
      </c>
      <c r="BF165" s="2" t="s">
        <v>88</v>
      </c>
    </row>
    <row r="166" spans="1:58" x14ac:dyDescent="0.2">
      <c r="A166" s="3" t="s">
        <v>2687</v>
      </c>
      <c r="B166" s="3" t="s">
        <v>2688</v>
      </c>
      <c r="C166" s="3" t="s">
        <v>60</v>
      </c>
      <c r="D166" s="3" t="s">
        <v>60</v>
      </c>
      <c r="E166" s="3" t="s">
        <v>60</v>
      </c>
      <c r="F166" s="3" t="s">
        <v>60</v>
      </c>
      <c r="G166" s="3" t="s">
        <v>2689</v>
      </c>
      <c r="H166" s="3" t="s">
        <v>60</v>
      </c>
      <c r="I166" s="3" t="s">
        <v>60</v>
      </c>
      <c r="J166" s="3" t="s">
        <v>60</v>
      </c>
      <c r="K166" s="3" t="s">
        <v>2687</v>
      </c>
      <c r="L166" s="3" t="s">
        <v>2690</v>
      </c>
      <c r="M166" s="3" t="s">
        <v>485</v>
      </c>
      <c r="N166" s="3" t="s">
        <v>1023</v>
      </c>
      <c r="O166" s="3" t="s">
        <v>1024</v>
      </c>
      <c r="P166" s="3" t="s">
        <v>1641</v>
      </c>
      <c r="Q166" s="3" t="s">
        <v>60</v>
      </c>
      <c r="R166" s="3" t="s">
        <v>2691</v>
      </c>
      <c r="S166" s="3" t="s">
        <v>96</v>
      </c>
      <c r="T166" s="17">
        <v>28.31</v>
      </c>
      <c r="U166" s="3" t="s">
        <v>97</v>
      </c>
      <c r="V166" s="3" t="s">
        <v>71</v>
      </c>
      <c r="W166" s="3" t="s">
        <v>98</v>
      </c>
      <c r="X166" s="9" t="str">
        <f>HYPERLINK("http://www.saudinetworkers.com", "www.saudinetworkers.com")</f>
        <v>www.saudinetworkers.com</v>
      </c>
      <c r="Y166" s="9" t="str">
        <f>HYPERLINK("http://www.linkedin.com/company/saudi-networkers-services", "http://www.linkedin.com/company/saudi-networkers-services")</f>
        <v>http://www.linkedin.com/company/saudi-networkers-services</v>
      </c>
      <c r="Z166" s="29" t="s">
        <v>60</v>
      </c>
      <c r="AA166" s="3" t="s">
        <v>60</v>
      </c>
      <c r="AB166" s="3" t="s">
        <v>74</v>
      </c>
      <c r="AC166" s="3" t="s">
        <v>2692</v>
      </c>
      <c r="AD166" s="41">
        <v>2001</v>
      </c>
      <c r="AE166" s="3" t="s">
        <v>60</v>
      </c>
      <c r="AF166" s="53">
        <v>156.01</v>
      </c>
      <c r="AG166" s="53">
        <v>21.47</v>
      </c>
      <c r="AH166" s="53">
        <v>8.4600000000000009</v>
      </c>
      <c r="AI166" s="53">
        <v>103.56</v>
      </c>
      <c r="AJ166" s="53">
        <v>10.81</v>
      </c>
      <c r="AK166" s="53">
        <v>10.48</v>
      </c>
      <c r="AL166" s="53">
        <v>123.06</v>
      </c>
      <c r="AM166" s="53">
        <v>-2.12</v>
      </c>
      <c r="AN166" s="65">
        <v>4.58</v>
      </c>
      <c r="AO166" s="5" t="s">
        <v>76</v>
      </c>
      <c r="AP166" s="3" t="s">
        <v>2693</v>
      </c>
      <c r="AQ166" s="3" t="s">
        <v>2694</v>
      </c>
      <c r="AR166" s="3" t="s">
        <v>2666</v>
      </c>
      <c r="AS166" s="3" t="s">
        <v>60</v>
      </c>
      <c r="AT166" s="3" t="s">
        <v>2695</v>
      </c>
      <c r="AU166" s="3" t="s">
        <v>106</v>
      </c>
      <c r="AV166" s="3" t="s">
        <v>2696</v>
      </c>
      <c r="AW166" s="3" t="s">
        <v>2697</v>
      </c>
      <c r="AX166" s="3" t="s">
        <v>109</v>
      </c>
      <c r="AY166" s="3" t="s">
        <v>60</v>
      </c>
      <c r="AZ166" s="5" t="s">
        <v>2698</v>
      </c>
      <c r="BA166" s="3" t="s">
        <v>87</v>
      </c>
      <c r="BB166" s="5" t="s">
        <v>2695</v>
      </c>
      <c r="BC166" s="5" t="s">
        <v>2699</v>
      </c>
      <c r="BD166" s="3" t="s">
        <v>2700</v>
      </c>
      <c r="BE166" s="3" t="s">
        <v>88</v>
      </c>
      <c r="BF166" s="3" t="s">
        <v>88</v>
      </c>
    </row>
    <row r="167" spans="1:58" x14ac:dyDescent="0.2">
      <c r="A167" s="2" t="s">
        <v>2701</v>
      </c>
      <c r="B167" s="2" t="s">
        <v>2702</v>
      </c>
      <c r="C167" s="2" t="s">
        <v>60</v>
      </c>
      <c r="D167" s="2" t="s">
        <v>60</v>
      </c>
      <c r="E167" s="2" t="s">
        <v>60</v>
      </c>
      <c r="F167" s="2" t="s">
        <v>60</v>
      </c>
      <c r="G167" s="2" t="s">
        <v>2703</v>
      </c>
      <c r="H167" s="2" t="s">
        <v>60</v>
      </c>
      <c r="I167" s="2" t="s">
        <v>60</v>
      </c>
      <c r="J167" s="2" t="s">
        <v>60</v>
      </c>
      <c r="K167" s="2" t="s">
        <v>2701</v>
      </c>
      <c r="L167" s="2" t="s">
        <v>2704</v>
      </c>
      <c r="M167" s="2" t="s">
        <v>115</v>
      </c>
      <c r="N167" s="2" t="s">
        <v>208</v>
      </c>
      <c r="O167" s="2" t="s">
        <v>710</v>
      </c>
      <c r="P167" s="2" t="s">
        <v>711</v>
      </c>
      <c r="Q167" s="2" t="s">
        <v>60</v>
      </c>
      <c r="R167" s="2" t="s">
        <v>2705</v>
      </c>
      <c r="S167" s="2" t="s">
        <v>96</v>
      </c>
      <c r="T167" s="16">
        <v>110.05</v>
      </c>
      <c r="U167" s="2" t="s">
        <v>97</v>
      </c>
      <c r="V167" s="2" t="s">
        <v>71</v>
      </c>
      <c r="W167" s="2" t="s">
        <v>98</v>
      </c>
      <c r="X167" s="8" t="str">
        <f>HYPERLINK("http://naqiwater.com", "naqiwater.com")</f>
        <v>naqiwater.com</v>
      </c>
      <c r="Y167" s="8" t="str">
        <f>HYPERLINK("http://www.linkedin.com/company/naqi-water", "http://www.linkedin.com/company/naqi-water")</f>
        <v>http://www.linkedin.com/company/naqi-water</v>
      </c>
      <c r="Z167" s="28" t="s">
        <v>60</v>
      </c>
      <c r="AA167" s="2" t="s">
        <v>60</v>
      </c>
      <c r="AB167" s="2" t="s">
        <v>74</v>
      </c>
      <c r="AC167" s="2" t="s">
        <v>2706</v>
      </c>
      <c r="AD167" s="40">
        <v>2014</v>
      </c>
      <c r="AE167" s="2" t="s">
        <v>60</v>
      </c>
      <c r="AF167" s="52">
        <v>50.33</v>
      </c>
      <c r="AG167" s="52">
        <v>18.350000000000001</v>
      </c>
      <c r="AH167" s="52">
        <v>3.52</v>
      </c>
      <c r="AI167" s="52">
        <v>264.55</v>
      </c>
      <c r="AJ167" s="52">
        <v>10.029999999999999</v>
      </c>
      <c r="AK167" s="52">
        <v>3.69</v>
      </c>
      <c r="AL167" s="52">
        <v>311.37</v>
      </c>
      <c r="AM167" s="52">
        <v>-19.559999999999999</v>
      </c>
      <c r="AN167" s="64">
        <v>-15.18</v>
      </c>
      <c r="AO167" s="4" t="s">
        <v>179</v>
      </c>
      <c r="AP167" s="2" t="s">
        <v>2707</v>
      </c>
      <c r="AQ167" s="2" t="s">
        <v>2708</v>
      </c>
      <c r="AR167" s="2" t="s">
        <v>215</v>
      </c>
      <c r="AS167" s="2" t="s">
        <v>2709</v>
      </c>
      <c r="AT167" s="2" t="s">
        <v>2710</v>
      </c>
      <c r="AU167" s="2" t="s">
        <v>2711</v>
      </c>
      <c r="AV167" s="2" t="s">
        <v>2712</v>
      </c>
      <c r="AW167" s="2" t="s">
        <v>2713</v>
      </c>
      <c r="AX167" s="2" t="s">
        <v>2714</v>
      </c>
      <c r="AY167" s="2" t="s">
        <v>60</v>
      </c>
      <c r="AZ167" s="4" t="s">
        <v>2715</v>
      </c>
      <c r="BA167" s="2" t="s">
        <v>87</v>
      </c>
      <c r="BB167" s="4" t="s">
        <v>2710</v>
      </c>
      <c r="BC167" s="4" t="s">
        <v>60</v>
      </c>
      <c r="BD167" s="2" t="s">
        <v>60</v>
      </c>
      <c r="BE167" s="2" t="s">
        <v>88</v>
      </c>
      <c r="BF167" s="2" t="s">
        <v>88</v>
      </c>
    </row>
    <row r="168" spans="1:58" x14ac:dyDescent="0.2">
      <c r="A168" s="3" t="s">
        <v>2716</v>
      </c>
      <c r="B168" s="3" t="s">
        <v>2717</v>
      </c>
      <c r="C168" s="3" t="s">
        <v>60</v>
      </c>
      <c r="D168" s="3" t="s">
        <v>60</v>
      </c>
      <c r="E168" s="3" t="s">
        <v>60</v>
      </c>
      <c r="F168" s="3" t="s">
        <v>2718</v>
      </c>
      <c r="G168" s="3" t="s">
        <v>2719</v>
      </c>
      <c r="H168" s="3" t="s">
        <v>60</v>
      </c>
      <c r="I168" s="3" t="s">
        <v>60</v>
      </c>
      <c r="J168" s="3" t="s">
        <v>60</v>
      </c>
      <c r="K168" s="3" t="s">
        <v>2716</v>
      </c>
      <c r="L168" s="3" t="s">
        <v>2720</v>
      </c>
      <c r="M168" s="3" t="s">
        <v>115</v>
      </c>
      <c r="N168" s="3" t="s">
        <v>368</v>
      </c>
      <c r="O168" s="3" t="s">
        <v>470</v>
      </c>
      <c r="P168" s="3" t="s">
        <v>2721</v>
      </c>
      <c r="Q168" s="3" t="s">
        <v>60</v>
      </c>
      <c r="R168" s="3" t="s">
        <v>2722</v>
      </c>
      <c r="S168" s="3" t="s">
        <v>372</v>
      </c>
      <c r="T168" s="17">
        <v>67.790000000000006</v>
      </c>
      <c r="U168" s="3" t="s">
        <v>97</v>
      </c>
      <c r="V168" s="3" t="s">
        <v>71</v>
      </c>
      <c r="W168" s="3" t="s">
        <v>72</v>
      </c>
      <c r="X168" s="9" t="str">
        <f>HYPERLINK("http://www.alamar.com", "www.alamar.com")</f>
        <v>www.alamar.com</v>
      </c>
      <c r="Y168" s="9" t="str">
        <f>HYPERLINK("http://www.linkedin.com/company/alamar-foods", "http://www.linkedin.com/company/alamar-foods")</f>
        <v>http://www.linkedin.com/company/alamar-foods</v>
      </c>
      <c r="Z168" s="29">
        <v>1909</v>
      </c>
      <c r="AA168" s="3" t="s">
        <v>2723</v>
      </c>
      <c r="AB168" s="3" t="s">
        <v>74</v>
      </c>
      <c r="AC168" s="3" t="s">
        <v>2724</v>
      </c>
      <c r="AD168" s="41">
        <v>1992</v>
      </c>
      <c r="AE168" s="3" t="s">
        <v>60</v>
      </c>
      <c r="AF168" s="53">
        <v>243.29</v>
      </c>
      <c r="AG168" s="53">
        <v>71.06</v>
      </c>
      <c r="AH168" s="53">
        <v>13.76</v>
      </c>
      <c r="AI168" s="53">
        <v>373.97</v>
      </c>
      <c r="AJ168" s="53">
        <v>44.87</v>
      </c>
      <c r="AK168" s="53">
        <v>15.8</v>
      </c>
      <c r="AL168" s="53">
        <v>295.72000000000003</v>
      </c>
      <c r="AM168" s="53">
        <v>30.48</v>
      </c>
      <c r="AN168" s="65">
        <v>2.9</v>
      </c>
      <c r="AO168" s="5" t="s">
        <v>179</v>
      </c>
      <c r="AP168" s="3" t="s">
        <v>2725</v>
      </c>
      <c r="AQ168" s="3" t="s">
        <v>2726</v>
      </c>
      <c r="AR168" s="3" t="s">
        <v>124</v>
      </c>
      <c r="AS168" s="3" t="s">
        <v>2727</v>
      </c>
      <c r="AT168" s="3" t="s">
        <v>2728</v>
      </c>
      <c r="AU168" s="3" t="s">
        <v>106</v>
      </c>
      <c r="AV168" s="3" t="s">
        <v>2729</v>
      </c>
      <c r="AW168" s="3" t="s">
        <v>2730</v>
      </c>
      <c r="AX168" s="3" t="s">
        <v>109</v>
      </c>
      <c r="AY168" s="3" t="s">
        <v>60</v>
      </c>
      <c r="AZ168" s="5" t="s">
        <v>2731</v>
      </c>
      <c r="BA168" s="3" t="s">
        <v>87</v>
      </c>
      <c r="BB168" s="5" t="s">
        <v>2728</v>
      </c>
      <c r="BC168" s="5" t="s">
        <v>2732</v>
      </c>
      <c r="BD168" s="3" t="s">
        <v>2733</v>
      </c>
      <c r="BE168" s="3" t="s">
        <v>88</v>
      </c>
      <c r="BF168" s="3" t="s">
        <v>88</v>
      </c>
    </row>
    <row r="169" spans="1:58" x14ac:dyDescent="0.2">
      <c r="A169" s="2" t="s">
        <v>2734</v>
      </c>
      <c r="B169" s="2" t="s">
        <v>2735</v>
      </c>
      <c r="C169" s="2" t="s">
        <v>60</v>
      </c>
      <c r="D169" s="2" t="s">
        <v>60</v>
      </c>
      <c r="E169" s="2" t="s">
        <v>60</v>
      </c>
      <c r="F169" s="2" t="s">
        <v>60</v>
      </c>
      <c r="G169" s="2" t="s">
        <v>2736</v>
      </c>
      <c r="H169" s="2" t="s">
        <v>60</v>
      </c>
      <c r="I169" s="2" t="s">
        <v>60</v>
      </c>
      <c r="J169" s="2" t="s">
        <v>60</v>
      </c>
      <c r="K169" s="2" t="s">
        <v>2734</v>
      </c>
      <c r="L169" s="2" t="s">
        <v>2737</v>
      </c>
      <c r="M169" s="2" t="s">
        <v>328</v>
      </c>
      <c r="N169" s="2" t="s">
        <v>329</v>
      </c>
      <c r="O169" s="2" t="s">
        <v>330</v>
      </c>
      <c r="P169" s="2" t="s">
        <v>1715</v>
      </c>
      <c r="Q169" s="2" t="s">
        <v>60</v>
      </c>
      <c r="R169" s="2" t="s">
        <v>2738</v>
      </c>
      <c r="S169" s="2" t="s">
        <v>96</v>
      </c>
      <c r="T169" s="16" t="s">
        <v>60</v>
      </c>
      <c r="U169" s="2" t="s">
        <v>97</v>
      </c>
      <c r="V169" s="2" t="s">
        <v>71</v>
      </c>
      <c r="W169" s="2" t="s">
        <v>98</v>
      </c>
      <c r="X169" s="8" t="str">
        <f>HYPERLINK("http://www.fc.med.sa", "www.fc.med.sa")</f>
        <v>www.fc.med.sa</v>
      </c>
      <c r="Y169" s="2" t="s">
        <v>60</v>
      </c>
      <c r="Z169" s="28">
        <v>288</v>
      </c>
      <c r="AA169" s="2" t="s">
        <v>2739</v>
      </c>
      <c r="AB169" s="2" t="s">
        <v>74</v>
      </c>
      <c r="AC169" s="2" t="s">
        <v>2740</v>
      </c>
      <c r="AD169" s="40">
        <v>2015</v>
      </c>
      <c r="AE169" s="2" t="s">
        <v>60</v>
      </c>
      <c r="AF169" s="52">
        <v>11.79</v>
      </c>
      <c r="AG169" s="52">
        <v>4.99</v>
      </c>
      <c r="AH169" s="52">
        <v>1.58</v>
      </c>
      <c r="AI169" s="52">
        <v>330.12</v>
      </c>
      <c r="AJ169" s="52">
        <v>2.36</v>
      </c>
      <c r="AK169" s="52">
        <v>2.0099999999999998</v>
      </c>
      <c r="AL169" s="52">
        <v>255.7</v>
      </c>
      <c r="AM169" s="52">
        <v>-4.95</v>
      </c>
      <c r="AN169" s="64">
        <v>-48.1</v>
      </c>
      <c r="AO169" s="4" t="s">
        <v>76</v>
      </c>
      <c r="AP169" s="2" t="s">
        <v>2741</v>
      </c>
      <c r="AQ169" s="2" t="s">
        <v>2742</v>
      </c>
      <c r="AR169" s="2" t="s">
        <v>2743</v>
      </c>
      <c r="AS169" s="2" t="s">
        <v>60</v>
      </c>
      <c r="AT169" s="2" t="s">
        <v>2744</v>
      </c>
      <c r="AU169" s="2" t="s">
        <v>82</v>
      </c>
      <c r="AV169" s="2" t="s">
        <v>2745</v>
      </c>
      <c r="AW169" s="2" t="s">
        <v>2746</v>
      </c>
      <c r="AX169" s="2" t="s">
        <v>85</v>
      </c>
      <c r="AY169" s="2" t="s">
        <v>60</v>
      </c>
      <c r="AZ169" s="4" t="s">
        <v>2747</v>
      </c>
      <c r="BA169" s="2" t="s">
        <v>87</v>
      </c>
      <c r="BB169" s="4" t="s">
        <v>2744</v>
      </c>
      <c r="BC169" s="4" t="s">
        <v>2744</v>
      </c>
      <c r="BD169" s="2" t="s">
        <v>2748</v>
      </c>
      <c r="BE169" s="2" t="s">
        <v>88</v>
      </c>
      <c r="BF169" s="2" t="s">
        <v>88</v>
      </c>
    </row>
    <row r="170" spans="1:58" x14ac:dyDescent="0.2">
      <c r="A170" s="3" t="s">
        <v>2749</v>
      </c>
      <c r="B170" s="3" t="s">
        <v>2750</v>
      </c>
      <c r="C170" s="3" t="s">
        <v>60</v>
      </c>
      <c r="D170" s="3" t="s">
        <v>60</v>
      </c>
      <c r="E170" s="3" t="s">
        <v>60</v>
      </c>
      <c r="F170" s="3" t="s">
        <v>60</v>
      </c>
      <c r="G170" s="3" t="s">
        <v>2751</v>
      </c>
      <c r="H170" s="3" t="s">
        <v>60</v>
      </c>
      <c r="I170" s="3" t="s">
        <v>60</v>
      </c>
      <c r="J170" s="3" t="s">
        <v>60</v>
      </c>
      <c r="K170" s="3" t="s">
        <v>2749</v>
      </c>
      <c r="L170" s="3" t="s">
        <v>2752</v>
      </c>
      <c r="M170" s="3" t="s">
        <v>115</v>
      </c>
      <c r="N170" s="3" t="s">
        <v>116</v>
      </c>
      <c r="O170" s="3" t="s">
        <v>155</v>
      </c>
      <c r="P170" s="3" t="s">
        <v>156</v>
      </c>
      <c r="Q170" s="3" t="s">
        <v>2753</v>
      </c>
      <c r="R170" s="3" t="s">
        <v>2754</v>
      </c>
      <c r="S170" s="3" t="s">
        <v>96</v>
      </c>
      <c r="T170" s="17" t="s">
        <v>60</v>
      </c>
      <c r="U170" s="3" t="s">
        <v>97</v>
      </c>
      <c r="V170" s="3" t="s">
        <v>71</v>
      </c>
      <c r="W170" s="3" t="s">
        <v>98</v>
      </c>
      <c r="X170" s="9" t="str">
        <f>HYPERLINK("http://www.aol.edu.sa", "www.aol.edu.sa")</f>
        <v>www.aol.edu.sa</v>
      </c>
      <c r="Y170" s="3" t="s">
        <v>60</v>
      </c>
      <c r="Z170" s="29">
        <v>207</v>
      </c>
      <c r="AA170" s="3" t="s">
        <v>2755</v>
      </c>
      <c r="AB170" s="3" t="s">
        <v>74</v>
      </c>
      <c r="AC170" s="3" t="s">
        <v>2756</v>
      </c>
      <c r="AD170" s="41">
        <v>2004</v>
      </c>
      <c r="AE170" s="3" t="s">
        <v>60</v>
      </c>
      <c r="AF170" s="53">
        <v>33.770000000000003</v>
      </c>
      <c r="AG170" s="53">
        <v>15.58</v>
      </c>
      <c r="AH170" s="53">
        <v>5.25</v>
      </c>
      <c r="AI170" s="53">
        <v>231.76</v>
      </c>
      <c r="AJ170" s="53">
        <v>11.81</v>
      </c>
      <c r="AK170" s="53">
        <v>7.15</v>
      </c>
      <c r="AL170" s="53">
        <v>266.08999999999997</v>
      </c>
      <c r="AM170" s="53">
        <v>23.76</v>
      </c>
      <c r="AN170" s="65">
        <v>36.72</v>
      </c>
      <c r="AO170" s="5" t="s">
        <v>100</v>
      </c>
      <c r="AP170" s="3" t="s">
        <v>60</v>
      </c>
      <c r="AQ170" s="3" t="s">
        <v>60</v>
      </c>
      <c r="AR170" s="3" t="s">
        <v>60</v>
      </c>
      <c r="AS170" s="3" t="s">
        <v>60</v>
      </c>
      <c r="AT170" s="3" t="s">
        <v>60</v>
      </c>
      <c r="AU170" s="3" t="s">
        <v>847</v>
      </c>
      <c r="AV170" s="3" t="s">
        <v>2757</v>
      </c>
      <c r="AW170" s="3" t="s">
        <v>2758</v>
      </c>
      <c r="AX170" s="3" t="s">
        <v>849</v>
      </c>
      <c r="AY170" s="3" t="s">
        <v>60</v>
      </c>
      <c r="AZ170" s="5" t="s">
        <v>2759</v>
      </c>
      <c r="BA170" s="3" t="s">
        <v>87</v>
      </c>
      <c r="BB170" s="5" t="s">
        <v>2760</v>
      </c>
      <c r="BC170" s="5" t="s">
        <v>2761</v>
      </c>
      <c r="BD170" s="3" t="s">
        <v>2762</v>
      </c>
      <c r="BE170" s="3" t="s">
        <v>88</v>
      </c>
      <c r="BF170" s="3" t="s">
        <v>88</v>
      </c>
    </row>
    <row r="171" spans="1:58" x14ac:dyDescent="0.2">
      <c r="A171" s="2" t="s">
        <v>2763</v>
      </c>
      <c r="B171" s="2" t="s">
        <v>2764</v>
      </c>
      <c r="C171" s="2" t="s">
        <v>60</v>
      </c>
      <c r="D171" s="2" t="s">
        <v>60</v>
      </c>
      <c r="E171" s="2" t="s">
        <v>60</v>
      </c>
      <c r="F171" s="2" t="s">
        <v>60</v>
      </c>
      <c r="G171" s="2" t="s">
        <v>2765</v>
      </c>
      <c r="H171" s="2" t="s">
        <v>60</v>
      </c>
      <c r="I171" s="2" t="s">
        <v>60</v>
      </c>
      <c r="J171" s="2" t="s">
        <v>60</v>
      </c>
      <c r="K171" s="2" t="s">
        <v>2763</v>
      </c>
      <c r="L171" s="2" t="s">
        <v>2766</v>
      </c>
      <c r="M171" s="2" t="s">
        <v>485</v>
      </c>
      <c r="N171" s="2" t="s">
        <v>2291</v>
      </c>
      <c r="O171" s="2" t="s">
        <v>2292</v>
      </c>
      <c r="P171" s="2" t="s">
        <v>2767</v>
      </c>
      <c r="Q171" s="2" t="s">
        <v>60</v>
      </c>
      <c r="R171" s="2" t="s">
        <v>2768</v>
      </c>
      <c r="S171" s="2" t="s">
        <v>96</v>
      </c>
      <c r="T171" s="16" t="s">
        <v>60</v>
      </c>
      <c r="U171" s="2" t="s">
        <v>97</v>
      </c>
      <c r="V171" s="2" t="s">
        <v>71</v>
      </c>
      <c r="W171" s="2" t="s">
        <v>98</v>
      </c>
      <c r="X171" s="8" t="str">
        <f>HYPERLINK("http://www.keir.com.sa", "www.keir.com.sa")</f>
        <v>www.keir.com.sa</v>
      </c>
      <c r="Y171" s="8" t="str">
        <f>HYPERLINK("http://www.linkedin.com/company/keircompany", "http://www.linkedin.com/company/keircompany")</f>
        <v>http://www.linkedin.com/company/keircompany</v>
      </c>
      <c r="Z171" s="28">
        <v>358</v>
      </c>
      <c r="AA171" s="2" t="s">
        <v>2769</v>
      </c>
      <c r="AB171" s="2" t="s">
        <v>74</v>
      </c>
      <c r="AC171" s="2" t="s">
        <v>2770</v>
      </c>
      <c r="AD171" s="40">
        <v>2008</v>
      </c>
      <c r="AE171" s="2" t="s">
        <v>60</v>
      </c>
      <c r="AF171" s="52">
        <v>70.14</v>
      </c>
      <c r="AG171" s="52">
        <v>15.08</v>
      </c>
      <c r="AH171" s="52">
        <v>0.12</v>
      </c>
      <c r="AI171" s="52">
        <v>171.63</v>
      </c>
      <c r="AJ171" s="52">
        <v>3.44</v>
      </c>
      <c r="AK171" s="52">
        <v>2.31</v>
      </c>
      <c r="AL171" s="52">
        <v>126.24</v>
      </c>
      <c r="AM171" s="52">
        <v>17.64</v>
      </c>
      <c r="AN171" s="64">
        <v>57</v>
      </c>
      <c r="AO171" s="4" t="s">
        <v>100</v>
      </c>
      <c r="AP171" s="2" t="s">
        <v>2771</v>
      </c>
      <c r="AQ171" s="2" t="s">
        <v>2772</v>
      </c>
      <c r="AR171" s="2" t="s">
        <v>79</v>
      </c>
      <c r="AS171" s="2" t="s">
        <v>60</v>
      </c>
      <c r="AT171" s="2" t="s">
        <v>2773</v>
      </c>
      <c r="AU171" s="2" t="s">
        <v>106</v>
      </c>
      <c r="AV171" s="2" t="s">
        <v>2774</v>
      </c>
      <c r="AW171" s="2" t="s">
        <v>2775</v>
      </c>
      <c r="AX171" s="2" t="s">
        <v>109</v>
      </c>
      <c r="AY171" s="2" t="s">
        <v>60</v>
      </c>
      <c r="AZ171" s="4" t="s">
        <v>2776</v>
      </c>
      <c r="BA171" s="2" t="s">
        <v>87</v>
      </c>
      <c r="BB171" s="4" t="s">
        <v>2773</v>
      </c>
      <c r="BC171" s="4" t="s">
        <v>60</v>
      </c>
      <c r="BD171" s="2" t="s">
        <v>2777</v>
      </c>
      <c r="BE171" s="2" t="s">
        <v>88</v>
      </c>
      <c r="BF171" s="2" t="s">
        <v>88</v>
      </c>
    </row>
    <row r="172" spans="1:58" x14ac:dyDescent="0.2">
      <c r="A172" s="3" t="s">
        <v>2778</v>
      </c>
      <c r="B172" s="3" t="s">
        <v>2779</v>
      </c>
      <c r="C172" s="3" t="s">
        <v>60</v>
      </c>
      <c r="D172" s="3" t="s">
        <v>60</v>
      </c>
      <c r="E172" s="3" t="s">
        <v>60</v>
      </c>
      <c r="F172" s="3" t="s">
        <v>60</v>
      </c>
      <c r="G172" s="3" t="s">
        <v>2780</v>
      </c>
      <c r="H172" s="3" t="s">
        <v>60</v>
      </c>
      <c r="I172" s="3" t="s">
        <v>60</v>
      </c>
      <c r="J172" s="3" t="s">
        <v>60</v>
      </c>
      <c r="K172" s="3" t="s">
        <v>2778</v>
      </c>
      <c r="L172" s="3" t="s">
        <v>2781</v>
      </c>
      <c r="M172" s="3" t="s">
        <v>63</v>
      </c>
      <c r="N172" s="3" t="s">
        <v>92</v>
      </c>
      <c r="O172" s="3" t="s">
        <v>584</v>
      </c>
      <c r="P172" s="3" t="s">
        <v>585</v>
      </c>
      <c r="Q172" s="3" t="s">
        <v>60</v>
      </c>
      <c r="R172" s="3" t="s">
        <v>2782</v>
      </c>
      <c r="S172" s="3" t="s">
        <v>96</v>
      </c>
      <c r="T172" s="17" t="s">
        <v>60</v>
      </c>
      <c r="U172" s="3" t="s">
        <v>97</v>
      </c>
      <c r="V172" s="3" t="s">
        <v>71</v>
      </c>
      <c r="W172" s="3" t="s">
        <v>98</v>
      </c>
      <c r="X172" s="9" t="str">
        <f>HYPERLINK("http://www.retal.com.sa", "www.retal.com.sa")</f>
        <v>www.retal.com.sa</v>
      </c>
      <c r="Y172" s="9" t="str">
        <f>HYPERLINK("http://www.linkedin.com/company/retal-sa", "http://www.linkedin.com/company/retal-sa")</f>
        <v>http://www.linkedin.com/company/retal-sa</v>
      </c>
      <c r="Z172" s="29">
        <v>1073</v>
      </c>
      <c r="AA172" s="3" t="s">
        <v>2783</v>
      </c>
      <c r="AB172" s="3" t="s">
        <v>74</v>
      </c>
      <c r="AC172" s="3" t="s">
        <v>2784</v>
      </c>
      <c r="AD172" s="41">
        <v>2012</v>
      </c>
      <c r="AE172" s="3" t="s">
        <v>60</v>
      </c>
      <c r="AF172" s="53">
        <v>617.80999999999995</v>
      </c>
      <c r="AG172" s="53">
        <v>135.72</v>
      </c>
      <c r="AH172" s="53">
        <v>74.92</v>
      </c>
      <c r="AI172" s="53">
        <v>1797.63</v>
      </c>
      <c r="AJ172" s="53">
        <v>124.34</v>
      </c>
      <c r="AK172" s="53">
        <v>115.84</v>
      </c>
      <c r="AL172" s="53">
        <v>1641.6</v>
      </c>
      <c r="AM172" s="53">
        <v>189.14</v>
      </c>
      <c r="AN172" s="65">
        <v>20.67</v>
      </c>
      <c r="AO172" s="5" t="s">
        <v>179</v>
      </c>
      <c r="AP172" s="3" t="s">
        <v>2785</v>
      </c>
      <c r="AQ172" s="3" t="s">
        <v>2786</v>
      </c>
      <c r="AR172" s="3" t="s">
        <v>79</v>
      </c>
      <c r="AS172" s="3" t="s">
        <v>2787</v>
      </c>
      <c r="AT172" s="3" t="s">
        <v>60</v>
      </c>
      <c r="AU172" s="3" t="s">
        <v>700</v>
      </c>
      <c r="AV172" s="3" t="s">
        <v>2788</v>
      </c>
      <c r="AW172" s="3" t="s">
        <v>2789</v>
      </c>
      <c r="AX172" s="3" t="s">
        <v>703</v>
      </c>
      <c r="AY172" s="3" t="s">
        <v>60</v>
      </c>
      <c r="AZ172" s="5" t="s">
        <v>60</v>
      </c>
      <c r="BA172" s="3" t="s">
        <v>87</v>
      </c>
      <c r="BB172" s="5" t="s">
        <v>60</v>
      </c>
      <c r="BC172" s="5" t="s">
        <v>60</v>
      </c>
      <c r="BD172" s="3" t="s">
        <v>60</v>
      </c>
      <c r="BE172" s="3" t="s">
        <v>88</v>
      </c>
      <c r="BF172" s="3" t="s">
        <v>88</v>
      </c>
    </row>
    <row r="173" spans="1:58" x14ac:dyDescent="0.2">
      <c r="A173" s="2" t="s">
        <v>2790</v>
      </c>
      <c r="B173" s="2" t="s">
        <v>2791</v>
      </c>
      <c r="C173" s="2" t="s">
        <v>60</v>
      </c>
      <c r="D173" s="2" t="s">
        <v>60</v>
      </c>
      <c r="E173" s="2" t="s">
        <v>60</v>
      </c>
      <c r="F173" s="2" t="s">
        <v>60</v>
      </c>
      <c r="G173" s="2" t="s">
        <v>2792</v>
      </c>
      <c r="H173" s="2" t="s">
        <v>60</v>
      </c>
      <c r="I173" s="2" t="s">
        <v>60</v>
      </c>
      <c r="J173" s="2" t="s">
        <v>60</v>
      </c>
      <c r="K173" s="2" t="s">
        <v>2790</v>
      </c>
      <c r="L173" s="2" t="s">
        <v>2793</v>
      </c>
      <c r="M173" s="2" t="s">
        <v>115</v>
      </c>
      <c r="N173" s="2" t="s">
        <v>2794</v>
      </c>
      <c r="O173" s="2" t="s">
        <v>2795</v>
      </c>
      <c r="P173" s="2" t="s">
        <v>2796</v>
      </c>
      <c r="Q173" s="2" t="s">
        <v>60</v>
      </c>
      <c r="R173" s="2" t="s">
        <v>2797</v>
      </c>
      <c r="S173" s="2" t="s">
        <v>96</v>
      </c>
      <c r="T173" s="16" t="s">
        <v>60</v>
      </c>
      <c r="U173" s="2" t="s">
        <v>97</v>
      </c>
      <c r="V173" s="2" t="s">
        <v>71</v>
      </c>
      <c r="W173" s="2" t="s">
        <v>98</v>
      </c>
      <c r="X173" s="8" t="str">
        <f>HYPERLINK("http://www.amwaj-trd.com", "www.amwaj-trd.com")</f>
        <v>www.amwaj-trd.com</v>
      </c>
      <c r="Y173" s="8" t="str">
        <f>HYPERLINK("http://www.linkedin.com/company/amwaj-international-ltd-co", "http://www.linkedin.com/company/amwaj-international-ltd-co")</f>
        <v>http://www.linkedin.com/company/amwaj-international-ltd-co</v>
      </c>
      <c r="Z173" s="28">
        <v>187</v>
      </c>
      <c r="AA173" s="2" t="s">
        <v>2798</v>
      </c>
      <c r="AB173" s="2" t="s">
        <v>74</v>
      </c>
      <c r="AC173" s="2" t="s">
        <v>2799</v>
      </c>
      <c r="AD173" s="40">
        <v>2001</v>
      </c>
      <c r="AE173" s="2" t="s">
        <v>60</v>
      </c>
      <c r="AF173" s="52">
        <v>80.45</v>
      </c>
      <c r="AG173" s="52">
        <v>12.13</v>
      </c>
      <c r="AH173" s="52">
        <v>1.52</v>
      </c>
      <c r="AI173" s="52">
        <v>95.86</v>
      </c>
      <c r="AJ173" s="52">
        <v>2.62</v>
      </c>
      <c r="AK173" s="52">
        <v>1.47</v>
      </c>
      <c r="AL173" s="52">
        <v>36.76</v>
      </c>
      <c r="AM173" s="52">
        <v>27.97</v>
      </c>
      <c r="AN173" s="64">
        <v>-1.1299999999999999</v>
      </c>
      <c r="AO173" s="4" t="s">
        <v>76</v>
      </c>
      <c r="AP173" s="2" t="s">
        <v>2800</v>
      </c>
      <c r="AQ173" s="2" t="s">
        <v>2801</v>
      </c>
      <c r="AR173" s="2" t="s">
        <v>2802</v>
      </c>
      <c r="AS173" s="2" t="s">
        <v>2803</v>
      </c>
      <c r="AT173" s="2" t="s">
        <v>2804</v>
      </c>
      <c r="AU173" s="2" t="s">
        <v>106</v>
      </c>
      <c r="AV173" s="2" t="s">
        <v>2805</v>
      </c>
      <c r="AW173" s="2" t="s">
        <v>2806</v>
      </c>
      <c r="AX173" s="2" t="s">
        <v>109</v>
      </c>
      <c r="AY173" s="2" t="s">
        <v>60</v>
      </c>
      <c r="AZ173" s="4" t="s">
        <v>2807</v>
      </c>
      <c r="BA173" s="2" t="s">
        <v>87</v>
      </c>
      <c r="BB173" s="4" t="s">
        <v>2804</v>
      </c>
      <c r="BC173" s="4" t="s">
        <v>2808</v>
      </c>
      <c r="BD173" s="2" t="s">
        <v>60</v>
      </c>
      <c r="BE173" s="2" t="s">
        <v>88</v>
      </c>
      <c r="BF173" s="2" t="s">
        <v>88</v>
      </c>
    </row>
    <row r="174" spans="1:58" x14ac:dyDescent="0.2">
      <c r="A174" s="3" t="s">
        <v>2809</v>
      </c>
      <c r="B174" s="3" t="s">
        <v>2810</v>
      </c>
      <c r="C174" s="3" t="s">
        <v>60</v>
      </c>
      <c r="D174" s="3" t="s">
        <v>60</v>
      </c>
      <c r="E174" s="3" t="s">
        <v>60</v>
      </c>
      <c r="F174" s="3" t="s">
        <v>60</v>
      </c>
      <c r="G174" s="3" t="s">
        <v>2811</v>
      </c>
      <c r="H174" s="3" t="s">
        <v>60</v>
      </c>
      <c r="I174" s="3" t="s">
        <v>60</v>
      </c>
      <c r="J174" s="3" t="s">
        <v>60</v>
      </c>
      <c r="K174" s="3" t="s">
        <v>2809</v>
      </c>
      <c r="L174" s="3" t="s">
        <v>2812</v>
      </c>
      <c r="M174" s="3" t="s">
        <v>134</v>
      </c>
      <c r="N174" s="3" t="s">
        <v>135</v>
      </c>
      <c r="O174" s="3" t="s">
        <v>136</v>
      </c>
      <c r="P174" s="3" t="s">
        <v>2813</v>
      </c>
      <c r="Q174" s="3" t="s">
        <v>60</v>
      </c>
      <c r="R174" s="3" t="s">
        <v>2814</v>
      </c>
      <c r="S174" s="3" t="s">
        <v>96</v>
      </c>
      <c r="T174" s="17">
        <v>2395.09</v>
      </c>
      <c r="U174" s="3" t="s">
        <v>97</v>
      </c>
      <c r="V174" s="3" t="s">
        <v>71</v>
      </c>
      <c r="W174" s="3" t="s">
        <v>98</v>
      </c>
      <c r="X174" s="9" t="str">
        <f>HYPERLINK("http://ladun.sa", "ladun.sa")</f>
        <v>ladun.sa</v>
      </c>
      <c r="Y174" s="9" t="str">
        <f>HYPERLINK("http://www.linkedin.com/company/ladun", "http://www.linkedin.com/company/ladun")</f>
        <v>http://www.linkedin.com/company/ladun</v>
      </c>
      <c r="Z174" s="29">
        <v>1896</v>
      </c>
      <c r="AA174" s="3" t="s">
        <v>2815</v>
      </c>
      <c r="AB174" s="3" t="s">
        <v>74</v>
      </c>
      <c r="AC174" s="3" t="s">
        <v>2816</v>
      </c>
      <c r="AD174" s="41">
        <v>1968</v>
      </c>
      <c r="AE174" s="3" t="s">
        <v>60</v>
      </c>
      <c r="AF174" s="53">
        <v>398.72</v>
      </c>
      <c r="AG174" s="53">
        <v>70.25</v>
      </c>
      <c r="AH174" s="53">
        <v>14.63</v>
      </c>
      <c r="AI174" s="53">
        <v>770.91</v>
      </c>
      <c r="AJ174" s="53">
        <v>13.85</v>
      </c>
      <c r="AK174" s="53">
        <v>13.85</v>
      </c>
      <c r="AL174" s="53">
        <v>306.31</v>
      </c>
      <c r="AM174" s="53">
        <v>252.31</v>
      </c>
      <c r="AN174" s="65">
        <v>4.7</v>
      </c>
      <c r="AO174" s="5" t="s">
        <v>76</v>
      </c>
      <c r="AP174" s="3" t="s">
        <v>2817</v>
      </c>
      <c r="AQ174" s="3" t="s">
        <v>2818</v>
      </c>
      <c r="AR174" s="3" t="s">
        <v>299</v>
      </c>
      <c r="AS174" s="3" t="s">
        <v>2819</v>
      </c>
      <c r="AT174" s="3" t="s">
        <v>2820</v>
      </c>
      <c r="AU174" s="3" t="s">
        <v>106</v>
      </c>
      <c r="AV174" s="3" t="s">
        <v>2166</v>
      </c>
      <c r="AW174" s="3" t="s">
        <v>2821</v>
      </c>
      <c r="AX174" s="3" t="s">
        <v>109</v>
      </c>
      <c r="AY174" s="3" t="s">
        <v>60</v>
      </c>
      <c r="AZ174" s="5" t="s">
        <v>917</v>
      </c>
      <c r="BA174" s="3" t="s">
        <v>87</v>
      </c>
      <c r="BB174" s="5" t="s">
        <v>2820</v>
      </c>
      <c r="BC174" s="5" t="s">
        <v>2822</v>
      </c>
      <c r="BD174" s="3" t="s">
        <v>2823</v>
      </c>
      <c r="BE174" s="3" t="s">
        <v>88</v>
      </c>
      <c r="BF174" s="3" t="s">
        <v>88</v>
      </c>
    </row>
    <row r="175" spans="1:58" x14ac:dyDescent="0.2">
      <c r="A175" s="2" t="s">
        <v>2824</v>
      </c>
      <c r="B175" s="2" t="s">
        <v>2825</v>
      </c>
      <c r="C175" s="2" t="s">
        <v>60</v>
      </c>
      <c r="D175" s="2" t="s">
        <v>60</v>
      </c>
      <c r="E175" s="2" t="s">
        <v>60</v>
      </c>
      <c r="F175" s="2" t="s">
        <v>60</v>
      </c>
      <c r="G175" s="2" t="s">
        <v>2826</v>
      </c>
      <c r="H175" s="2" t="s">
        <v>60</v>
      </c>
      <c r="I175" s="2" t="s">
        <v>60</v>
      </c>
      <c r="J175" s="2" t="s">
        <v>60</v>
      </c>
      <c r="K175" s="2" t="s">
        <v>2824</v>
      </c>
      <c r="L175" s="2" t="s">
        <v>2827</v>
      </c>
      <c r="M175" s="2" t="s">
        <v>115</v>
      </c>
      <c r="N175" s="2" t="s">
        <v>208</v>
      </c>
      <c r="O175" s="2" t="s">
        <v>226</v>
      </c>
      <c r="P175" s="2" t="s">
        <v>227</v>
      </c>
      <c r="Q175" s="2" t="s">
        <v>60</v>
      </c>
      <c r="R175" s="2" t="s">
        <v>2828</v>
      </c>
      <c r="S175" s="2" t="s">
        <v>96</v>
      </c>
      <c r="T175" s="16">
        <v>5.0999999999999996</v>
      </c>
      <c r="U175" s="2" t="s">
        <v>97</v>
      </c>
      <c r="V175" s="2" t="s">
        <v>71</v>
      </c>
      <c r="W175" s="2" t="s">
        <v>98</v>
      </c>
      <c r="X175" s="8" t="str">
        <f>HYPERLINK("http://www.fadeco.com", "www.fadeco.com")</f>
        <v>www.fadeco.com</v>
      </c>
      <c r="Y175" s="8" t="str">
        <f>HYPERLINK("http://www.linkedin.com/company/fadeco-sa", "http://www.linkedin.com/company/fadeco-sa")</f>
        <v>http://www.linkedin.com/company/fadeco-sa</v>
      </c>
      <c r="Z175" s="28">
        <v>212</v>
      </c>
      <c r="AA175" s="2" t="s">
        <v>2829</v>
      </c>
      <c r="AB175" s="2" t="s">
        <v>74</v>
      </c>
      <c r="AC175" s="2" t="s">
        <v>2830</v>
      </c>
      <c r="AD175" s="40">
        <v>1979</v>
      </c>
      <c r="AE175" s="2" t="s">
        <v>60</v>
      </c>
      <c r="AF175" s="52">
        <v>16.87</v>
      </c>
      <c r="AG175" s="52">
        <v>7.83</v>
      </c>
      <c r="AH175" s="52">
        <v>0.57999999999999996</v>
      </c>
      <c r="AI175" s="52">
        <v>25.62</v>
      </c>
      <c r="AJ175" s="52">
        <v>2.4300000000000002</v>
      </c>
      <c r="AK175" s="52">
        <v>1.1599999999999999</v>
      </c>
      <c r="AL175" s="52">
        <v>18.78</v>
      </c>
      <c r="AM175" s="52">
        <v>0.03</v>
      </c>
      <c r="AN175" s="64">
        <v>2.95</v>
      </c>
      <c r="AO175" s="4" t="s">
        <v>76</v>
      </c>
      <c r="AP175" s="2" t="s">
        <v>2831</v>
      </c>
      <c r="AQ175" s="2" t="s">
        <v>2832</v>
      </c>
      <c r="AR175" s="2" t="s">
        <v>124</v>
      </c>
      <c r="AS175" s="2" t="s">
        <v>2833</v>
      </c>
      <c r="AT175" s="2" t="s">
        <v>2834</v>
      </c>
      <c r="AU175" s="2" t="s">
        <v>847</v>
      </c>
      <c r="AV175" s="2" t="s">
        <v>2835</v>
      </c>
      <c r="AW175" s="2" t="s">
        <v>60</v>
      </c>
      <c r="AX175" s="2" t="s">
        <v>849</v>
      </c>
      <c r="AY175" s="2" t="s">
        <v>60</v>
      </c>
      <c r="AZ175" s="4" t="s">
        <v>2836</v>
      </c>
      <c r="BA175" s="2" t="s">
        <v>87</v>
      </c>
      <c r="BB175" s="4" t="s">
        <v>2834</v>
      </c>
      <c r="BC175" s="4" t="s">
        <v>2837</v>
      </c>
      <c r="BD175" s="2" t="s">
        <v>60</v>
      </c>
      <c r="BE175" s="2" t="s">
        <v>88</v>
      </c>
      <c r="BF175" s="2" t="s">
        <v>88</v>
      </c>
    </row>
    <row r="176" spans="1:58" x14ac:dyDescent="0.2">
      <c r="A176" s="3" t="s">
        <v>2838</v>
      </c>
      <c r="B176" s="3" t="s">
        <v>2839</v>
      </c>
      <c r="C176" s="3" t="s">
        <v>60</v>
      </c>
      <c r="D176" s="3" t="s">
        <v>60</v>
      </c>
      <c r="E176" s="3" t="s">
        <v>60</v>
      </c>
      <c r="F176" s="3" t="s">
        <v>60</v>
      </c>
      <c r="G176" s="3" t="s">
        <v>2840</v>
      </c>
      <c r="H176" s="3" t="s">
        <v>60</v>
      </c>
      <c r="I176" s="3" t="s">
        <v>60</v>
      </c>
      <c r="J176" s="3" t="s">
        <v>60</v>
      </c>
      <c r="K176" s="3" t="s">
        <v>2838</v>
      </c>
      <c r="L176" s="3" t="s">
        <v>2841</v>
      </c>
      <c r="M176" s="3" t="s">
        <v>63</v>
      </c>
      <c r="N176" s="3" t="s">
        <v>92</v>
      </c>
      <c r="O176" s="3" t="s">
        <v>171</v>
      </c>
      <c r="P176" s="3" t="s">
        <v>1326</v>
      </c>
      <c r="Q176" s="3" t="s">
        <v>60</v>
      </c>
      <c r="R176" s="3" t="s">
        <v>2842</v>
      </c>
      <c r="S176" s="3" t="s">
        <v>96</v>
      </c>
      <c r="T176" s="17" t="s">
        <v>60</v>
      </c>
      <c r="U176" s="3" t="s">
        <v>97</v>
      </c>
      <c r="V176" s="3" t="s">
        <v>71</v>
      </c>
      <c r="W176" s="3" t="s">
        <v>98</v>
      </c>
      <c r="X176" s="9" t="str">
        <f>HYPERLINK("http://www.tadweeer.com", "www.tadweeer.com")</f>
        <v>www.tadweeer.com</v>
      </c>
      <c r="Y176" s="9" t="str">
        <f>HYPERLINK("http://www.linkedin.com/company/tadweeer-national-environment-recycling-co", "http://www.linkedin.com/company/tadweeer-national-environment-recycling-co")</f>
        <v>http://www.linkedin.com/company/tadweeer-national-environment-recycling-co</v>
      </c>
      <c r="Z176" s="29">
        <v>91</v>
      </c>
      <c r="AA176" s="3" t="s">
        <v>2843</v>
      </c>
      <c r="AB176" s="3" t="s">
        <v>74</v>
      </c>
      <c r="AC176" s="3" t="s">
        <v>2844</v>
      </c>
      <c r="AD176" s="41">
        <v>2015</v>
      </c>
      <c r="AE176" s="3" t="s">
        <v>60</v>
      </c>
      <c r="AF176" s="53">
        <v>256.87</v>
      </c>
      <c r="AG176" s="53">
        <v>23.46</v>
      </c>
      <c r="AH176" s="53">
        <v>14.29</v>
      </c>
      <c r="AI176" s="53">
        <v>276.48</v>
      </c>
      <c r="AJ176" s="53">
        <v>22.56</v>
      </c>
      <c r="AK176" s="53">
        <v>19.260000000000002</v>
      </c>
      <c r="AL176" s="53">
        <v>217.2</v>
      </c>
      <c r="AM176" s="53">
        <v>68.28</v>
      </c>
      <c r="AN176" s="65" t="s">
        <v>60</v>
      </c>
      <c r="AO176" s="5" t="s">
        <v>179</v>
      </c>
      <c r="AP176" s="3" t="s">
        <v>2845</v>
      </c>
      <c r="AQ176" s="3" t="s">
        <v>2846</v>
      </c>
      <c r="AR176" s="3" t="s">
        <v>1377</v>
      </c>
      <c r="AS176" s="3" t="s">
        <v>60</v>
      </c>
      <c r="AT176" s="3" t="s">
        <v>2847</v>
      </c>
      <c r="AU176" s="3" t="s">
        <v>106</v>
      </c>
      <c r="AV176" s="3" t="s">
        <v>2848</v>
      </c>
      <c r="AW176" s="3" t="s">
        <v>2849</v>
      </c>
      <c r="AX176" s="3" t="s">
        <v>109</v>
      </c>
      <c r="AY176" s="3" t="s">
        <v>60</v>
      </c>
      <c r="AZ176" s="5" t="s">
        <v>60</v>
      </c>
      <c r="BA176" s="3" t="s">
        <v>87</v>
      </c>
      <c r="BB176" s="5" t="s">
        <v>2847</v>
      </c>
      <c r="BC176" s="5" t="s">
        <v>2850</v>
      </c>
      <c r="BD176" s="3" t="s">
        <v>60</v>
      </c>
      <c r="BE176" s="3" t="s">
        <v>88</v>
      </c>
      <c r="BF176" s="3" t="s">
        <v>88</v>
      </c>
    </row>
    <row r="177" spans="1:58" x14ac:dyDescent="0.2">
      <c r="A177" s="2" t="s">
        <v>2851</v>
      </c>
      <c r="B177" s="2" t="s">
        <v>2852</v>
      </c>
      <c r="C177" s="2" t="s">
        <v>60</v>
      </c>
      <c r="D177" s="2" t="s">
        <v>60</v>
      </c>
      <c r="E177" s="2" t="s">
        <v>60</v>
      </c>
      <c r="F177" s="2" t="s">
        <v>60</v>
      </c>
      <c r="G177" s="2" t="s">
        <v>2853</v>
      </c>
      <c r="H177" s="2" t="s">
        <v>60</v>
      </c>
      <c r="I177" s="2" t="s">
        <v>60</v>
      </c>
      <c r="J177" s="2" t="s">
        <v>60</v>
      </c>
      <c r="K177" s="2" t="s">
        <v>2851</v>
      </c>
      <c r="L177" s="2" t="s">
        <v>2854</v>
      </c>
      <c r="M177" s="2" t="s">
        <v>241</v>
      </c>
      <c r="N177" s="2" t="s">
        <v>839</v>
      </c>
      <c r="O177" s="2" t="s">
        <v>840</v>
      </c>
      <c r="P177" s="2" t="s">
        <v>841</v>
      </c>
      <c r="Q177" s="2" t="s">
        <v>60</v>
      </c>
      <c r="R177" s="2" t="s">
        <v>2855</v>
      </c>
      <c r="S177" s="2" t="s">
        <v>96</v>
      </c>
      <c r="T177" s="16" t="s">
        <v>60</v>
      </c>
      <c r="U177" s="2" t="s">
        <v>97</v>
      </c>
      <c r="V177" s="2" t="s">
        <v>71</v>
      </c>
      <c r="W177" s="2" t="s">
        <v>98</v>
      </c>
      <c r="X177" s="8" t="str">
        <f>HYPERLINK("http://aqaseem.com", "aqaseem.com")</f>
        <v>aqaseem.com</v>
      </c>
      <c r="Y177" s="2" t="s">
        <v>60</v>
      </c>
      <c r="Z177" s="28">
        <v>162</v>
      </c>
      <c r="AA177" s="2" t="s">
        <v>2856</v>
      </c>
      <c r="AB177" s="2" t="s">
        <v>74</v>
      </c>
      <c r="AC177" s="2" t="s">
        <v>2857</v>
      </c>
      <c r="AD177" s="40">
        <v>1997</v>
      </c>
      <c r="AE177" s="2" t="s">
        <v>60</v>
      </c>
      <c r="AF177" s="52">
        <v>33.950000000000003</v>
      </c>
      <c r="AG177" s="52">
        <v>7.77</v>
      </c>
      <c r="AH177" s="52">
        <v>-0.47</v>
      </c>
      <c r="AI177" s="52">
        <v>58.68</v>
      </c>
      <c r="AJ177" s="52">
        <v>1.92</v>
      </c>
      <c r="AK177" s="52">
        <v>0.52</v>
      </c>
      <c r="AL177" s="52">
        <v>29.9</v>
      </c>
      <c r="AM177" s="52">
        <v>11.9</v>
      </c>
      <c r="AN177" s="64">
        <v>-24.84</v>
      </c>
      <c r="AO177" s="4" t="s">
        <v>76</v>
      </c>
      <c r="AP177" s="2" t="s">
        <v>2858</v>
      </c>
      <c r="AQ177" s="2" t="s">
        <v>2859</v>
      </c>
      <c r="AR177" s="2" t="s">
        <v>1377</v>
      </c>
      <c r="AS177" s="2" t="s">
        <v>60</v>
      </c>
      <c r="AT177" s="2" t="s">
        <v>2860</v>
      </c>
      <c r="AU177" s="2" t="s">
        <v>106</v>
      </c>
      <c r="AV177" s="2" t="s">
        <v>2861</v>
      </c>
      <c r="AW177" s="2" t="s">
        <v>60</v>
      </c>
      <c r="AX177" s="2" t="s">
        <v>109</v>
      </c>
      <c r="AY177" s="2" t="s">
        <v>60</v>
      </c>
      <c r="AZ177" s="4" t="s">
        <v>1350</v>
      </c>
      <c r="BA177" s="2" t="s">
        <v>87</v>
      </c>
      <c r="BB177" s="4" t="s">
        <v>2860</v>
      </c>
      <c r="BC177" s="4" t="s">
        <v>2862</v>
      </c>
      <c r="BD177" s="2" t="s">
        <v>2863</v>
      </c>
      <c r="BE177" s="2" t="s">
        <v>88</v>
      </c>
      <c r="BF177" s="2" t="s">
        <v>88</v>
      </c>
    </row>
    <row r="178" spans="1:58" x14ac:dyDescent="0.2">
      <c r="A178" s="3" t="s">
        <v>2864</v>
      </c>
      <c r="B178" s="3" t="s">
        <v>2865</v>
      </c>
      <c r="C178" s="3" t="s">
        <v>60</v>
      </c>
      <c r="D178" s="3" t="s">
        <v>60</v>
      </c>
      <c r="E178" s="3" t="s">
        <v>2866</v>
      </c>
      <c r="F178" s="3" t="s">
        <v>60</v>
      </c>
      <c r="G178" s="3" t="s">
        <v>2867</v>
      </c>
      <c r="H178" s="3" t="s">
        <v>60</v>
      </c>
      <c r="I178" s="3" t="s">
        <v>60</v>
      </c>
      <c r="J178" s="3" t="s">
        <v>60</v>
      </c>
      <c r="K178" s="3" t="s">
        <v>2864</v>
      </c>
      <c r="L178" s="3" t="s">
        <v>2868</v>
      </c>
      <c r="M178" s="3" t="s">
        <v>485</v>
      </c>
      <c r="N178" s="3" t="s">
        <v>486</v>
      </c>
      <c r="O178" s="3" t="s">
        <v>2869</v>
      </c>
      <c r="P178" s="3" t="s">
        <v>2870</v>
      </c>
      <c r="Q178" s="3" t="s">
        <v>2421</v>
      </c>
      <c r="R178" s="3" t="s">
        <v>2871</v>
      </c>
      <c r="S178" s="3" t="s">
        <v>96</v>
      </c>
      <c r="T178" s="17" t="s">
        <v>60</v>
      </c>
      <c r="U178" s="3" t="s">
        <v>97</v>
      </c>
      <c r="V178" s="3" t="s">
        <v>71</v>
      </c>
      <c r="W178" s="3" t="s">
        <v>98</v>
      </c>
      <c r="X178" s="9" t="str">
        <f>HYPERLINK("http://www.naseej.com", "www.naseej.com")</f>
        <v>www.naseej.com</v>
      </c>
      <c r="Y178" s="9" t="str">
        <f>HYPERLINK("http://www.linkedin.com/company/naseej-aas", "http://www.linkedin.com/company/naseej-aas")</f>
        <v>http://www.linkedin.com/company/naseej-aas</v>
      </c>
      <c r="Z178" s="29" t="s">
        <v>60</v>
      </c>
      <c r="AA178" s="3" t="s">
        <v>60</v>
      </c>
      <c r="AB178" s="3" t="s">
        <v>74</v>
      </c>
      <c r="AC178" s="3" t="s">
        <v>2872</v>
      </c>
      <c r="AD178" s="41">
        <v>1989</v>
      </c>
      <c r="AE178" s="3" t="s">
        <v>60</v>
      </c>
      <c r="AF178" s="53">
        <v>64.8</v>
      </c>
      <c r="AG178" s="53">
        <v>16.100000000000001</v>
      </c>
      <c r="AH178" s="53">
        <v>1.3</v>
      </c>
      <c r="AI178" s="53">
        <v>54.02</v>
      </c>
      <c r="AJ178" s="53">
        <v>3.88</v>
      </c>
      <c r="AK178" s="53">
        <v>3.06</v>
      </c>
      <c r="AL178" s="53">
        <v>61.8</v>
      </c>
      <c r="AM178" s="53">
        <v>3.73</v>
      </c>
      <c r="AN178" s="65">
        <v>6.81</v>
      </c>
      <c r="AO178" s="5" t="s">
        <v>76</v>
      </c>
      <c r="AP178" s="3" t="s">
        <v>2873</v>
      </c>
      <c r="AQ178" s="3" t="s">
        <v>2874</v>
      </c>
      <c r="AR178" s="3" t="s">
        <v>2875</v>
      </c>
      <c r="AS178" s="3" t="s">
        <v>2876</v>
      </c>
      <c r="AT178" s="3" t="s">
        <v>2877</v>
      </c>
      <c r="AU178" s="3" t="s">
        <v>106</v>
      </c>
      <c r="AV178" s="3" t="s">
        <v>2878</v>
      </c>
      <c r="AW178" s="3" t="s">
        <v>2879</v>
      </c>
      <c r="AX178" s="3" t="s">
        <v>109</v>
      </c>
      <c r="AY178" s="3" t="s">
        <v>60</v>
      </c>
      <c r="AZ178" s="5" t="s">
        <v>2880</v>
      </c>
      <c r="BA178" s="3" t="s">
        <v>87</v>
      </c>
      <c r="BB178" s="5" t="s">
        <v>2877</v>
      </c>
      <c r="BC178" s="5" t="s">
        <v>2881</v>
      </c>
      <c r="BD178" s="3" t="s">
        <v>60</v>
      </c>
      <c r="BE178" s="3" t="s">
        <v>88</v>
      </c>
      <c r="BF178" s="3" t="s">
        <v>88</v>
      </c>
    </row>
    <row r="179" spans="1:58" x14ac:dyDescent="0.2">
      <c r="A179" s="2" t="s">
        <v>2882</v>
      </c>
      <c r="B179" s="2" t="s">
        <v>2883</v>
      </c>
      <c r="C179" s="2" t="s">
        <v>60</v>
      </c>
      <c r="D179" s="2" t="s">
        <v>60</v>
      </c>
      <c r="E179" s="2" t="s">
        <v>2884</v>
      </c>
      <c r="F179" s="2" t="s">
        <v>2885</v>
      </c>
      <c r="G179" s="2" t="s">
        <v>60</v>
      </c>
      <c r="H179" s="2" t="s">
        <v>60</v>
      </c>
      <c r="I179" s="2" t="s">
        <v>60</v>
      </c>
      <c r="J179" s="2" t="s">
        <v>2886</v>
      </c>
      <c r="K179" s="2" t="s">
        <v>2882</v>
      </c>
      <c r="L179" s="2" t="s">
        <v>2887</v>
      </c>
      <c r="M179" s="2" t="s">
        <v>134</v>
      </c>
      <c r="N179" s="2" t="s">
        <v>135</v>
      </c>
      <c r="O179" s="2" t="s">
        <v>136</v>
      </c>
      <c r="P179" s="2" t="s">
        <v>2888</v>
      </c>
      <c r="Q179" s="2" t="s">
        <v>60</v>
      </c>
      <c r="R179" s="2" t="s">
        <v>2889</v>
      </c>
      <c r="S179" s="2" t="s">
        <v>96</v>
      </c>
      <c r="T179" s="16">
        <v>1010.92</v>
      </c>
      <c r="U179" s="2" t="s">
        <v>97</v>
      </c>
      <c r="V179" s="2" t="s">
        <v>71</v>
      </c>
      <c r="W179" s="2" t="s">
        <v>72</v>
      </c>
      <c r="X179" s="8" t="str">
        <f>HYPERLINK("http://kingdom.com.sa", "kingdom.com.sa")</f>
        <v>kingdom.com.sa</v>
      </c>
      <c r="Y179" s="8" t="str">
        <f>HYPERLINK("http://www.linkedin.com/company/kingdom-holding-company_985798", "http://www.linkedin.com/company/kingdom-holding-company_985798")</f>
        <v>http://www.linkedin.com/company/kingdom-holding-company_985798</v>
      </c>
      <c r="Z179" s="28">
        <v>42</v>
      </c>
      <c r="AA179" s="2" t="s">
        <v>2890</v>
      </c>
      <c r="AB179" s="2" t="s">
        <v>74</v>
      </c>
      <c r="AC179" s="2" t="s">
        <v>2891</v>
      </c>
      <c r="AD179" s="40">
        <v>1979</v>
      </c>
      <c r="AE179" s="2" t="s">
        <v>60</v>
      </c>
      <c r="AF179" s="52">
        <v>680.65</v>
      </c>
      <c r="AG179" s="52">
        <v>398.39</v>
      </c>
      <c r="AH179" s="52">
        <v>452.82</v>
      </c>
      <c r="AI179" s="52">
        <v>10708.35</v>
      </c>
      <c r="AJ179" s="52">
        <v>777.66</v>
      </c>
      <c r="AK179" s="52">
        <v>722.71</v>
      </c>
      <c r="AL179" s="52">
        <v>8064.8</v>
      </c>
      <c r="AM179" s="52">
        <v>2891.53</v>
      </c>
      <c r="AN179" s="64">
        <v>0.13</v>
      </c>
      <c r="AO179" s="4" t="s">
        <v>179</v>
      </c>
      <c r="AP179" s="2" t="s">
        <v>2892</v>
      </c>
      <c r="AQ179" s="2" t="s">
        <v>2893</v>
      </c>
      <c r="AR179" s="2" t="s">
        <v>299</v>
      </c>
      <c r="AS179" s="2" t="s">
        <v>60</v>
      </c>
      <c r="AT179" s="2" t="s">
        <v>2894</v>
      </c>
      <c r="AU179" s="2" t="s">
        <v>106</v>
      </c>
      <c r="AV179" s="2" t="s">
        <v>60</v>
      </c>
      <c r="AW179" s="2" t="s">
        <v>60</v>
      </c>
      <c r="AX179" s="2" t="s">
        <v>109</v>
      </c>
      <c r="AY179" s="2" t="s">
        <v>60</v>
      </c>
      <c r="AZ179" s="4" t="s">
        <v>2895</v>
      </c>
      <c r="BA179" s="2" t="s">
        <v>87</v>
      </c>
      <c r="BB179" s="4" t="s">
        <v>2894</v>
      </c>
      <c r="BC179" s="4" t="s">
        <v>2896</v>
      </c>
      <c r="BD179" s="2" t="s">
        <v>2897</v>
      </c>
      <c r="BE179" s="2" t="s">
        <v>88</v>
      </c>
      <c r="BF179" s="2" t="s">
        <v>88</v>
      </c>
    </row>
    <row r="180" spans="1:58" x14ac:dyDescent="0.2">
      <c r="A180" s="3" t="s">
        <v>2898</v>
      </c>
      <c r="B180" s="3" t="s">
        <v>2899</v>
      </c>
      <c r="C180" s="3" t="s">
        <v>60</v>
      </c>
      <c r="D180" s="3" t="s">
        <v>60</v>
      </c>
      <c r="E180" s="3" t="s">
        <v>2900</v>
      </c>
      <c r="F180" s="3" t="s">
        <v>60</v>
      </c>
      <c r="G180" s="3" t="s">
        <v>2901</v>
      </c>
      <c r="H180" s="3" t="s">
        <v>60</v>
      </c>
      <c r="I180" s="3" t="s">
        <v>60</v>
      </c>
      <c r="J180" s="3" t="s">
        <v>60</v>
      </c>
      <c r="K180" s="3" t="s">
        <v>2898</v>
      </c>
      <c r="L180" s="3" t="s">
        <v>2902</v>
      </c>
      <c r="M180" s="3" t="s">
        <v>134</v>
      </c>
      <c r="N180" s="3" t="s">
        <v>135</v>
      </c>
      <c r="O180" s="3" t="s">
        <v>2903</v>
      </c>
      <c r="P180" s="3" t="s">
        <v>2904</v>
      </c>
      <c r="Q180" s="3" t="s">
        <v>60</v>
      </c>
      <c r="R180" s="3" t="s">
        <v>2905</v>
      </c>
      <c r="S180" s="3" t="s">
        <v>96</v>
      </c>
      <c r="T180" s="17">
        <v>159.78</v>
      </c>
      <c r="U180" s="3" t="s">
        <v>97</v>
      </c>
      <c r="V180" s="3" t="s">
        <v>71</v>
      </c>
      <c r="W180" s="3" t="s">
        <v>98</v>
      </c>
      <c r="X180" s="9" t="str">
        <f>HYPERLINK("http://www.shlfinance.com", "www.shlfinance.com")</f>
        <v>www.shlfinance.com</v>
      </c>
      <c r="Y180" s="9" t="str">
        <f>HYPERLINK("http://www.linkedin.com/company/saudi-home-loans", "http://www.linkedin.com/company/saudi-home-loans")</f>
        <v>http://www.linkedin.com/company/saudi-home-loans</v>
      </c>
      <c r="Z180" s="29" t="s">
        <v>60</v>
      </c>
      <c r="AA180" s="3" t="s">
        <v>60</v>
      </c>
      <c r="AB180" s="3" t="s">
        <v>74</v>
      </c>
      <c r="AC180" s="3" t="s">
        <v>2906</v>
      </c>
      <c r="AD180" s="41">
        <v>2008</v>
      </c>
      <c r="AE180" s="3" t="s">
        <v>60</v>
      </c>
      <c r="AF180" s="53">
        <v>49.36</v>
      </c>
      <c r="AG180" s="53" t="s">
        <v>60</v>
      </c>
      <c r="AH180" s="53">
        <v>11.99</v>
      </c>
      <c r="AI180" s="53" t="s">
        <v>60</v>
      </c>
      <c r="AJ180" s="53" t="s">
        <v>60</v>
      </c>
      <c r="AK180" s="53" t="s">
        <v>60</v>
      </c>
      <c r="AL180" s="53">
        <v>425.91</v>
      </c>
      <c r="AM180" s="53">
        <v>771</v>
      </c>
      <c r="AN180" s="65">
        <v>46.89</v>
      </c>
      <c r="AO180" s="5" t="s">
        <v>179</v>
      </c>
      <c r="AP180" s="3" t="s">
        <v>2907</v>
      </c>
      <c r="AQ180" s="3" t="s">
        <v>2908</v>
      </c>
      <c r="AR180" s="3" t="s">
        <v>79</v>
      </c>
      <c r="AS180" s="3" t="s">
        <v>2909</v>
      </c>
      <c r="AT180" s="3" t="s">
        <v>2910</v>
      </c>
      <c r="AU180" s="3" t="s">
        <v>106</v>
      </c>
      <c r="AV180" s="3" t="s">
        <v>2911</v>
      </c>
      <c r="AW180" s="3" t="s">
        <v>2912</v>
      </c>
      <c r="AX180" s="3" t="s">
        <v>109</v>
      </c>
      <c r="AY180" s="3" t="s">
        <v>60</v>
      </c>
      <c r="AZ180" s="5" t="s">
        <v>2913</v>
      </c>
      <c r="BA180" s="3" t="s">
        <v>87</v>
      </c>
      <c r="BB180" s="5" t="s">
        <v>2910</v>
      </c>
      <c r="BC180" s="5" t="s">
        <v>2914</v>
      </c>
      <c r="BD180" s="3" t="s">
        <v>60</v>
      </c>
      <c r="BE180" s="3" t="s">
        <v>88</v>
      </c>
      <c r="BF180" s="3" t="s">
        <v>88</v>
      </c>
    </row>
    <row r="181" spans="1:58" x14ac:dyDescent="0.2">
      <c r="A181" s="2" t="s">
        <v>2915</v>
      </c>
      <c r="B181" s="2" t="s">
        <v>2916</v>
      </c>
      <c r="C181" s="2" t="s">
        <v>60</v>
      </c>
      <c r="D181" s="2" t="s">
        <v>60</v>
      </c>
      <c r="E181" s="2" t="s">
        <v>60</v>
      </c>
      <c r="F181" s="2" t="s">
        <v>2917</v>
      </c>
      <c r="G181" s="2" t="s">
        <v>2918</v>
      </c>
      <c r="H181" s="2" t="s">
        <v>60</v>
      </c>
      <c r="I181" s="2" t="s">
        <v>60</v>
      </c>
      <c r="J181" s="2" t="s">
        <v>2919</v>
      </c>
      <c r="K181" s="2" t="s">
        <v>2915</v>
      </c>
      <c r="L181" s="2" t="s">
        <v>2920</v>
      </c>
      <c r="M181" s="2" t="s">
        <v>241</v>
      </c>
      <c r="N181" s="2" t="s">
        <v>1219</v>
      </c>
      <c r="O181" s="2" t="s">
        <v>2921</v>
      </c>
      <c r="P181" s="2" t="s">
        <v>2922</v>
      </c>
      <c r="Q181" s="2" t="s">
        <v>60</v>
      </c>
      <c r="R181" s="2" t="s">
        <v>2923</v>
      </c>
      <c r="S181" s="2" t="s">
        <v>96</v>
      </c>
      <c r="T181" s="16" t="s">
        <v>60</v>
      </c>
      <c r="U181" s="2" t="s">
        <v>70</v>
      </c>
      <c r="V181" s="2" t="s">
        <v>71</v>
      </c>
      <c r="W181" s="2" t="s">
        <v>98</v>
      </c>
      <c r="X181" s="8" t="str">
        <f>HYPERLINK("http://www.nadec.com", "www.nadec.com")</f>
        <v>www.nadec.com</v>
      </c>
      <c r="Y181" s="8" t="str">
        <f>HYPERLINK("http://www.linkedin.com/company/nadecfoods", "http://www.linkedin.com/company/nadecfoods")</f>
        <v>http://www.linkedin.com/company/nadecfoods</v>
      </c>
      <c r="Z181" s="28">
        <v>4600</v>
      </c>
      <c r="AA181" s="2" t="s">
        <v>2924</v>
      </c>
      <c r="AB181" s="2" t="s">
        <v>74</v>
      </c>
      <c r="AC181" s="2" t="s">
        <v>2925</v>
      </c>
      <c r="AD181" s="40">
        <v>1981</v>
      </c>
      <c r="AE181" s="2" t="s">
        <v>60</v>
      </c>
      <c r="AF181" s="52">
        <v>923.13</v>
      </c>
      <c r="AG181" s="52">
        <v>313.64999999999998</v>
      </c>
      <c r="AH181" s="52">
        <v>206.98</v>
      </c>
      <c r="AI181" s="52">
        <v>1401.85</v>
      </c>
      <c r="AJ181" s="52">
        <v>277.23</v>
      </c>
      <c r="AK181" s="52">
        <v>201.07</v>
      </c>
      <c r="AL181" s="52">
        <v>1446.2</v>
      </c>
      <c r="AM181" s="52">
        <v>-300.57</v>
      </c>
      <c r="AN181" s="64">
        <v>7.03</v>
      </c>
      <c r="AO181" s="4" t="s">
        <v>179</v>
      </c>
      <c r="AP181" s="2" t="s">
        <v>2926</v>
      </c>
      <c r="AQ181" s="2" t="s">
        <v>2927</v>
      </c>
      <c r="AR181" s="2" t="s">
        <v>2928</v>
      </c>
      <c r="AS181" s="2" t="s">
        <v>60</v>
      </c>
      <c r="AT181" s="2" t="s">
        <v>2929</v>
      </c>
      <c r="AU181" s="2" t="s">
        <v>106</v>
      </c>
      <c r="AV181" s="2" t="s">
        <v>2930</v>
      </c>
      <c r="AW181" s="2" t="s">
        <v>2931</v>
      </c>
      <c r="AX181" s="2" t="s">
        <v>109</v>
      </c>
      <c r="AY181" s="2" t="s">
        <v>60</v>
      </c>
      <c r="AZ181" s="4" t="s">
        <v>1350</v>
      </c>
      <c r="BA181" s="2" t="s">
        <v>87</v>
      </c>
      <c r="BB181" s="4" t="s">
        <v>2929</v>
      </c>
      <c r="BC181" s="4" t="s">
        <v>60</v>
      </c>
      <c r="BD181" s="2" t="s">
        <v>2932</v>
      </c>
      <c r="BE181" s="2" t="s">
        <v>88</v>
      </c>
      <c r="BF181" s="2" t="s">
        <v>88</v>
      </c>
    </row>
    <row r="182" spans="1:58" x14ac:dyDescent="0.2">
      <c r="A182" s="3" t="s">
        <v>2933</v>
      </c>
      <c r="B182" s="3" t="s">
        <v>2934</v>
      </c>
      <c r="C182" s="3" t="s">
        <v>60</v>
      </c>
      <c r="D182" s="3" t="s">
        <v>60</v>
      </c>
      <c r="E182" s="3" t="s">
        <v>60</v>
      </c>
      <c r="F182" s="3" t="s">
        <v>2935</v>
      </c>
      <c r="G182" s="3" t="s">
        <v>2936</v>
      </c>
      <c r="H182" s="3" t="s">
        <v>60</v>
      </c>
      <c r="I182" s="3" t="s">
        <v>60</v>
      </c>
      <c r="J182" s="3" t="s">
        <v>60</v>
      </c>
      <c r="K182" s="3" t="s">
        <v>2933</v>
      </c>
      <c r="L182" s="3" t="s">
        <v>2937</v>
      </c>
      <c r="M182" s="3" t="s">
        <v>241</v>
      </c>
      <c r="N182" s="3" t="s">
        <v>2257</v>
      </c>
      <c r="O182" s="3" t="s">
        <v>2938</v>
      </c>
      <c r="P182" s="3" t="s">
        <v>2939</v>
      </c>
      <c r="Q182" s="3" t="s">
        <v>60</v>
      </c>
      <c r="R182" s="3" t="s">
        <v>2940</v>
      </c>
      <c r="S182" s="3" t="s">
        <v>174</v>
      </c>
      <c r="T182" s="17">
        <v>1247.4000000000001</v>
      </c>
      <c r="U182" s="3" t="s">
        <v>97</v>
      </c>
      <c r="V182" s="3" t="s">
        <v>71</v>
      </c>
      <c r="W182" s="3" t="s">
        <v>175</v>
      </c>
      <c r="X182" s="9" t="str">
        <f>HYPERLINK("http://www.amak.com.sa", "www.amak.com.sa")</f>
        <v>www.amak.com.sa</v>
      </c>
      <c r="Y182" s="9" t="str">
        <f>HYPERLINK("http://www.linkedin.com/company/amak-mining-company", "http://www.linkedin.com/company/amak-mining-company")</f>
        <v>http://www.linkedin.com/company/amak-mining-company</v>
      </c>
      <c r="Z182" s="29">
        <v>230</v>
      </c>
      <c r="AA182" s="3" t="s">
        <v>2941</v>
      </c>
      <c r="AB182" s="3" t="s">
        <v>74</v>
      </c>
      <c r="AC182" s="3" t="s">
        <v>2942</v>
      </c>
      <c r="AD182" s="41">
        <v>2008</v>
      </c>
      <c r="AE182" s="3" t="s">
        <v>60</v>
      </c>
      <c r="AF182" s="53">
        <v>259.93</v>
      </c>
      <c r="AG182" s="53">
        <v>104.46</v>
      </c>
      <c r="AH182" s="53">
        <v>66.790000000000006</v>
      </c>
      <c r="AI182" s="53">
        <v>1787.79</v>
      </c>
      <c r="AJ182" s="53">
        <v>149.76</v>
      </c>
      <c r="AK182" s="53">
        <v>86.07</v>
      </c>
      <c r="AL182" s="53">
        <v>2580.17</v>
      </c>
      <c r="AM182" s="53">
        <v>-5.34</v>
      </c>
      <c r="AN182" s="65">
        <v>46.04</v>
      </c>
      <c r="AO182" s="5" t="s">
        <v>179</v>
      </c>
      <c r="AP182" s="3" t="s">
        <v>2943</v>
      </c>
      <c r="AQ182" s="3" t="s">
        <v>2944</v>
      </c>
      <c r="AR182" s="3" t="s">
        <v>2945</v>
      </c>
      <c r="AS182" s="3" t="s">
        <v>2946</v>
      </c>
      <c r="AT182" s="3" t="s">
        <v>2947</v>
      </c>
      <c r="AU182" s="3" t="s">
        <v>2948</v>
      </c>
      <c r="AV182" s="3" t="s">
        <v>2949</v>
      </c>
      <c r="AW182" s="3" t="s">
        <v>2950</v>
      </c>
      <c r="AX182" s="3" t="s">
        <v>2951</v>
      </c>
      <c r="AY182" s="3" t="s">
        <v>60</v>
      </c>
      <c r="AZ182" s="5" t="s">
        <v>2952</v>
      </c>
      <c r="BA182" s="3" t="s">
        <v>87</v>
      </c>
      <c r="BB182" s="5" t="s">
        <v>2947</v>
      </c>
      <c r="BC182" s="5" t="s">
        <v>2953</v>
      </c>
      <c r="BD182" s="3" t="s">
        <v>2954</v>
      </c>
      <c r="BE182" s="3" t="s">
        <v>88</v>
      </c>
      <c r="BF182" s="3" t="s">
        <v>88</v>
      </c>
    </row>
    <row r="183" spans="1:58" x14ac:dyDescent="0.2">
      <c r="A183" s="2" t="s">
        <v>2955</v>
      </c>
      <c r="B183" s="2" t="s">
        <v>2956</v>
      </c>
      <c r="C183" s="2" t="s">
        <v>60</v>
      </c>
      <c r="D183" s="2" t="s">
        <v>60</v>
      </c>
      <c r="E183" s="2" t="s">
        <v>60</v>
      </c>
      <c r="F183" s="2" t="s">
        <v>60</v>
      </c>
      <c r="G183" s="2" t="s">
        <v>2957</v>
      </c>
      <c r="H183" s="2" t="s">
        <v>60</v>
      </c>
      <c r="I183" s="2" t="s">
        <v>60</v>
      </c>
      <c r="J183" s="2" t="s">
        <v>60</v>
      </c>
      <c r="K183" s="2" t="s">
        <v>2955</v>
      </c>
      <c r="L183" s="2" t="s">
        <v>2958</v>
      </c>
      <c r="M183" s="2" t="s">
        <v>328</v>
      </c>
      <c r="N183" s="2" t="s">
        <v>329</v>
      </c>
      <c r="O183" s="2" t="s">
        <v>330</v>
      </c>
      <c r="P183" s="2" t="s">
        <v>2959</v>
      </c>
      <c r="Q183" s="2" t="s">
        <v>60</v>
      </c>
      <c r="R183" s="2" t="s">
        <v>2960</v>
      </c>
      <c r="S183" s="2" t="s">
        <v>96</v>
      </c>
      <c r="T183" s="16" t="s">
        <v>60</v>
      </c>
      <c r="U183" s="2" t="s">
        <v>97</v>
      </c>
      <c r="V183" s="2" t="s">
        <v>71</v>
      </c>
      <c r="W183" s="2" t="s">
        <v>98</v>
      </c>
      <c r="X183" s="8" t="str">
        <f>HYPERLINK("http://www.nahdi.sa", "www.nahdi.sa")</f>
        <v>www.nahdi.sa</v>
      </c>
      <c r="Y183" s="8" t="str">
        <f>HYPERLINK("http://www.linkedin.com/company/al-nahdi-medical-co-", "http://www.linkedin.com/company/al-nahdi-medical-co-")</f>
        <v>http://www.linkedin.com/company/al-nahdi-medical-co-</v>
      </c>
      <c r="Z183" s="28" t="s">
        <v>60</v>
      </c>
      <c r="AA183" s="2" t="s">
        <v>60</v>
      </c>
      <c r="AB183" s="2" t="s">
        <v>74</v>
      </c>
      <c r="AC183" s="2" t="s">
        <v>2961</v>
      </c>
      <c r="AD183" s="40">
        <v>1986</v>
      </c>
      <c r="AE183" s="2" t="s">
        <v>60</v>
      </c>
      <c r="AF183" s="52">
        <v>2659.01</v>
      </c>
      <c r="AG183" s="52">
        <v>997.43</v>
      </c>
      <c r="AH183" s="52">
        <v>216.37</v>
      </c>
      <c r="AI183" s="52">
        <v>4383.8599999999997</v>
      </c>
      <c r="AJ183" s="52">
        <v>441.37</v>
      </c>
      <c r="AK183" s="52">
        <v>233.85</v>
      </c>
      <c r="AL183" s="52">
        <v>3490.36</v>
      </c>
      <c r="AM183" s="52">
        <v>309.32</v>
      </c>
      <c r="AN183" s="64">
        <v>7.41</v>
      </c>
      <c r="AO183" s="4" t="s">
        <v>179</v>
      </c>
      <c r="AP183" s="2" t="s">
        <v>2962</v>
      </c>
      <c r="AQ183" s="2" t="s">
        <v>2963</v>
      </c>
      <c r="AR183" s="2" t="s">
        <v>124</v>
      </c>
      <c r="AS183" s="2" t="s">
        <v>2964</v>
      </c>
      <c r="AT183" s="2" t="s">
        <v>60</v>
      </c>
      <c r="AU183" s="2" t="s">
        <v>82</v>
      </c>
      <c r="AV183" s="2" t="s">
        <v>2965</v>
      </c>
      <c r="AW183" s="2" t="s">
        <v>2966</v>
      </c>
      <c r="AX183" s="2" t="s">
        <v>85</v>
      </c>
      <c r="AY183" s="2" t="s">
        <v>60</v>
      </c>
      <c r="AZ183" s="4" t="s">
        <v>2967</v>
      </c>
      <c r="BA183" s="2" t="s">
        <v>87</v>
      </c>
      <c r="BB183" s="4" t="s">
        <v>60</v>
      </c>
      <c r="BC183" s="4" t="s">
        <v>60</v>
      </c>
      <c r="BD183" s="2" t="s">
        <v>60</v>
      </c>
      <c r="BE183" s="2" t="s">
        <v>88</v>
      </c>
      <c r="BF183" s="2" t="s">
        <v>88</v>
      </c>
    </row>
    <row r="184" spans="1:58" x14ac:dyDescent="0.2">
      <c r="A184" s="3" t="s">
        <v>2968</v>
      </c>
      <c r="B184" s="3" t="s">
        <v>2969</v>
      </c>
      <c r="C184" s="3" t="s">
        <v>60</v>
      </c>
      <c r="D184" s="3" t="s">
        <v>60</v>
      </c>
      <c r="E184" s="3" t="s">
        <v>60</v>
      </c>
      <c r="F184" s="3" t="s">
        <v>2970</v>
      </c>
      <c r="G184" s="3" t="s">
        <v>2971</v>
      </c>
      <c r="H184" s="3" t="s">
        <v>60</v>
      </c>
      <c r="I184" s="3" t="s">
        <v>60</v>
      </c>
      <c r="J184" s="3" t="s">
        <v>60</v>
      </c>
      <c r="K184" s="3" t="s">
        <v>2968</v>
      </c>
      <c r="L184" s="3" t="s">
        <v>2972</v>
      </c>
      <c r="M184" s="3" t="s">
        <v>328</v>
      </c>
      <c r="N184" s="3" t="s">
        <v>401</v>
      </c>
      <c r="O184" s="3" t="s">
        <v>1095</v>
      </c>
      <c r="P184" s="3" t="s">
        <v>2973</v>
      </c>
      <c r="Q184" s="3" t="s">
        <v>60</v>
      </c>
      <c r="R184" s="3" t="s">
        <v>2974</v>
      </c>
      <c r="S184" s="3" t="s">
        <v>174</v>
      </c>
      <c r="T184" s="17" t="s">
        <v>60</v>
      </c>
      <c r="U184" s="3" t="s">
        <v>97</v>
      </c>
      <c r="V184" s="3" t="s">
        <v>71</v>
      </c>
      <c r="W184" s="3" t="s">
        <v>175</v>
      </c>
      <c r="X184" s="9" t="str">
        <f>HYPERLINK("http://www.al-dawaa.com", "www.al-dawaa.com")</f>
        <v>www.al-dawaa.com</v>
      </c>
      <c r="Y184" s="9" t="str">
        <f>HYPERLINK("http://www.linkedin.com/company/dmsco-inc-", "http://www.linkedin.com/company/dmsco-inc-")</f>
        <v>http://www.linkedin.com/company/dmsco-inc-</v>
      </c>
      <c r="Z184" s="29">
        <v>4222</v>
      </c>
      <c r="AA184" s="3" t="s">
        <v>2975</v>
      </c>
      <c r="AB184" s="3" t="s">
        <v>74</v>
      </c>
      <c r="AC184" s="3" t="s">
        <v>2976</v>
      </c>
      <c r="AD184" s="41">
        <v>1994</v>
      </c>
      <c r="AE184" s="3" t="s">
        <v>2977</v>
      </c>
      <c r="AF184" s="53">
        <v>1797.22</v>
      </c>
      <c r="AG184" s="53">
        <v>635.59</v>
      </c>
      <c r="AH184" s="53">
        <v>97.08</v>
      </c>
      <c r="AI184" s="53">
        <v>2064.4699999999998</v>
      </c>
      <c r="AJ184" s="53">
        <v>240.87</v>
      </c>
      <c r="AK184" s="53">
        <v>132.96</v>
      </c>
      <c r="AL184" s="53">
        <v>1150.1400000000001</v>
      </c>
      <c r="AM184" s="53">
        <v>558.35</v>
      </c>
      <c r="AN184" s="65">
        <v>8.66</v>
      </c>
      <c r="AO184" s="5" t="s">
        <v>179</v>
      </c>
      <c r="AP184" s="3" t="s">
        <v>2978</v>
      </c>
      <c r="AQ184" s="3" t="s">
        <v>2979</v>
      </c>
      <c r="AR184" s="3" t="s">
        <v>299</v>
      </c>
      <c r="AS184" s="3" t="s">
        <v>60</v>
      </c>
      <c r="AT184" s="3" t="s">
        <v>2980</v>
      </c>
      <c r="AU184" s="3" t="s">
        <v>522</v>
      </c>
      <c r="AV184" s="3" t="s">
        <v>2981</v>
      </c>
      <c r="AW184" s="3" t="s">
        <v>60</v>
      </c>
      <c r="AX184" s="3" t="s">
        <v>524</v>
      </c>
      <c r="AY184" s="3" t="s">
        <v>60</v>
      </c>
      <c r="AZ184" s="5" t="s">
        <v>917</v>
      </c>
      <c r="BA184" s="3" t="s">
        <v>87</v>
      </c>
      <c r="BB184" s="5" t="s">
        <v>2980</v>
      </c>
      <c r="BC184" s="5" t="s">
        <v>2982</v>
      </c>
      <c r="BD184" s="3" t="s">
        <v>2983</v>
      </c>
      <c r="BE184" s="3" t="s">
        <v>88</v>
      </c>
      <c r="BF184" s="3" t="s">
        <v>88</v>
      </c>
    </row>
    <row r="185" spans="1:58" x14ac:dyDescent="0.2">
      <c r="A185" s="2" t="s">
        <v>2984</v>
      </c>
      <c r="B185" s="2" t="s">
        <v>2985</v>
      </c>
      <c r="C185" s="2" t="s">
        <v>60</v>
      </c>
      <c r="D185" s="2" t="s">
        <v>60</v>
      </c>
      <c r="E185" s="2" t="s">
        <v>60</v>
      </c>
      <c r="F185" s="2" t="s">
        <v>60</v>
      </c>
      <c r="G185" s="2" t="s">
        <v>2986</v>
      </c>
      <c r="H185" s="2" t="s">
        <v>60</v>
      </c>
      <c r="I185" s="2" t="s">
        <v>60</v>
      </c>
      <c r="J185" s="2" t="s">
        <v>60</v>
      </c>
      <c r="K185" s="2" t="s">
        <v>2984</v>
      </c>
      <c r="L185" s="2" t="s">
        <v>2987</v>
      </c>
      <c r="M185" s="2" t="s">
        <v>328</v>
      </c>
      <c r="N185" s="2" t="s">
        <v>329</v>
      </c>
      <c r="O185" s="2" t="s">
        <v>330</v>
      </c>
      <c r="P185" s="2" t="s">
        <v>1715</v>
      </c>
      <c r="Q185" s="2" t="s">
        <v>60</v>
      </c>
      <c r="R185" s="2" t="s">
        <v>2988</v>
      </c>
      <c r="S185" s="2" t="s">
        <v>96</v>
      </c>
      <c r="T185" s="16">
        <v>109.15</v>
      </c>
      <c r="U185" s="2" t="s">
        <v>1516</v>
      </c>
      <c r="V185" s="2" t="s">
        <v>71</v>
      </c>
      <c r="W185" s="2" t="s">
        <v>98</v>
      </c>
      <c r="X185" s="8" t="str">
        <f>HYPERLINK("http://www.tibbiyah.com", "www.tibbiyah.com")</f>
        <v>www.tibbiyah.com</v>
      </c>
      <c r="Y185" s="8" t="str">
        <f>HYPERLINK("http://www.linkedin.com/company/tibbiyah", "http://www.linkedin.com/company/tibbiyah")</f>
        <v>http://www.linkedin.com/company/tibbiyah</v>
      </c>
      <c r="Z185" s="28">
        <v>60</v>
      </c>
      <c r="AA185" s="2" t="s">
        <v>2989</v>
      </c>
      <c r="AB185" s="2" t="s">
        <v>74</v>
      </c>
      <c r="AC185" s="2" t="s">
        <v>2990</v>
      </c>
      <c r="AD185" s="40">
        <v>1973</v>
      </c>
      <c r="AE185" s="2" t="s">
        <v>60</v>
      </c>
      <c r="AF185" s="52">
        <v>236.69</v>
      </c>
      <c r="AG185" s="52">
        <v>56.65</v>
      </c>
      <c r="AH185" s="52">
        <v>-15.73</v>
      </c>
      <c r="AI185" s="52">
        <v>303.01</v>
      </c>
      <c r="AJ185" s="52">
        <v>0.67</v>
      </c>
      <c r="AK185" s="52">
        <v>-4.13</v>
      </c>
      <c r="AL185" s="52">
        <v>116.29</v>
      </c>
      <c r="AM185" s="52">
        <v>111.69</v>
      </c>
      <c r="AN185" s="64">
        <v>16.22</v>
      </c>
      <c r="AO185" s="4" t="s">
        <v>76</v>
      </c>
      <c r="AP185" s="2" t="s">
        <v>2991</v>
      </c>
      <c r="AQ185" s="2" t="s">
        <v>2992</v>
      </c>
      <c r="AR185" s="2" t="s">
        <v>103</v>
      </c>
      <c r="AS185" s="2" t="s">
        <v>60</v>
      </c>
      <c r="AT185" s="2" t="s">
        <v>2993</v>
      </c>
      <c r="AU185" s="2" t="s">
        <v>106</v>
      </c>
      <c r="AV185" s="2" t="s">
        <v>2994</v>
      </c>
      <c r="AW185" s="2" t="s">
        <v>2995</v>
      </c>
      <c r="AX185" s="2" t="s">
        <v>109</v>
      </c>
      <c r="AY185" s="2" t="s">
        <v>60</v>
      </c>
      <c r="AZ185" s="4" t="s">
        <v>2996</v>
      </c>
      <c r="BA185" s="2" t="s">
        <v>87</v>
      </c>
      <c r="BB185" s="4" t="s">
        <v>2993</v>
      </c>
      <c r="BC185" s="4" t="s">
        <v>60</v>
      </c>
      <c r="BD185" s="2" t="s">
        <v>2997</v>
      </c>
      <c r="BE185" s="2" t="s">
        <v>88</v>
      </c>
      <c r="BF185" s="2" t="s">
        <v>88</v>
      </c>
    </row>
    <row r="186" spans="1:58" x14ac:dyDescent="0.2">
      <c r="A186" s="3" t="s">
        <v>2998</v>
      </c>
      <c r="B186" s="3" t="s">
        <v>2999</v>
      </c>
      <c r="C186" s="3" t="s">
        <v>60</v>
      </c>
      <c r="D186" s="3" t="s">
        <v>60</v>
      </c>
      <c r="E186" s="3" t="s">
        <v>60</v>
      </c>
      <c r="F186" s="3" t="s">
        <v>60</v>
      </c>
      <c r="G186" s="3" t="s">
        <v>3000</v>
      </c>
      <c r="H186" s="3" t="s">
        <v>60</v>
      </c>
      <c r="I186" s="3" t="s">
        <v>60</v>
      </c>
      <c r="J186" s="3" t="s">
        <v>60</v>
      </c>
      <c r="K186" s="3" t="s">
        <v>2998</v>
      </c>
      <c r="L186" s="3" t="s">
        <v>3001</v>
      </c>
      <c r="M186" s="3" t="s">
        <v>115</v>
      </c>
      <c r="N186" s="3" t="s">
        <v>208</v>
      </c>
      <c r="O186" s="3" t="s">
        <v>710</v>
      </c>
      <c r="P186" s="3" t="s">
        <v>711</v>
      </c>
      <c r="Q186" s="3" t="s">
        <v>67</v>
      </c>
      <c r="R186" s="3" t="s">
        <v>3002</v>
      </c>
      <c r="S186" s="3" t="s">
        <v>96</v>
      </c>
      <c r="T186" s="17">
        <v>5.82</v>
      </c>
      <c r="U186" s="3" t="s">
        <v>97</v>
      </c>
      <c r="V186" s="3" t="s">
        <v>71</v>
      </c>
      <c r="W186" s="3" t="s">
        <v>98</v>
      </c>
      <c r="X186" s="9" t="str">
        <f>HYPERLINK("http://www.hilwa.com.sa", "www.hilwa.com.sa")</f>
        <v>www.hilwa.com.sa</v>
      </c>
      <c r="Y186" s="3" t="s">
        <v>60</v>
      </c>
      <c r="Z186" s="29">
        <v>426</v>
      </c>
      <c r="AA186" s="3" t="s">
        <v>3003</v>
      </c>
      <c r="AB186" s="3" t="s">
        <v>74</v>
      </c>
      <c r="AC186" s="3" t="s">
        <v>3004</v>
      </c>
      <c r="AD186" s="41">
        <v>1983</v>
      </c>
      <c r="AE186" s="3" t="s">
        <v>60</v>
      </c>
      <c r="AF186" s="53">
        <v>18.149999999999999</v>
      </c>
      <c r="AG186" s="53">
        <v>8.91</v>
      </c>
      <c r="AH186" s="53">
        <v>0.88</v>
      </c>
      <c r="AI186" s="53">
        <v>40.6</v>
      </c>
      <c r="AJ186" s="53">
        <v>0.91</v>
      </c>
      <c r="AK186" s="53">
        <v>0.91</v>
      </c>
      <c r="AL186" s="53">
        <v>55.94</v>
      </c>
      <c r="AM186" s="53">
        <v>16.11</v>
      </c>
      <c r="AN186" s="65">
        <v>-9.43</v>
      </c>
      <c r="AO186" s="5" t="s">
        <v>76</v>
      </c>
      <c r="AP186" s="3" t="s">
        <v>3005</v>
      </c>
      <c r="AQ186" s="3" t="s">
        <v>3006</v>
      </c>
      <c r="AR186" s="3" t="s">
        <v>1377</v>
      </c>
      <c r="AS186" s="3" t="s">
        <v>60</v>
      </c>
      <c r="AT186" s="3" t="s">
        <v>3007</v>
      </c>
      <c r="AU186" s="3" t="s">
        <v>106</v>
      </c>
      <c r="AV186" s="3" t="s">
        <v>3008</v>
      </c>
      <c r="AW186" s="3" t="s">
        <v>3009</v>
      </c>
      <c r="AX186" s="3" t="s">
        <v>109</v>
      </c>
      <c r="AY186" s="3" t="s">
        <v>60</v>
      </c>
      <c r="AZ186" s="5" t="s">
        <v>60</v>
      </c>
      <c r="BA186" s="3" t="s">
        <v>87</v>
      </c>
      <c r="BB186" s="5" t="s">
        <v>3007</v>
      </c>
      <c r="BC186" s="5" t="s">
        <v>3007</v>
      </c>
      <c r="BD186" s="3" t="s">
        <v>3010</v>
      </c>
      <c r="BE186" s="3" t="s">
        <v>88</v>
      </c>
      <c r="BF186" s="3" t="s">
        <v>88</v>
      </c>
    </row>
    <row r="187" spans="1:58" x14ac:dyDescent="0.2">
      <c r="A187" s="2" t="s">
        <v>3011</v>
      </c>
      <c r="B187" s="2" t="s">
        <v>3012</v>
      </c>
      <c r="C187" s="2" t="s">
        <v>60</v>
      </c>
      <c r="D187" s="2" t="s">
        <v>60</v>
      </c>
      <c r="E187" s="2" t="s">
        <v>60</v>
      </c>
      <c r="F187" s="2" t="s">
        <v>60</v>
      </c>
      <c r="G187" s="2" t="s">
        <v>3013</v>
      </c>
      <c r="H187" s="2" t="s">
        <v>60</v>
      </c>
      <c r="I187" s="2" t="s">
        <v>60</v>
      </c>
      <c r="J187" s="2" t="s">
        <v>60</v>
      </c>
      <c r="K187" s="2" t="s">
        <v>3011</v>
      </c>
      <c r="L187" s="2" t="s">
        <v>3014</v>
      </c>
      <c r="M187" s="2" t="s">
        <v>63</v>
      </c>
      <c r="N187" s="2" t="s">
        <v>92</v>
      </c>
      <c r="O187" s="2" t="s">
        <v>748</v>
      </c>
      <c r="P187" s="2" t="s">
        <v>3015</v>
      </c>
      <c r="Q187" s="2" t="s">
        <v>2224</v>
      </c>
      <c r="R187" s="2" t="s">
        <v>3016</v>
      </c>
      <c r="S187" s="2" t="s">
        <v>96</v>
      </c>
      <c r="T187" s="16" t="s">
        <v>60</v>
      </c>
      <c r="U187" s="2" t="s">
        <v>97</v>
      </c>
      <c r="V187" s="2" t="s">
        <v>71</v>
      </c>
      <c r="W187" s="2" t="s">
        <v>98</v>
      </c>
      <c r="X187" s="2" t="s">
        <v>60</v>
      </c>
      <c r="Y187" s="2" t="s">
        <v>60</v>
      </c>
      <c r="Z187" s="28" t="s">
        <v>60</v>
      </c>
      <c r="AA187" s="2" t="s">
        <v>60</v>
      </c>
      <c r="AB187" s="2" t="s">
        <v>74</v>
      </c>
      <c r="AC187" s="2" t="s">
        <v>3017</v>
      </c>
      <c r="AD187" s="40">
        <v>2017</v>
      </c>
      <c r="AE187" s="2" t="s">
        <v>60</v>
      </c>
      <c r="AF187" s="52">
        <v>72.77</v>
      </c>
      <c r="AG187" s="52">
        <v>22.62</v>
      </c>
      <c r="AH187" s="52">
        <v>11.68</v>
      </c>
      <c r="AI187" s="52">
        <v>364.28</v>
      </c>
      <c r="AJ187" s="52">
        <v>13.73</v>
      </c>
      <c r="AK187" s="52">
        <v>12.49</v>
      </c>
      <c r="AL187" s="52">
        <v>396.28</v>
      </c>
      <c r="AM187" s="52">
        <v>-26.31</v>
      </c>
      <c r="AN187" s="64">
        <v>12.67</v>
      </c>
      <c r="AO187" s="4" t="s">
        <v>2522</v>
      </c>
      <c r="AP187" s="2" t="s">
        <v>3018</v>
      </c>
      <c r="AQ187" s="2" t="s">
        <v>3019</v>
      </c>
      <c r="AR187" s="2" t="s">
        <v>3020</v>
      </c>
      <c r="AS187" s="2" t="s">
        <v>60</v>
      </c>
      <c r="AT187" s="2" t="s">
        <v>3021</v>
      </c>
      <c r="AU187" s="2" t="s">
        <v>106</v>
      </c>
      <c r="AV187" s="2" t="s">
        <v>3022</v>
      </c>
      <c r="AW187" s="2" t="s">
        <v>3023</v>
      </c>
      <c r="AX187" s="2" t="s">
        <v>109</v>
      </c>
      <c r="AY187" s="2" t="s">
        <v>60</v>
      </c>
      <c r="AZ187" s="4" t="s">
        <v>3024</v>
      </c>
      <c r="BA187" s="2" t="s">
        <v>87</v>
      </c>
      <c r="BB187" s="4" t="s">
        <v>3021</v>
      </c>
      <c r="BC187" s="4" t="s">
        <v>60</v>
      </c>
      <c r="BD187" s="2" t="s">
        <v>60</v>
      </c>
      <c r="BE187" s="2" t="s">
        <v>88</v>
      </c>
      <c r="BF187" s="2" t="s">
        <v>88</v>
      </c>
    </row>
    <row r="188" spans="1:58" x14ac:dyDescent="0.2">
      <c r="A188" s="3" t="s">
        <v>3025</v>
      </c>
      <c r="B188" s="3" t="s">
        <v>3026</v>
      </c>
      <c r="C188" s="3" t="s">
        <v>60</v>
      </c>
      <c r="D188" s="3" t="s">
        <v>60</v>
      </c>
      <c r="E188" s="3" t="s">
        <v>60</v>
      </c>
      <c r="F188" s="3" t="s">
        <v>60</v>
      </c>
      <c r="G188" s="3" t="s">
        <v>3027</v>
      </c>
      <c r="H188" s="3" t="s">
        <v>60</v>
      </c>
      <c r="I188" s="3" t="s">
        <v>60</v>
      </c>
      <c r="J188" s="3" t="s">
        <v>60</v>
      </c>
      <c r="K188" s="3" t="s">
        <v>3025</v>
      </c>
      <c r="L188" s="3" t="s">
        <v>3028</v>
      </c>
      <c r="M188" s="3" t="s">
        <v>328</v>
      </c>
      <c r="N188" s="3" t="s">
        <v>401</v>
      </c>
      <c r="O188" s="3" t="s">
        <v>3029</v>
      </c>
      <c r="P188" s="3" t="s">
        <v>3030</v>
      </c>
      <c r="Q188" s="3" t="s">
        <v>60</v>
      </c>
      <c r="R188" s="3" t="s">
        <v>3031</v>
      </c>
      <c r="S188" s="3" t="s">
        <v>96</v>
      </c>
      <c r="T188" s="17">
        <v>83.06</v>
      </c>
      <c r="U188" s="3" t="s">
        <v>97</v>
      </c>
      <c r="V188" s="3" t="s">
        <v>71</v>
      </c>
      <c r="W188" s="3" t="s">
        <v>98</v>
      </c>
      <c r="X188" s="9" t="str">
        <f>HYPERLINK("http://www.smeh.com.sa", "www.smeh.com.sa")</f>
        <v>www.smeh.com.sa</v>
      </c>
      <c r="Y188" s="9" t="str">
        <f>HYPERLINK("http://www.linkedin.com/company/scientific-and-medical-equipment-house-co-", "http://www.linkedin.com/company/scientific-and-medical-equipment-house-co-")</f>
        <v>http://www.linkedin.com/company/scientific-and-medical-equipment-house-co-</v>
      </c>
      <c r="Z188" s="29">
        <v>6025</v>
      </c>
      <c r="AA188" s="3" t="s">
        <v>3032</v>
      </c>
      <c r="AB188" s="3" t="s">
        <v>74</v>
      </c>
      <c r="AC188" s="3" t="s">
        <v>3033</v>
      </c>
      <c r="AD188" s="41">
        <v>1979</v>
      </c>
      <c r="AE188" s="3" t="s">
        <v>60</v>
      </c>
      <c r="AF188" s="53">
        <v>245.48</v>
      </c>
      <c r="AG188" s="53">
        <v>33.979999999999997</v>
      </c>
      <c r="AH188" s="53">
        <v>7.07</v>
      </c>
      <c r="AI188" s="53">
        <v>355.82</v>
      </c>
      <c r="AJ188" s="53">
        <v>20.2</v>
      </c>
      <c r="AK188" s="53">
        <v>15.34</v>
      </c>
      <c r="AL188" s="53">
        <v>255.86</v>
      </c>
      <c r="AM188" s="53">
        <v>40.659999999999997</v>
      </c>
      <c r="AN188" s="65">
        <v>4.78</v>
      </c>
      <c r="AO188" s="5" t="s">
        <v>179</v>
      </c>
      <c r="AP188" s="3" t="s">
        <v>3034</v>
      </c>
      <c r="AQ188" s="3" t="s">
        <v>3035</v>
      </c>
      <c r="AR188" s="3" t="s">
        <v>124</v>
      </c>
      <c r="AS188" s="3" t="s">
        <v>3036</v>
      </c>
      <c r="AT188" s="3" t="s">
        <v>3037</v>
      </c>
      <c r="AU188" s="3" t="s">
        <v>106</v>
      </c>
      <c r="AV188" s="3" t="s">
        <v>3038</v>
      </c>
      <c r="AW188" s="3" t="s">
        <v>60</v>
      </c>
      <c r="AX188" s="3" t="s">
        <v>109</v>
      </c>
      <c r="AY188" s="3" t="s">
        <v>60</v>
      </c>
      <c r="AZ188" s="5" t="s">
        <v>3039</v>
      </c>
      <c r="BA188" s="3" t="s">
        <v>87</v>
      </c>
      <c r="BB188" s="5" t="s">
        <v>3037</v>
      </c>
      <c r="BC188" s="5" t="s">
        <v>3040</v>
      </c>
      <c r="BD188" s="3" t="s">
        <v>3041</v>
      </c>
      <c r="BE188" s="3" t="s">
        <v>88</v>
      </c>
      <c r="BF188" s="3" t="s">
        <v>88</v>
      </c>
    </row>
    <row r="189" spans="1:58" x14ac:dyDescent="0.2">
      <c r="A189" s="2" t="s">
        <v>3042</v>
      </c>
      <c r="B189" s="2" t="s">
        <v>3043</v>
      </c>
      <c r="C189" s="2" t="s">
        <v>60</v>
      </c>
      <c r="D189" s="2" t="s">
        <v>60</v>
      </c>
      <c r="E189" s="2" t="s">
        <v>60</v>
      </c>
      <c r="F189" s="2" t="s">
        <v>60</v>
      </c>
      <c r="G189" s="2" t="s">
        <v>3044</v>
      </c>
      <c r="H189" s="2" t="s">
        <v>60</v>
      </c>
      <c r="I189" s="2" t="s">
        <v>60</v>
      </c>
      <c r="J189" s="2" t="s">
        <v>60</v>
      </c>
      <c r="K189" s="2" t="s">
        <v>3042</v>
      </c>
      <c r="L189" s="2" t="s">
        <v>3045</v>
      </c>
      <c r="M189" s="2" t="s">
        <v>241</v>
      </c>
      <c r="N189" s="2" t="s">
        <v>242</v>
      </c>
      <c r="O189" s="2" t="s">
        <v>243</v>
      </c>
      <c r="P189" s="2" t="s">
        <v>244</v>
      </c>
      <c r="Q189" s="2" t="s">
        <v>67</v>
      </c>
      <c r="R189" s="2" t="s">
        <v>3046</v>
      </c>
      <c r="S189" s="2" t="s">
        <v>96</v>
      </c>
      <c r="T189" s="16">
        <v>21.3</v>
      </c>
      <c r="U189" s="2" t="s">
        <v>97</v>
      </c>
      <c r="V189" s="2" t="s">
        <v>71</v>
      </c>
      <c r="W189" s="2" t="s">
        <v>98</v>
      </c>
      <c r="X189" s="8" t="str">
        <f>HYPERLINK("http://www.raoomco.com", "www.raoomco.com")</f>
        <v>www.raoomco.com</v>
      </c>
      <c r="Y189" s="8" t="str">
        <f>HYPERLINK("http://www.linkedin.com/company/raoomcompany", "http://www.linkedin.com/company/raoomcompany")</f>
        <v>http://www.linkedin.com/company/raoomcompany</v>
      </c>
      <c r="Z189" s="28">
        <v>302</v>
      </c>
      <c r="AA189" s="2" t="s">
        <v>3047</v>
      </c>
      <c r="AB189" s="2" t="s">
        <v>74</v>
      </c>
      <c r="AC189" s="2" t="s">
        <v>3048</v>
      </c>
      <c r="AD189" s="40">
        <v>1988</v>
      </c>
      <c r="AE189" s="2" t="s">
        <v>60</v>
      </c>
      <c r="AF189" s="52">
        <v>28.5</v>
      </c>
      <c r="AG189" s="52">
        <v>7.88</v>
      </c>
      <c r="AH189" s="52">
        <v>2.8</v>
      </c>
      <c r="AI189" s="52">
        <v>199.28</v>
      </c>
      <c r="AJ189" s="52">
        <v>5.92</v>
      </c>
      <c r="AK189" s="52">
        <v>4.2300000000000004</v>
      </c>
      <c r="AL189" s="52">
        <v>199.6</v>
      </c>
      <c r="AM189" s="52">
        <v>-14.48</v>
      </c>
      <c r="AN189" s="64">
        <v>-11.94</v>
      </c>
      <c r="AO189" s="4" t="s">
        <v>179</v>
      </c>
      <c r="AP189" s="2" t="s">
        <v>3049</v>
      </c>
      <c r="AQ189" s="2" t="s">
        <v>3050</v>
      </c>
      <c r="AR189" s="2" t="s">
        <v>3051</v>
      </c>
      <c r="AS189" s="2" t="s">
        <v>60</v>
      </c>
      <c r="AT189" s="2" t="s">
        <v>3052</v>
      </c>
      <c r="AU189" s="2" t="s">
        <v>3053</v>
      </c>
      <c r="AV189" s="2" t="s">
        <v>3054</v>
      </c>
      <c r="AW189" s="2" t="s">
        <v>3055</v>
      </c>
      <c r="AX189" s="2" t="s">
        <v>3056</v>
      </c>
      <c r="AY189" s="2" t="s">
        <v>60</v>
      </c>
      <c r="AZ189" s="4" t="s">
        <v>60</v>
      </c>
      <c r="BA189" s="2" t="s">
        <v>87</v>
      </c>
      <c r="BB189" s="4" t="s">
        <v>3052</v>
      </c>
      <c r="BC189" s="4" t="s">
        <v>3057</v>
      </c>
      <c r="BD189" s="2" t="s">
        <v>3058</v>
      </c>
      <c r="BE189" s="2" t="s">
        <v>88</v>
      </c>
      <c r="BF189" s="2" t="s">
        <v>88</v>
      </c>
    </row>
    <row r="190" spans="1:58" x14ac:dyDescent="0.2">
      <c r="A190" s="3" t="s">
        <v>3059</v>
      </c>
      <c r="B190" s="3" t="s">
        <v>3060</v>
      </c>
      <c r="C190" s="3" t="s">
        <v>60</v>
      </c>
      <c r="D190" s="3" t="s">
        <v>60</v>
      </c>
      <c r="E190" s="3" t="s">
        <v>60</v>
      </c>
      <c r="F190" s="3" t="s">
        <v>60</v>
      </c>
      <c r="G190" s="3" t="s">
        <v>3061</v>
      </c>
      <c r="H190" s="3" t="s">
        <v>60</v>
      </c>
      <c r="I190" s="3" t="s">
        <v>60</v>
      </c>
      <c r="J190" s="3" t="s">
        <v>60</v>
      </c>
      <c r="K190" s="3" t="s">
        <v>3059</v>
      </c>
      <c r="L190" s="3" t="s">
        <v>3062</v>
      </c>
      <c r="M190" s="3" t="s">
        <v>63</v>
      </c>
      <c r="N190" s="3" t="s">
        <v>64</v>
      </c>
      <c r="O190" s="3" t="s">
        <v>530</v>
      </c>
      <c r="P190" s="3" t="s">
        <v>1371</v>
      </c>
      <c r="Q190" s="3" t="s">
        <v>60</v>
      </c>
      <c r="R190" s="3" t="s">
        <v>3063</v>
      </c>
      <c r="S190" s="3" t="s">
        <v>96</v>
      </c>
      <c r="T190" s="17" t="s">
        <v>60</v>
      </c>
      <c r="U190" s="3" t="s">
        <v>97</v>
      </c>
      <c r="V190" s="3" t="s">
        <v>71</v>
      </c>
      <c r="W190" s="3" t="s">
        <v>98</v>
      </c>
      <c r="X190" s="9" t="str">
        <f>HYPERLINK("http://www.spc-parts.com", "www.spc-parts.com")</f>
        <v>www.spc-parts.com</v>
      </c>
      <c r="Y190" s="9" t="str">
        <f>HYPERLINK("http://www.linkedin.com/company/saudipartscenter", "http://www.linkedin.com/company/saudipartscenter")</f>
        <v>http://www.linkedin.com/company/saudipartscenter</v>
      </c>
      <c r="Z190" s="29" t="s">
        <v>60</v>
      </c>
      <c r="AA190" s="3" t="s">
        <v>60</v>
      </c>
      <c r="AB190" s="3" t="s">
        <v>74</v>
      </c>
      <c r="AC190" s="3" t="s">
        <v>3064</v>
      </c>
      <c r="AD190" s="41">
        <v>1988</v>
      </c>
      <c r="AE190" s="3" t="s">
        <v>60</v>
      </c>
      <c r="AF190" s="53">
        <v>27.24</v>
      </c>
      <c r="AG190" s="53">
        <v>7.07</v>
      </c>
      <c r="AH190" s="53">
        <v>-1.61</v>
      </c>
      <c r="AI190" s="53">
        <v>38.700000000000003</v>
      </c>
      <c r="AJ190" s="53">
        <v>-0.42</v>
      </c>
      <c r="AK190" s="53">
        <v>-1.07</v>
      </c>
      <c r="AL190" s="53">
        <v>25.49</v>
      </c>
      <c r="AM190" s="53">
        <v>2.1</v>
      </c>
      <c r="AN190" s="65">
        <v>-11</v>
      </c>
      <c r="AO190" s="5" t="s">
        <v>76</v>
      </c>
      <c r="AP190" s="3" t="s">
        <v>3065</v>
      </c>
      <c r="AQ190" s="3" t="s">
        <v>3066</v>
      </c>
      <c r="AR190" s="3" t="s">
        <v>215</v>
      </c>
      <c r="AS190" s="3" t="s">
        <v>3067</v>
      </c>
      <c r="AT190" s="3" t="s">
        <v>3068</v>
      </c>
      <c r="AU190" s="3" t="s">
        <v>106</v>
      </c>
      <c r="AV190" s="3" t="s">
        <v>3069</v>
      </c>
      <c r="AW190" s="3" t="s">
        <v>2730</v>
      </c>
      <c r="AX190" s="3" t="s">
        <v>109</v>
      </c>
      <c r="AY190" s="3" t="s">
        <v>60</v>
      </c>
      <c r="AZ190" s="5" t="s">
        <v>985</v>
      </c>
      <c r="BA190" s="3" t="s">
        <v>87</v>
      </c>
      <c r="BB190" s="5" t="s">
        <v>3068</v>
      </c>
      <c r="BC190" s="5" t="s">
        <v>60</v>
      </c>
      <c r="BD190" s="3" t="s">
        <v>3070</v>
      </c>
      <c r="BE190" s="3" t="s">
        <v>88</v>
      </c>
      <c r="BF190" s="3" t="s">
        <v>88</v>
      </c>
    </row>
    <row r="191" spans="1:58" x14ac:dyDescent="0.2">
      <c r="A191" s="2" t="s">
        <v>3071</v>
      </c>
      <c r="B191" s="2" t="s">
        <v>3072</v>
      </c>
      <c r="C191" s="2" t="s">
        <v>60</v>
      </c>
      <c r="D191" s="2" t="s">
        <v>60</v>
      </c>
      <c r="E191" s="2" t="s">
        <v>3073</v>
      </c>
      <c r="F191" s="2" t="s">
        <v>60</v>
      </c>
      <c r="G191" s="2" t="s">
        <v>3074</v>
      </c>
      <c r="H191" s="2" t="s">
        <v>60</v>
      </c>
      <c r="I191" s="2" t="s">
        <v>60</v>
      </c>
      <c r="J191" s="2" t="s">
        <v>3075</v>
      </c>
      <c r="K191" s="2" t="s">
        <v>3071</v>
      </c>
      <c r="L191" s="2" t="s">
        <v>3076</v>
      </c>
      <c r="M191" s="2" t="s">
        <v>485</v>
      </c>
      <c r="N191" s="2" t="s">
        <v>1023</v>
      </c>
      <c r="O191" s="2" t="s">
        <v>1024</v>
      </c>
      <c r="P191" s="2" t="s">
        <v>3077</v>
      </c>
      <c r="Q191" s="2" t="s">
        <v>311</v>
      </c>
      <c r="R191" s="2" t="s">
        <v>3078</v>
      </c>
      <c r="S191" s="2" t="s">
        <v>96</v>
      </c>
      <c r="T191" s="16">
        <v>817.89</v>
      </c>
      <c r="U191" s="2" t="s">
        <v>97</v>
      </c>
      <c r="V191" s="2" t="s">
        <v>71</v>
      </c>
      <c r="W191" s="2" t="s">
        <v>98</v>
      </c>
      <c r="X191" s="8" t="str">
        <f>HYPERLINK("http://www.elm.sa", "www.elm.sa")</f>
        <v>www.elm.sa</v>
      </c>
      <c r="Y191" s="8" t="str">
        <f>HYPERLINK("http://www.linkedin.com/company/elm", "http://www.linkedin.com/company/elm")</f>
        <v>http://www.linkedin.com/company/elm</v>
      </c>
      <c r="Z191" s="28">
        <v>2694</v>
      </c>
      <c r="AA191" s="2" t="s">
        <v>3079</v>
      </c>
      <c r="AB191" s="2" t="s">
        <v>74</v>
      </c>
      <c r="AC191" s="2" t="s">
        <v>3080</v>
      </c>
      <c r="AD191" s="40">
        <v>1988</v>
      </c>
      <c r="AE191" s="2" t="s">
        <v>60</v>
      </c>
      <c r="AF191" s="52">
        <v>2339.36</v>
      </c>
      <c r="AG191" s="52">
        <v>968.2</v>
      </c>
      <c r="AH191" s="52">
        <v>570.23</v>
      </c>
      <c r="AI191" s="52">
        <v>18445.75</v>
      </c>
      <c r="AJ191" s="52">
        <v>654.77</v>
      </c>
      <c r="AK191" s="52">
        <v>593.19000000000005</v>
      </c>
      <c r="AL191" s="52">
        <v>14468.41</v>
      </c>
      <c r="AM191" s="52">
        <v>-155.46</v>
      </c>
      <c r="AN191" s="64">
        <v>26.19</v>
      </c>
      <c r="AO191" s="4" t="s">
        <v>179</v>
      </c>
      <c r="AP191" s="2" t="s">
        <v>3081</v>
      </c>
      <c r="AQ191" s="2" t="s">
        <v>3082</v>
      </c>
      <c r="AR191" s="2" t="s">
        <v>79</v>
      </c>
      <c r="AS191" s="2" t="s">
        <v>3083</v>
      </c>
      <c r="AT191" s="2" t="s">
        <v>3084</v>
      </c>
      <c r="AU191" s="2" t="s">
        <v>106</v>
      </c>
      <c r="AV191" s="2" t="s">
        <v>3085</v>
      </c>
      <c r="AW191" s="2" t="s">
        <v>3086</v>
      </c>
      <c r="AX191" s="2" t="s">
        <v>109</v>
      </c>
      <c r="AY191" s="2" t="s">
        <v>60</v>
      </c>
      <c r="AZ191" s="4" t="s">
        <v>3087</v>
      </c>
      <c r="BA191" s="2" t="s">
        <v>87</v>
      </c>
      <c r="BB191" s="4" t="s">
        <v>3084</v>
      </c>
      <c r="BC191" s="4" t="s">
        <v>3088</v>
      </c>
      <c r="BD191" s="2" t="s">
        <v>3089</v>
      </c>
      <c r="BE191" s="2" t="s">
        <v>88</v>
      </c>
      <c r="BF191" s="2" t="s">
        <v>88</v>
      </c>
    </row>
    <row r="192" spans="1:58" x14ac:dyDescent="0.2">
      <c r="A192" s="3" t="s">
        <v>3090</v>
      </c>
      <c r="B192" s="3" t="s">
        <v>3091</v>
      </c>
      <c r="C192" s="3" t="s">
        <v>60</v>
      </c>
      <c r="D192" s="3" t="s">
        <v>60</v>
      </c>
      <c r="E192" s="3" t="s">
        <v>60</v>
      </c>
      <c r="F192" s="3" t="s">
        <v>60</v>
      </c>
      <c r="G192" s="3" t="s">
        <v>3092</v>
      </c>
      <c r="H192" s="3" t="s">
        <v>60</v>
      </c>
      <c r="I192" s="3" t="s">
        <v>60</v>
      </c>
      <c r="J192" s="3" t="s">
        <v>60</v>
      </c>
      <c r="K192" s="3" t="s">
        <v>3090</v>
      </c>
      <c r="L192" s="3" t="s">
        <v>3093</v>
      </c>
      <c r="M192" s="3" t="s">
        <v>63</v>
      </c>
      <c r="N192" s="3" t="s">
        <v>64</v>
      </c>
      <c r="O192" s="3" t="s">
        <v>1500</v>
      </c>
      <c r="P192" s="3" t="s">
        <v>1501</v>
      </c>
      <c r="Q192" s="3" t="s">
        <v>60</v>
      </c>
      <c r="R192" s="3" t="s">
        <v>3094</v>
      </c>
      <c r="S192" s="3" t="s">
        <v>96</v>
      </c>
      <c r="T192" s="17">
        <v>134.18</v>
      </c>
      <c r="U192" s="3" t="s">
        <v>70</v>
      </c>
      <c r="V192" s="3" t="s">
        <v>71</v>
      </c>
      <c r="W192" s="3" t="s">
        <v>98</v>
      </c>
      <c r="X192" s="9" t="str">
        <f>HYPERLINK("http://www.eastpipes.com", "www.eastpipes.com")</f>
        <v>www.eastpipes.com</v>
      </c>
      <c r="Y192" s="9" t="str">
        <f>HYPERLINK("http://www.linkedin.com/company/east-pipes-integrated-company-for-industry", "http://www.linkedin.com/company/east-pipes-integrated-company-for-industry")</f>
        <v>http://www.linkedin.com/company/east-pipes-integrated-company-for-industry</v>
      </c>
      <c r="Z192" s="29">
        <v>480</v>
      </c>
      <c r="AA192" s="3" t="s">
        <v>3095</v>
      </c>
      <c r="AB192" s="3" t="s">
        <v>74</v>
      </c>
      <c r="AC192" s="3" t="s">
        <v>3096</v>
      </c>
      <c r="AD192" s="41">
        <v>2010</v>
      </c>
      <c r="AE192" s="3" t="s">
        <v>60</v>
      </c>
      <c r="AF192" s="53">
        <v>501.7</v>
      </c>
      <c r="AG192" s="53">
        <v>137.97999999999999</v>
      </c>
      <c r="AH192" s="53">
        <v>118.98</v>
      </c>
      <c r="AI192" s="53">
        <v>1043.3699999999999</v>
      </c>
      <c r="AJ192" s="53">
        <v>138.97999999999999</v>
      </c>
      <c r="AK192" s="53">
        <v>132.22</v>
      </c>
      <c r="AL192" s="53">
        <v>1334.06</v>
      </c>
      <c r="AM192" s="53">
        <v>-81.59</v>
      </c>
      <c r="AN192" s="65">
        <v>-13.51</v>
      </c>
      <c r="AO192" s="5" t="s">
        <v>2522</v>
      </c>
      <c r="AP192" s="3" t="s">
        <v>3097</v>
      </c>
      <c r="AQ192" s="3" t="s">
        <v>3098</v>
      </c>
      <c r="AR192" s="3" t="s">
        <v>124</v>
      </c>
      <c r="AS192" s="3" t="s">
        <v>60</v>
      </c>
      <c r="AT192" s="3" t="s">
        <v>3099</v>
      </c>
      <c r="AU192" s="3" t="s">
        <v>847</v>
      </c>
      <c r="AV192" s="3" t="s">
        <v>3100</v>
      </c>
      <c r="AW192" s="3" t="s">
        <v>3101</v>
      </c>
      <c r="AX192" s="3" t="s">
        <v>849</v>
      </c>
      <c r="AY192" s="3" t="s">
        <v>60</v>
      </c>
      <c r="AZ192" s="5" t="s">
        <v>3102</v>
      </c>
      <c r="BA192" s="3" t="s">
        <v>87</v>
      </c>
      <c r="BB192" s="5" t="s">
        <v>3099</v>
      </c>
      <c r="BC192" s="5" t="s">
        <v>3103</v>
      </c>
      <c r="BD192" s="3" t="s">
        <v>3104</v>
      </c>
      <c r="BE192" s="3" t="s">
        <v>88</v>
      </c>
      <c r="BF192" s="3" t="s">
        <v>88</v>
      </c>
    </row>
    <row r="193" spans="1:58" x14ac:dyDescent="0.2">
      <c r="A193" s="2" t="s">
        <v>3105</v>
      </c>
      <c r="B193" s="2" t="s">
        <v>3106</v>
      </c>
      <c r="C193" s="2" t="s">
        <v>60</v>
      </c>
      <c r="D193" s="2" t="s">
        <v>60</v>
      </c>
      <c r="E193" s="2" t="s">
        <v>60</v>
      </c>
      <c r="F193" s="2" t="s">
        <v>60</v>
      </c>
      <c r="G193" s="2" t="s">
        <v>3107</v>
      </c>
      <c r="H193" s="2" t="s">
        <v>60</v>
      </c>
      <c r="I193" s="2" t="s">
        <v>60</v>
      </c>
      <c r="J193" s="2" t="s">
        <v>60</v>
      </c>
      <c r="K193" s="2" t="s">
        <v>3105</v>
      </c>
      <c r="L193" s="2" t="s">
        <v>3108</v>
      </c>
      <c r="M193" s="2" t="s">
        <v>63</v>
      </c>
      <c r="N193" s="2" t="s">
        <v>92</v>
      </c>
      <c r="O193" s="2" t="s">
        <v>3109</v>
      </c>
      <c r="P193" s="2" t="s">
        <v>3110</v>
      </c>
      <c r="Q193" s="2" t="s">
        <v>1179</v>
      </c>
      <c r="R193" s="2" t="s">
        <v>3111</v>
      </c>
      <c r="S193" s="2" t="s">
        <v>96</v>
      </c>
      <c r="T193" s="16">
        <v>18.93</v>
      </c>
      <c r="U193" s="2" t="s">
        <v>97</v>
      </c>
      <c r="V193" s="2" t="s">
        <v>71</v>
      </c>
      <c r="W193" s="2" t="s">
        <v>98</v>
      </c>
      <c r="X193" s="8" t="str">
        <f>HYPERLINK("http://www.gasarabian.com", "www.gasarabian.com")</f>
        <v>www.gasarabian.com</v>
      </c>
      <c r="Y193" s="8" t="str">
        <f>HYPERLINK("http://www.linkedin.com/company/gas-arabian-services/", "http://www.linkedin.com/company/gas-arabian-services/")</f>
        <v>http://www.linkedin.com/company/gas-arabian-services/</v>
      </c>
      <c r="Z193" s="28" t="s">
        <v>60</v>
      </c>
      <c r="AA193" s="2" t="s">
        <v>60</v>
      </c>
      <c r="AB193" s="2" t="s">
        <v>74</v>
      </c>
      <c r="AC193" s="2" t="s">
        <v>3112</v>
      </c>
      <c r="AD193" s="40">
        <v>1992</v>
      </c>
      <c r="AE193" s="2" t="s">
        <v>60</v>
      </c>
      <c r="AF193" s="52">
        <v>360.58</v>
      </c>
      <c r="AG193" s="52">
        <v>58.42</v>
      </c>
      <c r="AH193" s="52">
        <v>37.61</v>
      </c>
      <c r="AI193" s="52">
        <v>714.14</v>
      </c>
      <c r="AJ193" s="52">
        <v>46.7</v>
      </c>
      <c r="AK193" s="52">
        <v>38.53</v>
      </c>
      <c r="AL193" s="52">
        <v>566.23</v>
      </c>
      <c r="AM193" s="52">
        <v>-23.02</v>
      </c>
      <c r="AN193" s="64">
        <v>41.56</v>
      </c>
      <c r="AO193" s="4" t="s">
        <v>179</v>
      </c>
      <c r="AP193" s="2" t="s">
        <v>3113</v>
      </c>
      <c r="AQ193" s="2" t="s">
        <v>3114</v>
      </c>
      <c r="AR193" s="2" t="s">
        <v>3115</v>
      </c>
      <c r="AS193" s="2" t="s">
        <v>60</v>
      </c>
      <c r="AT193" s="2" t="s">
        <v>3116</v>
      </c>
      <c r="AU193" s="2" t="s">
        <v>847</v>
      </c>
      <c r="AV193" s="2" t="s">
        <v>3117</v>
      </c>
      <c r="AW193" s="2" t="s">
        <v>3118</v>
      </c>
      <c r="AX193" s="2" t="s">
        <v>849</v>
      </c>
      <c r="AY193" s="2" t="s">
        <v>60</v>
      </c>
      <c r="AZ193" s="4" t="s">
        <v>3119</v>
      </c>
      <c r="BA193" s="2" t="s">
        <v>87</v>
      </c>
      <c r="BB193" s="4" t="s">
        <v>3116</v>
      </c>
      <c r="BC193" s="4" t="s">
        <v>3120</v>
      </c>
      <c r="BD193" s="2" t="s">
        <v>3121</v>
      </c>
      <c r="BE193" s="2" t="s">
        <v>88</v>
      </c>
      <c r="BF193" s="2" t="s">
        <v>88</v>
      </c>
    </row>
    <row r="194" spans="1:58" x14ac:dyDescent="0.2">
      <c r="A194" s="3" t="s">
        <v>3122</v>
      </c>
      <c r="B194" s="3" t="s">
        <v>3123</v>
      </c>
      <c r="C194" s="3" t="s">
        <v>60</v>
      </c>
      <c r="D194" s="3" t="s">
        <v>60</v>
      </c>
      <c r="E194" s="3" t="s">
        <v>60</v>
      </c>
      <c r="F194" s="3" t="s">
        <v>60</v>
      </c>
      <c r="G194" s="3" t="s">
        <v>3124</v>
      </c>
      <c r="H194" s="3" t="s">
        <v>60</v>
      </c>
      <c r="I194" s="3" t="s">
        <v>60</v>
      </c>
      <c r="J194" s="3" t="s">
        <v>60</v>
      </c>
      <c r="K194" s="3" t="s">
        <v>3122</v>
      </c>
      <c r="L194" s="3" t="s">
        <v>3125</v>
      </c>
      <c r="M194" s="3" t="s">
        <v>63</v>
      </c>
      <c r="N194" s="3" t="s">
        <v>64</v>
      </c>
      <c r="O194" s="3" t="s">
        <v>1500</v>
      </c>
      <c r="P194" s="3" t="s">
        <v>1501</v>
      </c>
      <c r="Q194" s="3" t="s">
        <v>67</v>
      </c>
      <c r="R194" s="3" t="s">
        <v>3126</v>
      </c>
      <c r="S194" s="3" t="s">
        <v>96</v>
      </c>
      <c r="T194" s="17">
        <v>12.64</v>
      </c>
      <c r="U194" s="3" t="s">
        <v>97</v>
      </c>
      <c r="V194" s="3" t="s">
        <v>71</v>
      </c>
      <c r="W194" s="3" t="s">
        <v>98</v>
      </c>
      <c r="X194" s="9" t="str">
        <f>HYPERLINK("http://www.alwasail.com", "www.alwasail.com")</f>
        <v>www.alwasail.com</v>
      </c>
      <c r="Y194" s="9" t="str">
        <f>HYPERLINK("http://www.linkedin.com/company/alwasail", "http://www.linkedin.com/company/alwasail")</f>
        <v>http://www.linkedin.com/company/alwasail</v>
      </c>
      <c r="Z194" s="29">
        <v>600</v>
      </c>
      <c r="AA194" s="3" t="s">
        <v>3127</v>
      </c>
      <c r="AB194" s="3" t="s">
        <v>74</v>
      </c>
      <c r="AC194" s="3" t="s">
        <v>3128</v>
      </c>
      <c r="AD194" s="41">
        <v>1980</v>
      </c>
      <c r="AE194" s="3" t="s">
        <v>60</v>
      </c>
      <c r="AF194" s="53">
        <v>122.38</v>
      </c>
      <c r="AG194" s="53" t="s">
        <v>60</v>
      </c>
      <c r="AH194" s="53">
        <v>8.83</v>
      </c>
      <c r="AI194" s="53">
        <v>246.17</v>
      </c>
      <c r="AJ194" s="53" t="s">
        <v>60</v>
      </c>
      <c r="AK194" s="53">
        <v>10.220000000000001</v>
      </c>
      <c r="AL194" s="53">
        <v>211.75</v>
      </c>
      <c r="AM194" s="53">
        <v>0</v>
      </c>
      <c r="AN194" s="65" t="s">
        <v>60</v>
      </c>
      <c r="AO194" s="5" t="s">
        <v>179</v>
      </c>
      <c r="AP194" s="3" t="s">
        <v>3129</v>
      </c>
      <c r="AQ194" s="3" t="s">
        <v>3130</v>
      </c>
      <c r="AR194" s="3" t="s">
        <v>299</v>
      </c>
      <c r="AS194" s="3" t="s">
        <v>60</v>
      </c>
      <c r="AT194" s="3" t="s">
        <v>3131</v>
      </c>
      <c r="AU194" s="3" t="s">
        <v>886</v>
      </c>
      <c r="AV194" s="3" t="s">
        <v>3132</v>
      </c>
      <c r="AW194" s="3" t="s">
        <v>3133</v>
      </c>
      <c r="AX194" s="3" t="s">
        <v>888</v>
      </c>
      <c r="AY194" s="3" t="s">
        <v>60</v>
      </c>
      <c r="AZ194" s="5" t="s">
        <v>3134</v>
      </c>
      <c r="BA194" s="3" t="s">
        <v>87</v>
      </c>
      <c r="BB194" s="5" t="s">
        <v>3131</v>
      </c>
      <c r="BC194" s="5" t="s">
        <v>60</v>
      </c>
      <c r="BD194" s="3" t="s">
        <v>60</v>
      </c>
      <c r="BE194" s="3" t="s">
        <v>88</v>
      </c>
      <c r="BF194" s="3" t="s">
        <v>88</v>
      </c>
    </row>
    <row r="195" spans="1:58" x14ac:dyDescent="0.2">
      <c r="A195" s="2" t="s">
        <v>3135</v>
      </c>
      <c r="B195" s="2" t="s">
        <v>3136</v>
      </c>
      <c r="C195" s="2" t="s">
        <v>60</v>
      </c>
      <c r="D195" s="2" t="s">
        <v>60</v>
      </c>
      <c r="E195" s="2" t="s">
        <v>60</v>
      </c>
      <c r="F195" s="2" t="s">
        <v>60</v>
      </c>
      <c r="G195" s="2" t="s">
        <v>60</v>
      </c>
      <c r="H195" s="2" t="s">
        <v>60</v>
      </c>
      <c r="I195" s="2" t="s">
        <v>60</v>
      </c>
      <c r="J195" s="2" t="s">
        <v>60</v>
      </c>
      <c r="K195" s="2" t="s">
        <v>3135</v>
      </c>
      <c r="L195" s="2" t="s">
        <v>3137</v>
      </c>
      <c r="M195" s="2" t="s">
        <v>328</v>
      </c>
      <c r="N195" s="2" t="s">
        <v>329</v>
      </c>
      <c r="O195" s="2" t="s">
        <v>330</v>
      </c>
      <c r="P195" s="2" t="s">
        <v>3138</v>
      </c>
      <c r="Q195" s="2" t="s">
        <v>60</v>
      </c>
      <c r="R195" s="2" t="s">
        <v>3139</v>
      </c>
      <c r="S195" s="2" t="s">
        <v>96</v>
      </c>
      <c r="T195" s="16" t="s">
        <v>60</v>
      </c>
      <c r="U195" s="2" t="s">
        <v>97</v>
      </c>
      <c r="V195" s="2" t="s">
        <v>71</v>
      </c>
      <c r="W195" s="2" t="s">
        <v>98</v>
      </c>
      <c r="X195" s="8" t="str">
        <f>HYPERLINK("http://www.ame.med.sa", "www.ame.med.sa")</f>
        <v>www.ame.med.sa</v>
      </c>
      <c r="Y195" s="8" t="str">
        <f>HYPERLINK("http://www.linkedin.com/company/AmeCompanyKSA", "http://www.linkedin.com/company/AmeCompanyKSA")</f>
        <v>http://www.linkedin.com/company/AmeCompanyKSA</v>
      </c>
      <c r="Z195" s="28" t="s">
        <v>60</v>
      </c>
      <c r="AA195" s="2" t="s">
        <v>60</v>
      </c>
      <c r="AB195" s="2" t="s">
        <v>74</v>
      </c>
      <c r="AC195" s="2" t="s">
        <v>3140</v>
      </c>
      <c r="AD195" s="40">
        <v>2005</v>
      </c>
      <c r="AE195" s="2" t="s">
        <v>60</v>
      </c>
      <c r="AF195" s="52">
        <v>73.569999999999993</v>
      </c>
      <c r="AG195" s="52">
        <v>30.41</v>
      </c>
      <c r="AH195" s="52">
        <v>12.43</v>
      </c>
      <c r="AI195" s="52">
        <v>232.56</v>
      </c>
      <c r="AJ195" s="52">
        <v>13.75</v>
      </c>
      <c r="AK195" s="52">
        <v>13.23</v>
      </c>
      <c r="AL195" s="52">
        <v>197.82</v>
      </c>
      <c r="AM195" s="52">
        <v>0.39</v>
      </c>
      <c r="AN195" s="64">
        <v>16.89</v>
      </c>
      <c r="AO195" s="4" t="s">
        <v>76</v>
      </c>
      <c r="AP195" s="2" t="s">
        <v>3141</v>
      </c>
      <c r="AQ195" s="2" t="s">
        <v>3142</v>
      </c>
      <c r="AR195" s="2" t="s">
        <v>79</v>
      </c>
      <c r="AS195" s="2" t="s">
        <v>3143</v>
      </c>
      <c r="AT195" s="2" t="s">
        <v>3144</v>
      </c>
      <c r="AU195" s="2" t="s">
        <v>82</v>
      </c>
      <c r="AV195" s="2" t="s">
        <v>3145</v>
      </c>
      <c r="AW195" s="2" t="s">
        <v>3146</v>
      </c>
      <c r="AX195" s="2" t="s">
        <v>85</v>
      </c>
      <c r="AY195" s="2" t="s">
        <v>60</v>
      </c>
      <c r="AZ195" s="4" t="s">
        <v>3147</v>
      </c>
      <c r="BA195" s="2" t="s">
        <v>87</v>
      </c>
      <c r="BB195" s="4" t="s">
        <v>3144</v>
      </c>
      <c r="BC195" s="4" t="s">
        <v>60</v>
      </c>
      <c r="BD195" s="2" t="s">
        <v>60</v>
      </c>
      <c r="BE195" s="2" t="s">
        <v>88</v>
      </c>
      <c r="BF195" s="2" t="s">
        <v>88</v>
      </c>
    </row>
    <row r="196" spans="1:58" x14ac:dyDescent="0.2">
      <c r="A196" s="3" t="s">
        <v>3148</v>
      </c>
      <c r="B196" s="3" t="s">
        <v>3149</v>
      </c>
      <c r="C196" s="3" t="s">
        <v>60</v>
      </c>
      <c r="D196" s="3" t="s">
        <v>60</v>
      </c>
      <c r="E196" s="3" t="s">
        <v>3150</v>
      </c>
      <c r="F196" s="3" t="s">
        <v>60</v>
      </c>
      <c r="G196" s="3" t="s">
        <v>3151</v>
      </c>
      <c r="H196" s="3" t="s">
        <v>60</v>
      </c>
      <c r="I196" s="3" t="s">
        <v>60</v>
      </c>
      <c r="J196" s="3" t="s">
        <v>60</v>
      </c>
      <c r="K196" s="3" t="s">
        <v>3148</v>
      </c>
      <c r="L196" s="3" t="s">
        <v>3152</v>
      </c>
      <c r="M196" s="3" t="s">
        <v>485</v>
      </c>
      <c r="N196" s="3" t="s">
        <v>3153</v>
      </c>
      <c r="O196" s="3" t="s">
        <v>3154</v>
      </c>
      <c r="P196" s="3" t="s">
        <v>3155</v>
      </c>
      <c r="Q196" s="3" t="s">
        <v>60</v>
      </c>
      <c r="R196" s="3" t="s">
        <v>3156</v>
      </c>
      <c r="S196" s="3" t="s">
        <v>96</v>
      </c>
      <c r="T196" s="17">
        <v>11.71</v>
      </c>
      <c r="U196" s="3" t="s">
        <v>97</v>
      </c>
      <c r="V196" s="3" t="s">
        <v>71</v>
      </c>
      <c r="W196" s="3" t="s">
        <v>98</v>
      </c>
      <c r="X196" s="9" t="str">
        <f>HYPERLINK("http://www.aictec.com", "www.aictec.com")</f>
        <v>www.aictec.com</v>
      </c>
      <c r="Y196" s="9" t="str">
        <f>HYPERLINK("http://www.linkedin.com/company/aictecsa", "http://www.linkedin.com/company/aictecsa")</f>
        <v>http://www.linkedin.com/company/aictecsa</v>
      </c>
      <c r="Z196" s="29" t="s">
        <v>60</v>
      </c>
      <c r="AA196" s="3" t="s">
        <v>60</v>
      </c>
      <c r="AB196" s="3" t="s">
        <v>74</v>
      </c>
      <c r="AC196" s="3" t="s">
        <v>3157</v>
      </c>
      <c r="AD196" s="41">
        <v>2016</v>
      </c>
      <c r="AE196" s="3" t="s">
        <v>60</v>
      </c>
      <c r="AF196" s="53">
        <v>9.1300000000000008</v>
      </c>
      <c r="AG196" s="53">
        <v>2.58</v>
      </c>
      <c r="AH196" s="53">
        <v>-1.73</v>
      </c>
      <c r="AI196" s="53">
        <v>48.84</v>
      </c>
      <c r="AJ196" s="53">
        <v>-0.3</v>
      </c>
      <c r="AK196" s="53">
        <v>-1.43</v>
      </c>
      <c r="AL196" s="53">
        <v>33.75</v>
      </c>
      <c r="AM196" s="53">
        <v>4.3499999999999996</v>
      </c>
      <c r="AN196" s="65">
        <v>-30.87</v>
      </c>
      <c r="AO196" s="5" t="s">
        <v>76</v>
      </c>
      <c r="AP196" s="3" t="s">
        <v>3158</v>
      </c>
      <c r="AQ196" s="3" t="s">
        <v>3159</v>
      </c>
      <c r="AR196" s="3" t="s">
        <v>3160</v>
      </c>
      <c r="AS196" s="3" t="s">
        <v>3161</v>
      </c>
      <c r="AT196" s="3" t="s">
        <v>60</v>
      </c>
      <c r="AU196" s="3" t="s">
        <v>106</v>
      </c>
      <c r="AV196" s="3" t="s">
        <v>3162</v>
      </c>
      <c r="AW196" s="3" t="s">
        <v>3163</v>
      </c>
      <c r="AX196" s="3" t="s">
        <v>109</v>
      </c>
      <c r="AY196" s="3" t="s">
        <v>60</v>
      </c>
      <c r="AZ196" s="5" t="s">
        <v>3164</v>
      </c>
      <c r="BA196" s="3" t="s">
        <v>87</v>
      </c>
      <c r="BB196" s="5" t="s">
        <v>60</v>
      </c>
      <c r="BC196" s="5" t="s">
        <v>60</v>
      </c>
      <c r="BD196" s="3" t="s">
        <v>3165</v>
      </c>
      <c r="BE196" s="3" t="s">
        <v>88</v>
      </c>
      <c r="BF196" s="3" t="s">
        <v>88</v>
      </c>
    </row>
    <row r="197" spans="1:58" x14ac:dyDescent="0.2">
      <c r="A197" s="2" t="s">
        <v>3166</v>
      </c>
      <c r="B197" s="2" t="s">
        <v>3167</v>
      </c>
      <c r="C197" s="2" t="s">
        <v>60</v>
      </c>
      <c r="D197" s="2" t="s">
        <v>60</v>
      </c>
      <c r="E197" s="2" t="s">
        <v>60</v>
      </c>
      <c r="F197" s="2" t="s">
        <v>60</v>
      </c>
      <c r="G197" s="2" t="s">
        <v>3168</v>
      </c>
      <c r="H197" s="2" t="s">
        <v>60</v>
      </c>
      <c r="I197" s="2" t="s">
        <v>60</v>
      </c>
      <c r="J197" s="2" t="s">
        <v>3169</v>
      </c>
      <c r="K197" s="2" t="s">
        <v>3166</v>
      </c>
      <c r="L197" s="2" t="s">
        <v>3170</v>
      </c>
      <c r="M197" s="2" t="s">
        <v>115</v>
      </c>
      <c r="N197" s="2" t="s">
        <v>368</v>
      </c>
      <c r="O197" s="2" t="s">
        <v>1743</v>
      </c>
      <c r="P197" s="2" t="s">
        <v>3171</v>
      </c>
      <c r="Q197" s="2" t="s">
        <v>3172</v>
      </c>
      <c r="R197" s="2" t="s">
        <v>3173</v>
      </c>
      <c r="S197" s="2" t="s">
        <v>620</v>
      </c>
      <c r="T197" s="16">
        <v>238.21</v>
      </c>
      <c r="U197" s="2" t="s">
        <v>97</v>
      </c>
      <c r="V197" s="2" t="s">
        <v>71</v>
      </c>
      <c r="W197" s="2" t="s">
        <v>621</v>
      </c>
      <c r="X197" s="8" t="str">
        <f>HYPERLINK("http://www.jahezgroup.com", "www.jahezgroup.com")</f>
        <v>www.jahezgroup.com</v>
      </c>
      <c r="Y197" s="8" t="str">
        <f>HYPERLINK("http://www.linkedin.com/company/jahez-international", "http://www.linkedin.com/company/jahez-international")</f>
        <v>http://www.linkedin.com/company/jahez-international</v>
      </c>
      <c r="Z197" s="28">
        <v>206</v>
      </c>
      <c r="AA197" s="2" t="s">
        <v>3174</v>
      </c>
      <c r="AB197" s="2" t="s">
        <v>74</v>
      </c>
      <c r="AC197" s="2" t="s">
        <v>3175</v>
      </c>
      <c r="AD197" s="40">
        <v>2016</v>
      </c>
      <c r="AE197" s="2" t="s">
        <v>60</v>
      </c>
      <c r="AF197" s="52">
        <v>591.54999999999995</v>
      </c>
      <c r="AG197" s="52">
        <v>144.88</v>
      </c>
      <c r="AH197" s="52">
        <v>49.7</v>
      </c>
      <c r="AI197" s="52">
        <v>946.53</v>
      </c>
      <c r="AJ197" s="52">
        <v>57.39</v>
      </c>
      <c r="AK197" s="52">
        <v>39.049999999999997</v>
      </c>
      <c r="AL197" s="52">
        <v>835.4</v>
      </c>
      <c r="AM197" s="52">
        <v>-226.74</v>
      </c>
      <c r="AN197" s="64">
        <v>4.7699999999999996</v>
      </c>
      <c r="AO197" s="4" t="s">
        <v>179</v>
      </c>
      <c r="AP197" s="2" t="s">
        <v>3176</v>
      </c>
      <c r="AQ197" s="2" t="s">
        <v>3177</v>
      </c>
      <c r="AR197" s="2" t="s">
        <v>3178</v>
      </c>
      <c r="AS197" s="2" t="s">
        <v>3179</v>
      </c>
      <c r="AT197" s="2" t="s">
        <v>60</v>
      </c>
      <c r="AU197" s="2" t="s">
        <v>106</v>
      </c>
      <c r="AV197" s="2" t="s">
        <v>3180</v>
      </c>
      <c r="AW197" s="2" t="s">
        <v>3181</v>
      </c>
      <c r="AX197" s="2" t="s">
        <v>109</v>
      </c>
      <c r="AY197" s="2" t="s">
        <v>60</v>
      </c>
      <c r="AZ197" s="4" t="s">
        <v>3182</v>
      </c>
      <c r="BA197" s="2" t="s">
        <v>87</v>
      </c>
      <c r="BB197" s="4" t="s">
        <v>60</v>
      </c>
      <c r="BC197" s="4" t="s">
        <v>60</v>
      </c>
      <c r="BD197" s="2" t="s">
        <v>3183</v>
      </c>
      <c r="BE197" s="2" t="s">
        <v>88</v>
      </c>
      <c r="BF197" s="2" t="s">
        <v>88</v>
      </c>
    </row>
    <row r="198" spans="1:58" x14ac:dyDescent="0.2">
      <c r="A198" s="3" t="s">
        <v>3184</v>
      </c>
      <c r="B198" s="3" t="s">
        <v>3185</v>
      </c>
      <c r="C198" s="3" t="s">
        <v>60</v>
      </c>
      <c r="D198" s="3" t="s">
        <v>60</v>
      </c>
      <c r="E198" s="3" t="s">
        <v>60</v>
      </c>
      <c r="F198" s="3" t="s">
        <v>60</v>
      </c>
      <c r="G198" s="3" t="s">
        <v>3186</v>
      </c>
      <c r="H198" s="3" t="s">
        <v>60</v>
      </c>
      <c r="I198" s="3" t="s">
        <v>60</v>
      </c>
      <c r="J198" s="3" t="s">
        <v>60</v>
      </c>
      <c r="K198" s="3" t="s">
        <v>3184</v>
      </c>
      <c r="L198" s="3" t="s">
        <v>3187</v>
      </c>
      <c r="M198" s="3" t="s">
        <v>134</v>
      </c>
      <c r="N198" s="3" t="s">
        <v>565</v>
      </c>
      <c r="O198" s="3" t="s">
        <v>3188</v>
      </c>
      <c r="P198" s="3" t="s">
        <v>3189</v>
      </c>
      <c r="Q198" s="3" t="s">
        <v>60</v>
      </c>
      <c r="R198" s="3" t="s">
        <v>3190</v>
      </c>
      <c r="S198" s="3" t="s">
        <v>96</v>
      </c>
      <c r="T198" s="17" t="s">
        <v>60</v>
      </c>
      <c r="U198" s="3" t="s">
        <v>97</v>
      </c>
      <c r="V198" s="3" t="s">
        <v>71</v>
      </c>
      <c r="W198" s="3" t="s">
        <v>98</v>
      </c>
      <c r="X198" s="9" t="str">
        <f>HYPERLINK("http://www.wataniya.com.sa", "www.wataniya.com.sa")</f>
        <v>www.wataniya.com.sa</v>
      </c>
      <c r="Y198" s="9" t="str">
        <f>HYPERLINK("http://www.linkedin.com/company/wataniyasa", "http://www.linkedin.com/company/wataniyasa")</f>
        <v>http://www.linkedin.com/company/wataniyasa</v>
      </c>
      <c r="Z198" s="29">
        <v>81</v>
      </c>
      <c r="AA198" s="3" t="s">
        <v>3191</v>
      </c>
      <c r="AB198" s="3" t="s">
        <v>74</v>
      </c>
      <c r="AC198" s="3" t="s">
        <v>3192</v>
      </c>
      <c r="AD198" s="41">
        <v>1975</v>
      </c>
      <c r="AE198" s="3" t="s">
        <v>60</v>
      </c>
      <c r="AF198" s="53">
        <v>388.32</v>
      </c>
      <c r="AG198" s="53" t="s">
        <v>60</v>
      </c>
      <c r="AH198" s="53">
        <v>12.39</v>
      </c>
      <c r="AI198" s="53">
        <v>159.72</v>
      </c>
      <c r="AJ198" s="53">
        <v>19.41</v>
      </c>
      <c r="AK198" s="53">
        <v>16.329999999999998</v>
      </c>
      <c r="AL198" s="53">
        <v>145.63999999999999</v>
      </c>
      <c r="AM198" s="53">
        <v>-3.44</v>
      </c>
      <c r="AN198" s="65">
        <v>14.62</v>
      </c>
      <c r="AO198" s="5" t="s">
        <v>179</v>
      </c>
      <c r="AP198" s="3" t="s">
        <v>3193</v>
      </c>
      <c r="AQ198" s="3" t="s">
        <v>3194</v>
      </c>
      <c r="AR198" s="3" t="s">
        <v>124</v>
      </c>
      <c r="AS198" s="3" t="s">
        <v>3195</v>
      </c>
      <c r="AT198" s="3" t="s">
        <v>3196</v>
      </c>
      <c r="AU198" s="3" t="s">
        <v>82</v>
      </c>
      <c r="AV198" s="3" t="s">
        <v>3197</v>
      </c>
      <c r="AW198" s="3" t="s">
        <v>3198</v>
      </c>
      <c r="AX198" s="3" t="s">
        <v>85</v>
      </c>
      <c r="AY198" s="3" t="s">
        <v>60</v>
      </c>
      <c r="AZ198" s="5" t="s">
        <v>3199</v>
      </c>
      <c r="BA198" s="3" t="s">
        <v>87</v>
      </c>
      <c r="BB198" s="5" t="s">
        <v>3196</v>
      </c>
      <c r="BC198" s="5" t="s">
        <v>3200</v>
      </c>
      <c r="BD198" s="3" t="s">
        <v>3201</v>
      </c>
      <c r="BE198" s="3" t="s">
        <v>88</v>
      </c>
      <c r="BF198" s="3" t="s">
        <v>88</v>
      </c>
    </row>
    <row r="199" spans="1:58" x14ac:dyDescent="0.2">
      <c r="A199" s="2" t="s">
        <v>3202</v>
      </c>
      <c r="B199" s="2" t="s">
        <v>3203</v>
      </c>
      <c r="C199" s="2" t="s">
        <v>60</v>
      </c>
      <c r="D199" s="2" t="s">
        <v>60</v>
      </c>
      <c r="E199" s="2" t="s">
        <v>3204</v>
      </c>
      <c r="F199" s="2" t="s">
        <v>60</v>
      </c>
      <c r="G199" s="2" t="s">
        <v>3205</v>
      </c>
      <c r="H199" s="2" t="s">
        <v>60</v>
      </c>
      <c r="I199" s="2" t="s">
        <v>60</v>
      </c>
      <c r="J199" s="2" t="s">
        <v>60</v>
      </c>
      <c r="K199" s="2" t="s">
        <v>3202</v>
      </c>
      <c r="L199" s="2" t="s">
        <v>3206</v>
      </c>
      <c r="M199" s="2" t="s">
        <v>115</v>
      </c>
      <c r="N199" s="2" t="s">
        <v>208</v>
      </c>
      <c r="O199" s="2" t="s">
        <v>226</v>
      </c>
      <c r="P199" s="2" t="s">
        <v>227</v>
      </c>
      <c r="Q199" s="2" t="s">
        <v>60</v>
      </c>
      <c r="R199" s="2" t="s">
        <v>3207</v>
      </c>
      <c r="S199" s="2" t="s">
        <v>96</v>
      </c>
      <c r="T199" s="16" t="s">
        <v>60</v>
      </c>
      <c r="U199" s="2" t="s">
        <v>97</v>
      </c>
      <c r="V199" s="2" t="s">
        <v>71</v>
      </c>
      <c r="W199" s="2" t="s">
        <v>98</v>
      </c>
      <c r="X199" s="8" t="str">
        <f>HYPERLINK("http://www.almunajemfoods.com", "www.almunajemfoods.com")</f>
        <v>www.almunajemfoods.com</v>
      </c>
      <c r="Y199" s="8" t="str">
        <f>HYPERLINK("http://www.linkedin.com/company/almunajemfoods", "http://www.linkedin.com/company/almunajemfoods")</f>
        <v>http://www.linkedin.com/company/almunajemfoods</v>
      </c>
      <c r="Z199" s="28">
        <v>1832</v>
      </c>
      <c r="AA199" s="2" t="s">
        <v>3208</v>
      </c>
      <c r="AB199" s="2" t="s">
        <v>74</v>
      </c>
      <c r="AC199" s="2" t="s">
        <v>3209</v>
      </c>
      <c r="AD199" s="40">
        <v>1950</v>
      </c>
      <c r="AE199" s="2" t="s">
        <v>60</v>
      </c>
      <c r="AF199" s="52">
        <v>887.64</v>
      </c>
      <c r="AG199" s="52">
        <v>133.65</v>
      </c>
      <c r="AH199" s="52">
        <v>43.41</v>
      </c>
      <c r="AI199" s="52">
        <v>1053.22</v>
      </c>
      <c r="AJ199" s="52">
        <v>64.540000000000006</v>
      </c>
      <c r="AK199" s="52">
        <v>52.19</v>
      </c>
      <c r="AL199" s="52">
        <v>856.61</v>
      </c>
      <c r="AM199" s="52">
        <v>63.93</v>
      </c>
      <c r="AN199" s="64">
        <v>-0.69</v>
      </c>
      <c r="AO199" s="4" t="s">
        <v>179</v>
      </c>
      <c r="AP199" s="2" t="s">
        <v>3210</v>
      </c>
      <c r="AQ199" s="2" t="s">
        <v>3211</v>
      </c>
      <c r="AR199" s="2" t="s">
        <v>2743</v>
      </c>
      <c r="AS199" s="2" t="s">
        <v>60</v>
      </c>
      <c r="AT199" s="2" t="s">
        <v>3212</v>
      </c>
      <c r="AU199" s="2" t="s">
        <v>106</v>
      </c>
      <c r="AV199" s="2" t="s">
        <v>3213</v>
      </c>
      <c r="AW199" s="2" t="s">
        <v>3214</v>
      </c>
      <c r="AX199" s="2" t="s">
        <v>109</v>
      </c>
      <c r="AY199" s="2" t="s">
        <v>60</v>
      </c>
      <c r="AZ199" s="4" t="s">
        <v>3215</v>
      </c>
      <c r="BA199" s="2" t="s">
        <v>87</v>
      </c>
      <c r="BB199" s="4" t="s">
        <v>3212</v>
      </c>
      <c r="BC199" s="4" t="s">
        <v>60</v>
      </c>
      <c r="BD199" s="2" t="s">
        <v>60</v>
      </c>
      <c r="BE199" s="2" t="s">
        <v>88</v>
      </c>
      <c r="BF199" s="2" t="s">
        <v>88</v>
      </c>
    </row>
    <row r="200" spans="1:58" x14ac:dyDescent="0.2">
      <c r="A200" s="3" t="s">
        <v>3216</v>
      </c>
      <c r="B200" s="3" t="s">
        <v>3217</v>
      </c>
      <c r="C200" s="3" t="s">
        <v>60</v>
      </c>
      <c r="D200" s="3" t="s">
        <v>60</v>
      </c>
      <c r="E200" s="3" t="s">
        <v>60</v>
      </c>
      <c r="F200" s="3" t="s">
        <v>3218</v>
      </c>
      <c r="G200" s="3" t="s">
        <v>3219</v>
      </c>
      <c r="H200" s="3" t="s">
        <v>60</v>
      </c>
      <c r="I200" s="3" t="s">
        <v>60</v>
      </c>
      <c r="J200" s="3" t="s">
        <v>3220</v>
      </c>
      <c r="K200" s="3" t="s">
        <v>3216</v>
      </c>
      <c r="L200" s="3" t="s">
        <v>3221</v>
      </c>
      <c r="M200" s="3" t="s">
        <v>485</v>
      </c>
      <c r="N200" s="3" t="s">
        <v>2291</v>
      </c>
      <c r="O200" s="3" t="s">
        <v>2292</v>
      </c>
      <c r="P200" s="3" t="s">
        <v>3222</v>
      </c>
      <c r="Q200" s="3" t="s">
        <v>3223</v>
      </c>
      <c r="R200" s="3" t="s">
        <v>3224</v>
      </c>
      <c r="S200" s="3" t="s">
        <v>372</v>
      </c>
      <c r="T200" s="17">
        <v>4080.2</v>
      </c>
      <c r="U200" s="3" t="s">
        <v>97</v>
      </c>
      <c r="V200" s="3" t="s">
        <v>71</v>
      </c>
      <c r="W200" s="3" t="s">
        <v>373</v>
      </c>
      <c r="X200" s="9" t="str">
        <f>HYPERLINK("http://www.stc.com.sa", "www.stc.com.sa")</f>
        <v>www.stc.com.sa</v>
      </c>
      <c r="Y200" s="9" t="str">
        <f>HYPERLINK("http://www.linkedin.com/company/stc", "http://www.linkedin.com/company/stc")</f>
        <v>http://www.linkedin.com/company/stc</v>
      </c>
      <c r="Z200" s="29">
        <v>74</v>
      </c>
      <c r="AA200" s="3" t="s">
        <v>3225</v>
      </c>
      <c r="AB200" s="3" t="s">
        <v>74</v>
      </c>
      <c r="AC200" s="3" t="s">
        <v>3226</v>
      </c>
      <c r="AD200" s="41">
        <v>1998</v>
      </c>
      <c r="AE200" s="3" t="s">
        <v>60</v>
      </c>
      <c r="AF200" s="53">
        <v>20595.03</v>
      </c>
      <c r="AG200" s="53">
        <v>9932.59</v>
      </c>
      <c r="AH200" s="53">
        <v>6665.49</v>
      </c>
      <c r="AI200" s="53">
        <v>59222.11</v>
      </c>
      <c r="AJ200" s="53">
        <v>5834.83</v>
      </c>
      <c r="AK200" s="53">
        <v>3078.59</v>
      </c>
      <c r="AL200" s="53">
        <v>59489.33</v>
      </c>
      <c r="AM200" s="53">
        <v>-267.47000000000003</v>
      </c>
      <c r="AN200" s="65">
        <v>4.88</v>
      </c>
      <c r="AO200" s="5" t="s">
        <v>179</v>
      </c>
      <c r="AP200" s="3" t="s">
        <v>3227</v>
      </c>
      <c r="AQ200" s="3" t="s">
        <v>3228</v>
      </c>
      <c r="AR200" s="3" t="s">
        <v>283</v>
      </c>
      <c r="AS200" s="3" t="s">
        <v>60</v>
      </c>
      <c r="AT200" s="3" t="s">
        <v>3229</v>
      </c>
      <c r="AU200" s="3" t="s">
        <v>106</v>
      </c>
      <c r="AV200" s="3" t="s">
        <v>3230</v>
      </c>
      <c r="AW200" s="3" t="s">
        <v>3231</v>
      </c>
      <c r="AX200" s="3" t="s">
        <v>109</v>
      </c>
      <c r="AY200" s="3" t="s">
        <v>60</v>
      </c>
      <c r="AZ200" s="5" t="s">
        <v>3232</v>
      </c>
      <c r="BA200" s="3" t="s">
        <v>87</v>
      </c>
      <c r="BB200" s="5" t="s">
        <v>3229</v>
      </c>
      <c r="BC200" s="5" t="s">
        <v>3233</v>
      </c>
      <c r="BD200" s="3" t="s">
        <v>60</v>
      </c>
      <c r="BE200" s="3" t="s">
        <v>88</v>
      </c>
      <c r="BF200" s="3" t="s">
        <v>88</v>
      </c>
    </row>
    <row r="201" spans="1:58" x14ac:dyDescent="0.2">
      <c r="A201" s="2" t="s">
        <v>3234</v>
      </c>
      <c r="B201" s="2" t="s">
        <v>3235</v>
      </c>
      <c r="C201" s="2" t="s">
        <v>60</v>
      </c>
      <c r="D201" s="2" t="s">
        <v>60</v>
      </c>
      <c r="E201" s="2" t="s">
        <v>60</v>
      </c>
      <c r="F201" s="2" t="s">
        <v>60</v>
      </c>
      <c r="G201" s="2" t="s">
        <v>3236</v>
      </c>
      <c r="H201" s="2" t="s">
        <v>60</v>
      </c>
      <c r="I201" s="2" t="s">
        <v>60</v>
      </c>
      <c r="J201" s="2" t="s">
        <v>60</v>
      </c>
      <c r="K201" s="2" t="s">
        <v>3234</v>
      </c>
      <c r="L201" s="2" t="s">
        <v>3237</v>
      </c>
      <c r="M201" s="2" t="s">
        <v>63</v>
      </c>
      <c r="N201" s="2" t="s">
        <v>92</v>
      </c>
      <c r="O201" s="2" t="s">
        <v>3109</v>
      </c>
      <c r="P201" s="2" t="s">
        <v>3238</v>
      </c>
      <c r="Q201" s="2" t="s">
        <v>60</v>
      </c>
      <c r="R201" s="2" t="s">
        <v>3239</v>
      </c>
      <c r="S201" s="2" t="s">
        <v>96</v>
      </c>
      <c r="T201" s="16">
        <v>26.1</v>
      </c>
      <c r="U201" s="2" t="s">
        <v>97</v>
      </c>
      <c r="V201" s="2" t="s">
        <v>71</v>
      </c>
      <c r="W201" s="2" t="s">
        <v>98</v>
      </c>
      <c r="X201" s="8" t="str">
        <f>HYPERLINK("http://www.g5ps.com", "www.g5ps.com")</f>
        <v>www.g5ps.com</v>
      </c>
      <c r="Y201" s="8" t="str">
        <f>HYPERLINK("http://www.linkedin.com/company/group-five-pipe-saudi-company", "http://www.linkedin.com/company/group-five-pipe-saudi-company")</f>
        <v>http://www.linkedin.com/company/group-five-pipe-saudi-company</v>
      </c>
      <c r="Z201" s="28" t="s">
        <v>60</v>
      </c>
      <c r="AA201" s="2" t="s">
        <v>60</v>
      </c>
      <c r="AB201" s="2" t="s">
        <v>74</v>
      </c>
      <c r="AC201" s="2" t="s">
        <v>3240</v>
      </c>
      <c r="AD201" s="40">
        <v>2001</v>
      </c>
      <c r="AE201" s="2" t="s">
        <v>60</v>
      </c>
      <c r="AF201" s="52">
        <v>396.59</v>
      </c>
      <c r="AG201" s="52">
        <v>52.38</v>
      </c>
      <c r="AH201" s="52">
        <v>41.13</v>
      </c>
      <c r="AI201" s="52">
        <v>405.78</v>
      </c>
      <c r="AJ201" s="52">
        <v>62.12</v>
      </c>
      <c r="AK201" s="52">
        <v>56.26</v>
      </c>
      <c r="AL201" s="52">
        <v>350.53</v>
      </c>
      <c r="AM201" s="52">
        <v>107.77</v>
      </c>
      <c r="AN201" s="64">
        <v>195.2</v>
      </c>
      <c r="AO201" s="4" t="s">
        <v>76</v>
      </c>
      <c r="AP201" s="2" t="s">
        <v>3241</v>
      </c>
      <c r="AQ201" s="2" t="s">
        <v>3242</v>
      </c>
      <c r="AR201" s="2" t="s">
        <v>3243</v>
      </c>
      <c r="AS201" s="2" t="s">
        <v>3244</v>
      </c>
      <c r="AT201" s="2" t="s">
        <v>3245</v>
      </c>
      <c r="AU201" s="2" t="s">
        <v>847</v>
      </c>
      <c r="AV201" s="2" t="s">
        <v>848</v>
      </c>
      <c r="AW201" s="2" t="s">
        <v>60</v>
      </c>
      <c r="AX201" s="2" t="s">
        <v>849</v>
      </c>
      <c r="AY201" s="2" t="s">
        <v>60</v>
      </c>
      <c r="AZ201" s="4" t="s">
        <v>3246</v>
      </c>
      <c r="BA201" s="2" t="s">
        <v>87</v>
      </c>
      <c r="BB201" s="4" t="s">
        <v>3245</v>
      </c>
      <c r="BC201" s="4" t="s">
        <v>60</v>
      </c>
      <c r="BD201" s="2" t="s">
        <v>60</v>
      </c>
      <c r="BE201" s="2" t="s">
        <v>88</v>
      </c>
      <c r="BF201" s="2" t="s">
        <v>88</v>
      </c>
    </row>
    <row r="202" spans="1:58" x14ac:dyDescent="0.2">
      <c r="A202" s="3" t="s">
        <v>3247</v>
      </c>
      <c r="B202" s="3" t="s">
        <v>3248</v>
      </c>
      <c r="C202" s="3" t="s">
        <v>60</v>
      </c>
      <c r="D202" s="3" t="s">
        <v>60</v>
      </c>
      <c r="E202" s="3" t="s">
        <v>3249</v>
      </c>
      <c r="F202" s="3" t="s">
        <v>3250</v>
      </c>
      <c r="G202" s="3" t="s">
        <v>3251</v>
      </c>
      <c r="H202" s="3" t="s">
        <v>60</v>
      </c>
      <c r="I202" s="3" t="s">
        <v>60</v>
      </c>
      <c r="J202" s="3" t="s">
        <v>60</v>
      </c>
      <c r="K202" s="3" t="s">
        <v>3247</v>
      </c>
      <c r="L202" s="3" t="s">
        <v>3252</v>
      </c>
      <c r="M202" s="3" t="s">
        <v>134</v>
      </c>
      <c r="N202" s="3" t="s">
        <v>135</v>
      </c>
      <c r="O202" s="3" t="s">
        <v>2903</v>
      </c>
      <c r="P202" s="3" t="s">
        <v>3253</v>
      </c>
      <c r="Q202" s="3" t="s">
        <v>60</v>
      </c>
      <c r="R202" s="3" t="s">
        <v>3254</v>
      </c>
      <c r="S202" s="3" t="s">
        <v>372</v>
      </c>
      <c r="T202" s="17">
        <v>316.89</v>
      </c>
      <c r="U202" s="3" t="s">
        <v>97</v>
      </c>
      <c r="V202" s="3" t="s">
        <v>71</v>
      </c>
      <c r="W202" s="3" t="s">
        <v>373</v>
      </c>
      <c r="X202" s="9" t="str">
        <f>HYPERLINK("http://www.nayifat.com", "www.nayifat.com")</f>
        <v>www.nayifat.com</v>
      </c>
      <c r="Y202" s="9" t="str">
        <f>HYPERLINK("http://www.linkedin.com/company/nayifat-instalment-company", "http://www.linkedin.com/company/nayifat-instalment-company")</f>
        <v>http://www.linkedin.com/company/nayifat-instalment-company</v>
      </c>
      <c r="Z202" s="29">
        <v>540</v>
      </c>
      <c r="AA202" s="3" t="s">
        <v>3255</v>
      </c>
      <c r="AB202" s="3" t="s">
        <v>74</v>
      </c>
      <c r="AC202" s="3" t="s">
        <v>3256</v>
      </c>
      <c r="AD202" s="41">
        <v>2002</v>
      </c>
      <c r="AE202" s="3" t="s">
        <v>60</v>
      </c>
      <c r="AF202" s="53">
        <v>83.69</v>
      </c>
      <c r="AG202" s="53" t="s">
        <v>60</v>
      </c>
      <c r="AH202" s="53">
        <v>30.57</v>
      </c>
      <c r="AI202" s="53" t="s">
        <v>60</v>
      </c>
      <c r="AJ202" s="53" t="s">
        <v>60</v>
      </c>
      <c r="AK202" s="53" t="s">
        <v>60</v>
      </c>
      <c r="AL202" s="53">
        <v>377.32</v>
      </c>
      <c r="AM202" s="53">
        <v>128.06</v>
      </c>
      <c r="AN202" s="65">
        <v>-2.78</v>
      </c>
      <c r="AO202" s="5" t="s">
        <v>76</v>
      </c>
      <c r="AP202" s="3" t="s">
        <v>3257</v>
      </c>
      <c r="AQ202" s="3" t="s">
        <v>3258</v>
      </c>
      <c r="AR202" s="3" t="s">
        <v>3259</v>
      </c>
      <c r="AS202" s="3" t="s">
        <v>3260</v>
      </c>
      <c r="AT202" s="3" t="s">
        <v>3261</v>
      </c>
      <c r="AU202" s="3" t="s">
        <v>106</v>
      </c>
      <c r="AV202" s="3" t="s">
        <v>3262</v>
      </c>
      <c r="AW202" s="3" t="s">
        <v>3263</v>
      </c>
      <c r="AX202" s="3" t="s">
        <v>109</v>
      </c>
      <c r="AY202" s="3" t="s">
        <v>60</v>
      </c>
      <c r="AZ202" s="5" t="s">
        <v>2913</v>
      </c>
      <c r="BA202" s="3" t="s">
        <v>87</v>
      </c>
      <c r="BB202" s="5" t="s">
        <v>3261</v>
      </c>
      <c r="BC202" s="5" t="s">
        <v>60</v>
      </c>
      <c r="BD202" s="3" t="s">
        <v>3264</v>
      </c>
      <c r="BE202" s="3" t="s">
        <v>88</v>
      </c>
      <c r="BF202" s="3" t="s">
        <v>88</v>
      </c>
    </row>
    <row r="203" spans="1:58" x14ac:dyDescent="0.2">
      <c r="A203" s="2" t="s">
        <v>3265</v>
      </c>
      <c r="B203" s="2" t="s">
        <v>3266</v>
      </c>
      <c r="C203" s="2" t="s">
        <v>60</v>
      </c>
      <c r="D203" s="2" t="s">
        <v>60</v>
      </c>
      <c r="E203" s="2" t="s">
        <v>60</v>
      </c>
      <c r="F203" s="2" t="s">
        <v>60</v>
      </c>
      <c r="G203" s="2" t="s">
        <v>3267</v>
      </c>
      <c r="H203" s="2" t="s">
        <v>60</v>
      </c>
      <c r="I203" s="2" t="s">
        <v>60</v>
      </c>
      <c r="J203" s="2" t="s">
        <v>60</v>
      </c>
      <c r="K203" s="2" t="s">
        <v>3265</v>
      </c>
      <c r="L203" s="2" t="s">
        <v>3268</v>
      </c>
      <c r="M203" s="2" t="s">
        <v>63</v>
      </c>
      <c r="N203" s="2" t="s">
        <v>92</v>
      </c>
      <c r="O203" s="2" t="s">
        <v>3109</v>
      </c>
      <c r="P203" s="2" t="s">
        <v>3238</v>
      </c>
      <c r="Q203" s="2" t="s">
        <v>60</v>
      </c>
      <c r="R203" s="2" t="s">
        <v>3269</v>
      </c>
      <c r="S203" s="2" t="s">
        <v>96</v>
      </c>
      <c r="T203" s="16" t="s">
        <v>60</v>
      </c>
      <c r="U203" s="2" t="s">
        <v>97</v>
      </c>
      <c r="V203" s="2" t="s">
        <v>71</v>
      </c>
      <c r="W203" s="2" t="s">
        <v>98</v>
      </c>
      <c r="X203" s="8" t="str">
        <f>HYPERLINK("http://www.al-arabia.com", "www.al-arabia.com")</f>
        <v>www.al-arabia.com</v>
      </c>
      <c r="Y203" s="8" t="str">
        <f>HYPERLINK("http://www.linkedin.com/company/alarabia", "http://www.linkedin.com/company/alarabia")</f>
        <v>http://www.linkedin.com/company/alarabia</v>
      </c>
      <c r="Z203" s="28">
        <v>258</v>
      </c>
      <c r="AA203" s="2" t="s">
        <v>3270</v>
      </c>
      <c r="AB203" s="2" t="s">
        <v>74</v>
      </c>
      <c r="AC203" s="2" t="s">
        <v>3271</v>
      </c>
      <c r="AD203" s="40">
        <v>1983</v>
      </c>
      <c r="AE203" s="2" t="s">
        <v>60</v>
      </c>
      <c r="AF203" s="52">
        <v>509.23</v>
      </c>
      <c r="AG203" s="52">
        <v>199.12</v>
      </c>
      <c r="AH203" s="52">
        <v>-66.010000000000005</v>
      </c>
      <c r="AI203" s="52">
        <v>2532.9</v>
      </c>
      <c r="AJ203" s="52">
        <v>377.04</v>
      </c>
      <c r="AK203" s="52">
        <v>149.33000000000001</v>
      </c>
      <c r="AL203" s="52">
        <v>1816.56</v>
      </c>
      <c r="AM203" s="52">
        <v>980.43</v>
      </c>
      <c r="AN203" s="64">
        <v>24.58</v>
      </c>
      <c r="AO203" s="4" t="s">
        <v>179</v>
      </c>
      <c r="AP203" s="2" t="s">
        <v>3272</v>
      </c>
      <c r="AQ203" s="2" t="s">
        <v>3273</v>
      </c>
      <c r="AR203" s="2" t="s">
        <v>3274</v>
      </c>
      <c r="AS203" s="2" t="s">
        <v>3275</v>
      </c>
      <c r="AT203" s="2" t="s">
        <v>3276</v>
      </c>
      <c r="AU203" s="2" t="s">
        <v>106</v>
      </c>
      <c r="AV203" s="2" t="s">
        <v>3277</v>
      </c>
      <c r="AW203" s="2" t="s">
        <v>3278</v>
      </c>
      <c r="AX203" s="2" t="s">
        <v>109</v>
      </c>
      <c r="AY203" s="2" t="s">
        <v>60</v>
      </c>
      <c r="AZ203" s="4" t="s">
        <v>2283</v>
      </c>
      <c r="BA203" s="2" t="s">
        <v>87</v>
      </c>
      <c r="BB203" s="4" t="s">
        <v>3276</v>
      </c>
      <c r="BC203" s="4" t="s">
        <v>60</v>
      </c>
      <c r="BD203" s="2" t="s">
        <v>3279</v>
      </c>
      <c r="BE203" s="2" t="s">
        <v>88</v>
      </c>
      <c r="BF203" s="2" t="s">
        <v>88</v>
      </c>
    </row>
    <row r="204" spans="1:58" x14ac:dyDescent="0.2">
      <c r="A204" s="3" t="s">
        <v>3280</v>
      </c>
      <c r="B204" s="3" t="s">
        <v>3281</v>
      </c>
      <c r="C204" s="3" t="s">
        <v>60</v>
      </c>
      <c r="D204" s="3" t="s">
        <v>60</v>
      </c>
      <c r="E204" s="3" t="s">
        <v>60</v>
      </c>
      <c r="F204" s="3" t="s">
        <v>60</v>
      </c>
      <c r="G204" s="3" t="s">
        <v>3282</v>
      </c>
      <c r="H204" s="3" t="s">
        <v>60</v>
      </c>
      <c r="I204" s="3" t="s">
        <v>60</v>
      </c>
      <c r="J204" s="3" t="s">
        <v>60</v>
      </c>
      <c r="K204" s="3" t="s">
        <v>3280</v>
      </c>
      <c r="L204" s="3" t="s">
        <v>3283</v>
      </c>
      <c r="M204" s="3" t="s">
        <v>63</v>
      </c>
      <c r="N204" s="3" t="s">
        <v>64</v>
      </c>
      <c r="O204" s="3" t="s">
        <v>1128</v>
      </c>
      <c r="P204" s="3" t="s">
        <v>3284</v>
      </c>
      <c r="Q204" s="3" t="s">
        <v>60</v>
      </c>
      <c r="R204" s="3" t="s">
        <v>3285</v>
      </c>
      <c r="S204" s="3" t="s">
        <v>96</v>
      </c>
      <c r="T204" s="17">
        <v>7.08</v>
      </c>
      <c r="U204" s="3" t="s">
        <v>97</v>
      </c>
      <c r="V204" s="3" t="s">
        <v>71</v>
      </c>
      <c r="W204" s="3" t="s">
        <v>98</v>
      </c>
      <c r="X204" s="9" t="str">
        <f>HYPERLINK("http://www.alhasoob.com", "www.alhasoob.com")</f>
        <v>www.alhasoob.com</v>
      </c>
      <c r="Y204" s="3" t="s">
        <v>60</v>
      </c>
      <c r="Z204" s="29" t="s">
        <v>60</v>
      </c>
      <c r="AA204" s="3" t="s">
        <v>60</v>
      </c>
      <c r="AB204" s="3" t="s">
        <v>74</v>
      </c>
      <c r="AC204" s="3" t="s">
        <v>3286</v>
      </c>
      <c r="AD204" s="41">
        <v>1989</v>
      </c>
      <c r="AE204" s="3" t="s">
        <v>60</v>
      </c>
      <c r="AF204" s="53">
        <v>70.2</v>
      </c>
      <c r="AG204" s="53">
        <v>4.95</v>
      </c>
      <c r="AH204" s="53">
        <v>1.06</v>
      </c>
      <c r="AI204" s="53">
        <v>32.78</v>
      </c>
      <c r="AJ204" s="53">
        <v>1.67</v>
      </c>
      <c r="AK204" s="53">
        <v>1.37</v>
      </c>
      <c r="AL204" s="53">
        <v>24.61</v>
      </c>
      <c r="AM204" s="53">
        <v>-1.03</v>
      </c>
      <c r="AN204" s="65">
        <v>6.73</v>
      </c>
      <c r="AO204" s="5" t="s">
        <v>76</v>
      </c>
      <c r="AP204" s="3" t="s">
        <v>60</v>
      </c>
      <c r="AQ204" s="3" t="s">
        <v>60</v>
      </c>
      <c r="AR204" s="3" t="s">
        <v>60</v>
      </c>
      <c r="AS204" s="3" t="s">
        <v>60</v>
      </c>
      <c r="AT204" s="3" t="s">
        <v>60</v>
      </c>
      <c r="AU204" s="3" t="s">
        <v>106</v>
      </c>
      <c r="AV204" s="3" t="s">
        <v>3287</v>
      </c>
      <c r="AW204" s="3" t="s">
        <v>3288</v>
      </c>
      <c r="AX204" s="3" t="s">
        <v>109</v>
      </c>
      <c r="AY204" s="3" t="s">
        <v>60</v>
      </c>
      <c r="AZ204" s="5" t="s">
        <v>60</v>
      </c>
      <c r="BA204" s="3" t="s">
        <v>87</v>
      </c>
      <c r="BB204" s="5" t="s">
        <v>3289</v>
      </c>
      <c r="BC204" s="5" t="s">
        <v>60</v>
      </c>
      <c r="BD204" s="3" t="s">
        <v>3290</v>
      </c>
      <c r="BE204" s="3" t="s">
        <v>88</v>
      </c>
      <c r="BF204" s="3" t="s">
        <v>88</v>
      </c>
    </row>
    <row r="205" spans="1:58" x14ac:dyDescent="0.2">
      <c r="A205" s="2" t="s">
        <v>3291</v>
      </c>
      <c r="B205" s="2" t="s">
        <v>3292</v>
      </c>
      <c r="C205" s="2" t="s">
        <v>60</v>
      </c>
      <c r="D205" s="2" t="s">
        <v>60</v>
      </c>
      <c r="E205" s="2" t="s">
        <v>60</v>
      </c>
      <c r="F205" s="2" t="s">
        <v>60</v>
      </c>
      <c r="G205" s="2" t="s">
        <v>3293</v>
      </c>
      <c r="H205" s="2" t="s">
        <v>60</v>
      </c>
      <c r="I205" s="2" t="s">
        <v>60</v>
      </c>
      <c r="J205" s="2" t="s">
        <v>60</v>
      </c>
      <c r="K205" s="2" t="s">
        <v>3291</v>
      </c>
      <c r="L205" s="2" t="s">
        <v>3294</v>
      </c>
      <c r="M205" s="2" t="s">
        <v>63</v>
      </c>
      <c r="N205" s="2" t="s">
        <v>292</v>
      </c>
      <c r="O205" s="2" t="s">
        <v>293</v>
      </c>
      <c r="P205" s="2" t="s">
        <v>3295</v>
      </c>
      <c r="Q205" s="2" t="s">
        <v>60</v>
      </c>
      <c r="R205" s="2" t="s">
        <v>3296</v>
      </c>
      <c r="S205" s="2" t="s">
        <v>96</v>
      </c>
      <c r="T205" s="16" t="s">
        <v>60</v>
      </c>
      <c r="U205" s="2" t="s">
        <v>97</v>
      </c>
      <c r="V205" s="2" t="s">
        <v>71</v>
      </c>
      <c r="W205" s="2" t="s">
        <v>98</v>
      </c>
      <c r="X205" s="8" t="str">
        <f>HYPERLINK("http://www.enmaalrwabi.com", "www.enmaalrwabi.com")</f>
        <v>www.enmaalrwabi.com</v>
      </c>
      <c r="Y205" s="2" t="s">
        <v>60</v>
      </c>
      <c r="Z205" s="28">
        <v>18</v>
      </c>
      <c r="AA205" s="2" t="s">
        <v>3297</v>
      </c>
      <c r="AB205" s="2" t="s">
        <v>74</v>
      </c>
      <c r="AC205" s="2" t="s">
        <v>3298</v>
      </c>
      <c r="AD205" s="40">
        <v>2011</v>
      </c>
      <c r="AE205" s="2" t="s">
        <v>60</v>
      </c>
      <c r="AF205" s="52" t="s">
        <v>60</v>
      </c>
      <c r="AG205" s="52" t="s">
        <v>60</v>
      </c>
      <c r="AH205" s="52" t="s">
        <v>60</v>
      </c>
      <c r="AI205" s="52">
        <v>362.86</v>
      </c>
      <c r="AJ205" s="52" t="s">
        <v>60</v>
      </c>
      <c r="AK205" s="52" t="s">
        <v>60</v>
      </c>
      <c r="AL205" s="52">
        <v>211.72</v>
      </c>
      <c r="AM205" s="52" t="s">
        <v>60</v>
      </c>
      <c r="AN205" s="64" t="s">
        <v>60</v>
      </c>
      <c r="AO205" s="4" t="s">
        <v>3299</v>
      </c>
      <c r="AP205" s="2" t="s">
        <v>3300</v>
      </c>
      <c r="AQ205" s="2" t="s">
        <v>3301</v>
      </c>
      <c r="AR205" s="2" t="s">
        <v>124</v>
      </c>
      <c r="AS205" s="2" t="s">
        <v>3302</v>
      </c>
      <c r="AT205" s="2" t="s">
        <v>3303</v>
      </c>
      <c r="AU205" s="2" t="s">
        <v>106</v>
      </c>
      <c r="AV205" s="2" t="s">
        <v>3304</v>
      </c>
      <c r="AW205" s="2" t="s">
        <v>3305</v>
      </c>
      <c r="AX205" s="2" t="s">
        <v>109</v>
      </c>
      <c r="AY205" s="2" t="s">
        <v>60</v>
      </c>
      <c r="AZ205" s="4" t="s">
        <v>60</v>
      </c>
      <c r="BA205" s="2" t="s">
        <v>87</v>
      </c>
      <c r="BB205" s="4" t="s">
        <v>3303</v>
      </c>
      <c r="BC205" s="4" t="s">
        <v>3306</v>
      </c>
      <c r="BD205" s="2" t="s">
        <v>3307</v>
      </c>
      <c r="BE205" s="2" t="s">
        <v>88</v>
      </c>
      <c r="BF205" s="2" t="s">
        <v>88</v>
      </c>
    </row>
    <row r="206" spans="1:58" x14ac:dyDescent="0.2">
      <c r="A206" s="3" t="s">
        <v>3308</v>
      </c>
      <c r="B206" s="3" t="s">
        <v>3309</v>
      </c>
      <c r="C206" s="3" t="s">
        <v>60</v>
      </c>
      <c r="D206" s="3" t="s">
        <v>60</v>
      </c>
      <c r="E206" s="3" t="s">
        <v>3310</v>
      </c>
      <c r="F206" s="3" t="s">
        <v>60</v>
      </c>
      <c r="G206" s="3" t="s">
        <v>60</v>
      </c>
      <c r="H206" s="3" t="s">
        <v>60</v>
      </c>
      <c r="I206" s="3" t="s">
        <v>60</v>
      </c>
      <c r="J206" s="3" t="s">
        <v>3311</v>
      </c>
      <c r="K206" s="3" t="s">
        <v>3308</v>
      </c>
      <c r="L206" s="3" t="s">
        <v>3312</v>
      </c>
      <c r="M206" s="3" t="s">
        <v>485</v>
      </c>
      <c r="N206" s="3" t="s">
        <v>1023</v>
      </c>
      <c r="O206" s="3" t="s">
        <v>2419</v>
      </c>
      <c r="P206" s="3" t="s">
        <v>3313</v>
      </c>
      <c r="Q206" s="3" t="s">
        <v>60</v>
      </c>
      <c r="R206" s="3" t="s">
        <v>3314</v>
      </c>
      <c r="S206" s="3" t="s">
        <v>96</v>
      </c>
      <c r="T206" s="17">
        <v>965.18</v>
      </c>
      <c r="U206" s="3" t="s">
        <v>97</v>
      </c>
      <c r="V206" s="3" t="s">
        <v>71</v>
      </c>
      <c r="W206" s="3" t="s">
        <v>72</v>
      </c>
      <c r="X206" s="9" t="str">
        <f>HYPERLINK("http://www.solutions.com.sa", "www.solutions.com.sa")</f>
        <v>www.solutions.com.sa</v>
      </c>
      <c r="Y206" s="9" t="str">
        <f>HYPERLINK("http://www.linkedin.com/company/solutionsbystc", "http://www.linkedin.com/company/solutionsbystc")</f>
        <v>http://www.linkedin.com/company/solutionsbystc</v>
      </c>
      <c r="Z206" s="29">
        <v>1500</v>
      </c>
      <c r="AA206" s="3" t="s">
        <v>3315</v>
      </c>
      <c r="AB206" s="3" t="s">
        <v>74</v>
      </c>
      <c r="AC206" s="3" t="s">
        <v>3316</v>
      </c>
      <c r="AD206" s="41">
        <v>2003</v>
      </c>
      <c r="AE206" s="3" t="s">
        <v>60</v>
      </c>
      <c r="AF206" s="53">
        <v>3342.38</v>
      </c>
      <c r="AG206" s="53">
        <v>723.47</v>
      </c>
      <c r="AH206" s="53">
        <v>412.91</v>
      </c>
      <c r="AI206" s="53">
        <v>7974.37</v>
      </c>
      <c r="AJ206" s="53">
        <v>523.41</v>
      </c>
      <c r="AK206" s="53">
        <v>441.27</v>
      </c>
      <c r="AL206" s="53">
        <v>7261.02</v>
      </c>
      <c r="AM206" s="53">
        <v>-267.69</v>
      </c>
      <c r="AN206" s="65">
        <v>12.07</v>
      </c>
      <c r="AO206" s="5" t="s">
        <v>179</v>
      </c>
      <c r="AP206" s="3" t="s">
        <v>3317</v>
      </c>
      <c r="AQ206" s="3" t="s">
        <v>3318</v>
      </c>
      <c r="AR206" s="3" t="s">
        <v>1874</v>
      </c>
      <c r="AS206" s="3" t="s">
        <v>60</v>
      </c>
      <c r="AT206" s="3" t="s">
        <v>3319</v>
      </c>
      <c r="AU206" s="3" t="s">
        <v>106</v>
      </c>
      <c r="AV206" s="3" t="s">
        <v>3320</v>
      </c>
      <c r="AW206" s="3" t="s">
        <v>60</v>
      </c>
      <c r="AX206" s="3" t="s">
        <v>109</v>
      </c>
      <c r="AY206" s="3" t="s">
        <v>60</v>
      </c>
      <c r="AZ206" s="5" t="s">
        <v>2601</v>
      </c>
      <c r="BA206" s="3" t="s">
        <v>87</v>
      </c>
      <c r="BB206" s="5" t="s">
        <v>3319</v>
      </c>
      <c r="BC206" s="5" t="s">
        <v>3321</v>
      </c>
      <c r="BD206" s="3" t="s">
        <v>60</v>
      </c>
      <c r="BE206" s="3" t="s">
        <v>88</v>
      </c>
      <c r="BF206" s="3" t="s">
        <v>88</v>
      </c>
    </row>
    <row r="207" spans="1:58" x14ac:dyDescent="0.2">
      <c r="A207" s="2" t="s">
        <v>3322</v>
      </c>
      <c r="B207" s="2" t="s">
        <v>3323</v>
      </c>
      <c r="C207" s="2" t="s">
        <v>60</v>
      </c>
      <c r="D207" s="2" t="s">
        <v>60</v>
      </c>
      <c r="E207" s="2" t="s">
        <v>60</v>
      </c>
      <c r="F207" s="2" t="s">
        <v>3324</v>
      </c>
      <c r="G207" s="2" t="s">
        <v>3325</v>
      </c>
      <c r="H207" s="2" t="s">
        <v>60</v>
      </c>
      <c r="I207" s="2" t="s">
        <v>60</v>
      </c>
      <c r="J207" s="2" t="s">
        <v>60</v>
      </c>
      <c r="K207" s="2" t="s">
        <v>3322</v>
      </c>
      <c r="L207" s="2" t="s">
        <v>3326</v>
      </c>
      <c r="M207" s="2" t="s">
        <v>63</v>
      </c>
      <c r="N207" s="2" t="s">
        <v>92</v>
      </c>
      <c r="O207" s="2" t="s">
        <v>584</v>
      </c>
      <c r="P207" s="2" t="s">
        <v>3327</v>
      </c>
      <c r="Q207" s="2" t="s">
        <v>60</v>
      </c>
      <c r="R207" s="2" t="s">
        <v>3328</v>
      </c>
      <c r="S207" s="2" t="s">
        <v>96</v>
      </c>
      <c r="T207" s="16" t="s">
        <v>60</v>
      </c>
      <c r="U207" s="2" t="s">
        <v>1516</v>
      </c>
      <c r="V207" s="2" t="s">
        <v>71</v>
      </c>
      <c r="W207" s="2" t="s">
        <v>373</v>
      </c>
      <c r="X207" s="8" t="str">
        <f>HYPERLINK("http://www.kaec.net", "www.kaec.net")</f>
        <v>www.kaec.net</v>
      </c>
      <c r="Y207" s="8" t="str">
        <f>HYPERLINK("http://www.linkedin.com/company/emaar-the-economic-city", "http://www.linkedin.com/company/emaar-the-economic-city")</f>
        <v>http://www.linkedin.com/company/emaar-the-economic-city</v>
      </c>
      <c r="Z207" s="28">
        <v>120</v>
      </c>
      <c r="AA207" s="2" t="s">
        <v>3329</v>
      </c>
      <c r="AB207" s="2" t="s">
        <v>74</v>
      </c>
      <c r="AC207" s="2" t="s">
        <v>3330</v>
      </c>
      <c r="AD207" s="40">
        <v>2006</v>
      </c>
      <c r="AE207" s="2" t="s">
        <v>60</v>
      </c>
      <c r="AF207" s="52">
        <v>230.41</v>
      </c>
      <c r="AG207" s="52">
        <v>80.08</v>
      </c>
      <c r="AH207" s="52">
        <v>-75.5</v>
      </c>
      <c r="AI207" s="52">
        <v>4063.78</v>
      </c>
      <c r="AJ207" s="52">
        <v>141.77000000000001</v>
      </c>
      <c r="AK207" s="52">
        <v>71.41</v>
      </c>
      <c r="AL207" s="52">
        <v>2278.85</v>
      </c>
      <c r="AM207" s="52">
        <v>2166.9299999999998</v>
      </c>
      <c r="AN207" s="64">
        <v>149.99</v>
      </c>
      <c r="AO207" s="4" t="s">
        <v>179</v>
      </c>
      <c r="AP207" s="2" t="s">
        <v>3331</v>
      </c>
      <c r="AQ207" s="2" t="s">
        <v>3332</v>
      </c>
      <c r="AR207" s="2" t="s">
        <v>79</v>
      </c>
      <c r="AS207" s="2" t="s">
        <v>3333</v>
      </c>
      <c r="AT207" s="2" t="s">
        <v>3334</v>
      </c>
      <c r="AU207" s="2" t="s">
        <v>3335</v>
      </c>
      <c r="AV207" s="2" t="s">
        <v>3336</v>
      </c>
      <c r="AW207" s="2" t="s">
        <v>3337</v>
      </c>
      <c r="AX207" s="2" t="s">
        <v>3338</v>
      </c>
      <c r="AY207" s="2" t="s">
        <v>60</v>
      </c>
      <c r="AZ207" s="4" t="s">
        <v>3339</v>
      </c>
      <c r="BA207" s="2" t="s">
        <v>87</v>
      </c>
      <c r="BB207" s="4" t="s">
        <v>3334</v>
      </c>
      <c r="BC207" s="4" t="s">
        <v>60</v>
      </c>
      <c r="BD207" s="2" t="s">
        <v>60</v>
      </c>
      <c r="BE207" s="2" t="s">
        <v>88</v>
      </c>
      <c r="BF207" s="2" t="s">
        <v>88</v>
      </c>
    </row>
    <row r="208" spans="1:58" x14ac:dyDescent="0.2">
      <c r="A208" s="3" t="s">
        <v>3340</v>
      </c>
      <c r="B208" s="3" t="s">
        <v>3341</v>
      </c>
      <c r="C208" s="3" t="s">
        <v>60</v>
      </c>
      <c r="D208" s="3" t="s">
        <v>60</v>
      </c>
      <c r="E208" s="3" t="s">
        <v>60</v>
      </c>
      <c r="F208" s="3" t="s">
        <v>60</v>
      </c>
      <c r="G208" s="3" t="s">
        <v>3342</v>
      </c>
      <c r="H208" s="3" t="s">
        <v>60</v>
      </c>
      <c r="I208" s="3" t="s">
        <v>60</v>
      </c>
      <c r="J208" s="3" t="s">
        <v>60</v>
      </c>
      <c r="K208" s="3" t="s">
        <v>3340</v>
      </c>
      <c r="L208" s="3" t="s">
        <v>3343</v>
      </c>
      <c r="M208" s="3" t="s">
        <v>1175</v>
      </c>
      <c r="N208" s="3" t="s">
        <v>2467</v>
      </c>
      <c r="O208" s="3" t="s">
        <v>3344</v>
      </c>
      <c r="P208" s="3" t="s">
        <v>3345</v>
      </c>
      <c r="Q208" s="3" t="s">
        <v>1392</v>
      </c>
      <c r="R208" s="3" t="s">
        <v>3346</v>
      </c>
      <c r="S208" s="3" t="s">
        <v>96</v>
      </c>
      <c r="T208" s="17">
        <v>17.309999999999999</v>
      </c>
      <c r="U208" s="3" t="s">
        <v>97</v>
      </c>
      <c r="V208" s="3" t="s">
        <v>71</v>
      </c>
      <c r="W208" s="3" t="s">
        <v>98</v>
      </c>
      <c r="X208" s="9" t="str">
        <f>HYPERLINK("http://www.ngdc.com.sa", "www.ngdc.com.sa")</f>
        <v>www.ngdc.com.sa</v>
      </c>
      <c r="Y208" s="9" t="str">
        <f>HYPERLINK("http://www.linkedin.com/company/natural-gas-distribution-co", "http://www.linkedin.com/company/natural-gas-distribution-co")</f>
        <v>http://www.linkedin.com/company/natural-gas-distribution-co</v>
      </c>
      <c r="Z208" s="29">
        <v>24</v>
      </c>
      <c r="AA208" s="3" t="s">
        <v>3347</v>
      </c>
      <c r="AB208" s="3" t="s">
        <v>74</v>
      </c>
      <c r="AC208" s="3" t="s">
        <v>3348</v>
      </c>
      <c r="AD208" s="41">
        <v>2000</v>
      </c>
      <c r="AE208" s="3" t="s">
        <v>60</v>
      </c>
      <c r="AF208" s="53">
        <v>34.85</v>
      </c>
      <c r="AG208" s="53">
        <v>2.67</v>
      </c>
      <c r="AH208" s="53">
        <v>1.2</v>
      </c>
      <c r="AI208" s="53">
        <v>59.34</v>
      </c>
      <c r="AJ208" s="53">
        <v>1.24</v>
      </c>
      <c r="AK208" s="53">
        <v>1.24</v>
      </c>
      <c r="AL208" s="53">
        <v>33.159999999999997</v>
      </c>
      <c r="AM208" s="53">
        <v>-1.98</v>
      </c>
      <c r="AN208" s="65">
        <v>32.07</v>
      </c>
      <c r="AO208" s="5" t="s">
        <v>76</v>
      </c>
      <c r="AP208" s="3" t="s">
        <v>3349</v>
      </c>
      <c r="AQ208" s="3" t="s">
        <v>3350</v>
      </c>
      <c r="AR208" s="3" t="s">
        <v>124</v>
      </c>
      <c r="AS208" s="3" t="s">
        <v>60</v>
      </c>
      <c r="AT208" s="3" t="s">
        <v>60</v>
      </c>
      <c r="AU208" s="3" t="s">
        <v>106</v>
      </c>
      <c r="AV208" s="3" t="s">
        <v>3351</v>
      </c>
      <c r="AW208" s="3" t="s">
        <v>1186</v>
      </c>
      <c r="AX208" s="3" t="s">
        <v>109</v>
      </c>
      <c r="AY208" s="3" t="s">
        <v>60</v>
      </c>
      <c r="AZ208" s="5" t="s">
        <v>60</v>
      </c>
      <c r="BA208" s="3" t="s">
        <v>87</v>
      </c>
      <c r="BB208" s="5" t="s">
        <v>60</v>
      </c>
      <c r="BC208" s="5" t="s">
        <v>60</v>
      </c>
      <c r="BD208" s="3" t="s">
        <v>60</v>
      </c>
      <c r="BE208" s="3" t="s">
        <v>88</v>
      </c>
      <c r="BF208" s="3" t="s">
        <v>88</v>
      </c>
    </row>
    <row r="209" spans="1:58" x14ac:dyDescent="0.2">
      <c r="A209" s="2" t="s">
        <v>3352</v>
      </c>
      <c r="B209" s="2" t="s">
        <v>3353</v>
      </c>
      <c r="C209" s="2" t="s">
        <v>60</v>
      </c>
      <c r="D209" s="2" t="s">
        <v>60</v>
      </c>
      <c r="E209" s="2" t="s">
        <v>60</v>
      </c>
      <c r="F209" s="2" t="s">
        <v>60</v>
      </c>
      <c r="G209" s="2" t="s">
        <v>3354</v>
      </c>
      <c r="H209" s="2" t="s">
        <v>60</v>
      </c>
      <c r="I209" s="2" t="s">
        <v>60</v>
      </c>
      <c r="J209" s="2" t="s">
        <v>3355</v>
      </c>
      <c r="K209" s="2" t="s">
        <v>3352</v>
      </c>
      <c r="L209" s="2" t="s">
        <v>3356</v>
      </c>
      <c r="M209" s="2" t="s">
        <v>115</v>
      </c>
      <c r="N209" s="2" t="s">
        <v>208</v>
      </c>
      <c r="O209" s="2" t="s">
        <v>226</v>
      </c>
      <c r="P209" s="2" t="s">
        <v>3357</v>
      </c>
      <c r="Q209" s="2" t="s">
        <v>60</v>
      </c>
      <c r="R209" s="2" t="s">
        <v>3358</v>
      </c>
      <c r="S209" s="2" t="s">
        <v>96</v>
      </c>
      <c r="T209" s="16" t="s">
        <v>60</v>
      </c>
      <c r="U209" s="2" t="s">
        <v>97</v>
      </c>
      <c r="V209" s="2" t="s">
        <v>71</v>
      </c>
      <c r="W209" s="2" t="s">
        <v>98</v>
      </c>
      <c r="X209" s="8" t="str">
        <f>HYPERLINK("http://www.burgerizzr.com", "www.burgerizzr.com")</f>
        <v>www.burgerizzr.com</v>
      </c>
      <c r="Y209" s="8" t="str">
        <f>HYPERLINK("http://www.linkedin.com/company/burgerizzr-company", "http://www.linkedin.com/company/burgerizzr-company")</f>
        <v>http://www.linkedin.com/company/burgerizzr-company</v>
      </c>
      <c r="Z209" s="28">
        <v>1099</v>
      </c>
      <c r="AA209" s="2" t="s">
        <v>3359</v>
      </c>
      <c r="AB209" s="2" t="s">
        <v>74</v>
      </c>
      <c r="AC209" s="2" t="s">
        <v>3360</v>
      </c>
      <c r="AD209" s="40">
        <v>2009</v>
      </c>
      <c r="AE209" s="2" t="s">
        <v>60</v>
      </c>
      <c r="AF209" s="52">
        <v>89.61</v>
      </c>
      <c r="AG209" s="52">
        <v>27.5</v>
      </c>
      <c r="AH209" s="52">
        <v>1.53</v>
      </c>
      <c r="AI209" s="52">
        <v>156.81</v>
      </c>
      <c r="AJ209" s="52">
        <v>9.0299999999999994</v>
      </c>
      <c r="AK209" s="52">
        <v>2.4700000000000002</v>
      </c>
      <c r="AL209" s="52">
        <v>137.82</v>
      </c>
      <c r="AM209" s="52">
        <v>8.4700000000000006</v>
      </c>
      <c r="AN209" s="64">
        <v>12.23</v>
      </c>
      <c r="AO209" s="4" t="s">
        <v>179</v>
      </c>
      <c r="AP209" s="2" t="s">
        <v>3361</v>
      </c>
      <c r="AQ209" s="2" t="s">
        <v>3362</v>
      </c>
      <c r="AR209" s="2" t="s">
        <v>79</v>
      </c>
      <c r="AS209" s="2" t="s">
        <v>60</v>
      </c>
      <c r="AT209" s="2" t="s">
        <v>3363</v>
      </c>
      <c r="AU209" s="2" t="s">
        <v>106</v>
      </c>
      <c r="AV209" s="2" t="s">
        <v>3364</v>
      </c>
      <c r="AW209" s="2" t="s">
        <v>3365</v>
      </c>
      <c r="AX209" s="2" t="s">
        <v>109</v>
      </c>
      <c r="AY209" s="2" t="s">
        <v>60</v>
      </c>
      <c r="AZ209" s="4" t="s">
        <v>3366</v>
      </c>
      <c r="BA209" s="2" t="s">
        <v>87</v>
      </c>
      <c r="BB209" s="4" t="s">
        <v>3363</v>
      </c>
      <c r="BC209" s="4" t="s">
        <v>3367</v>
      </c>
      <c r="BD209" s="2" t="s">
        <v>3368</v>
      </c>
      <c r="BE209" s="2" t="s">
        <v>88</v>
      </c>
      <c r="BF209" s="2" t="s">
        <v>88</v>
      </c>
    </row>
    <row r="210" spans="1:58" x14ac:dyDescent="0.2">
      <c r="A210" s="3" t="s">
        <v>3369</v>
      </c>
      <c r="B210" s="3" t="s">
        <v>3370</v>
      </c>
      <c r="C210" s="3" t="s">
        <v>60</v>
      </c>
      <c r="D210" s="3" t="s">
        <v>60</v>
      </c>
      <c r="E210" s="3" t="s">
        <v>60</v>
      </c>
      <c r="F210" s="3" t="s">
        <v>60</v>
      </c>
      <c r="G210" s="3" t="s">
        <v>3371</v>
      </c>
      <c r="H210" s="3" t="s">
        <v>60</v>
      </c>
      <c r="I210" s="3" t="s">
        <v>60</v>
      </c>
      <c r="J210" s="3" t="s">
        <v>60</v>
      </c>
      <c r="K210" s="3" t="s">
        <v>3369</v>
      </c>
      <c r="L210" s="3" t="s">
        <v>3372</v>
      </c>
      <c r="M210" s="3" t="s">
        <v>134</v>
      </c>
      <c r="N210" s="3" t="s">
        <v>565</v>
      </c>
      <c r="O210" s="3" t="s">
        <v>1666</v>
      </c>
      <c r="P210" s="3" t="s">
        <v>1667</v>
      </c>
      <c r="Q210" s="3" t="s">
        <v>60</v>
      </c>
      <c r="R210" s="3" t="s">
        <v>3373</v>
      </c>
      <c r="S210" s="3" t="s">
        <v>174</v>
      </c>
      <c r="T210" s="17" t="s">
        <v>60</v>
      </c>
      <c r="U210" s="3" t="s">
        <v>97</v>
      </c>
      <c r="V210" s="3" t="s">
        <v>71</v>
      </c>
      <c r="W210" s="3" t="s">
        <v>175</v>
      </c>
      <c r="X210" s="9" t="str">
        <f>HYPERLINK("http://www.gig.sa", "www.gig.sa")</f>
        <v>www.gig.sa</v>
      </c>
      <c r="Y210" s="9" t="str">
        <f>HYPERLINK("http://www.linkedin.com/company/axa-cooperative-insurance-ksa", "http://www.linkedin.com/company/axa-cooperative-insurance-ksa")</f>
        <v>http://www.linkedin.com/company/axa-cooperative-insurance-ksa</v>
      </c>
      <c r="Z210" s="29">
        <v>700</v>
      </c>
      <c r="AA210" s="3" t="s">
        <v>3374</v>
      </c>
      <c r="AB210" s="3" t="s">
        <v>74</v>
      </c>
      <c r="AC210" s="3" t="s">
        <v>3375</v>
      </c>
      <c r="AD210" s="41">
        <v>2009</v>
      </c>
      <c r="AE210" s="3" t="s">
        <v>3376</v>
      </c>
      <c r="AF210" s="53">
        <v>364.93</v>
      </c>
      <c r="AG210" s="53" t="s">
        <v>60</v>
      </c>
      <c r="AH210" s="53">
        <v>35.44</v>
      </c>
      <c r="AI210" s="53">
        <v>341.75</v>
      </c>
      <c r="AJ210" s="53">
        <v>47.97</v>
      </c>
      <c r="AK210" s="53">
        <v>43.9</v>
      </c>
      <c r="AL210" s="53">
        <v>341.76</v>
      </c>
      <c r="AM210" s="53">
        <v>-23.3</v>
      </c>
      <c r="AN210" s="65">
        <v>37.78</v>
      </c>
      <c r="AO210" s="5" t="s">
        <v>179</v>
      </c>
      <c r="AP210" s="3" t="s">
        <v>3377</v>
      </c>
      <c r="AQ210" s="3" t="s">
        <v>3378</v>
      </c>
      <c r="AR210" s="3" t="s">
        <v>3379</v>
      </c>
      <c r="AS210" s="3" t="s">
        <v>3380</v>
      </c>
      <c r="AT210" s="3" t="s">
        <v>60</v>
      </c>
      <c r="AU210" s="3" t="s">
        <v>106</v>
      </c>
      <c r="AV210" s="3" t="s">
        <v>3381</v>
      </c>
      <c r="AW210" s="3" t="s">
        <v>3382</v>
      </c>
      <c r="AX210" s="3" t="s">
        <v>109</v>
      </c>
      <c r="AY210" s="3" t="s">
        <v>60</v>
      </c>
      <c r="AZ210" s="5" t="s">
        <v>1990</v>
      </c>
      <c r="BA210" s="3" t="s">
        <v>87</v>
      </c>
      <c r="BB210" s="5" t="s">
        <v>60</v>
      </c>
      <c r="BC210" s="5" t="s">
        <v>60</v>
      </c>
      <c r="BD210" s="3" t="s">
        <v>60</v>
      </c>
      <c r="BE210" s="3" t="s">
        <v>88</v>
      </c>
      <c r="BF210" s="3" t="s">
        <v>88</v>
      </c>
    </row>
    <row r="211" spans="1:58" x14ac:dyDescent="0.2">
      <c r="A211" s="2" t="s">
        <v>3383</v>
      </c>
      <c r="B211" s="2" t="s">
        <v>3384</v>
      </c>
      <c r="C211" s="2" t="s">
        <v>60</v>
      </c>
      <c r="D211" s="2" t="s">
        <v>60</v>
      </c>
      <c r="E211" s="2" t="s">
        <v>60</v>
      </c>
      <c r="F211" s="2" t="s">
        <v>60</v>
      </c>
      <c r="G211" s="2" t="s">
        <v>3385</v>
      </c>
      <c r="H211" s="2" t="s">
        <v>60</v>
      </c>
      <c r="I211" s="2" t="s">
        <v>60</v>
      </c>
      <c r="J211" s="2" t="s">
        <v>60</v>
      </c>
      <c r="K211" s="2" t="s">
        <v>3383</v>
      </c>
      <c r="L211" s="2" t="s">
        <v>3386</v>
      </c>
      <c r="M211" s="2" t="s">
        <v>115</v>
      </c>
      <c r="N211" s="2" t="s">
        <v>116</v>
      </c>
      <c r="O211" s="2" t="s">
        <v>117</v>
      </c>
      <c r="P211" s="2" t="s">
        <v>118</v>
      </c>
      <c r="Q211" s="2" t="s">
        <v>60</v>
      </c>
      <c r="R211" s="2" t="s">
        <v>3387</v>
      </c>
      <c r="S211" s="2" t="s">
        <v>96</v>
      </c>
      <c r="T211" s="16" t="s">
        <v>60</v>
      </c>
      <c r="U211" s="2" t="s">
        <v>97</v>
      </c>
      <c r="V211" s="2" t="s">
        <v>71</v>
      </c>
      <c r="W211" s="2" t="s">
        <v>98</v>
      </c>
      <c r="X211" s="8" t="str">
        <f>HYPERLINK("http://www.bananrealestate.com", "www.bananrealestate.com")</f>
        <v>www.bananrealestate.com</v>
      </c>
      <c r="Y211" s="2" t="s">
        <v>60</v>
      </c>
      <c r="Z211" s="28" t="s">
        <v>60</v>
      </c>
      <c r="AA211" s="2" t="s">
        <v>60</v>
      </c>
      <c r="AB211" s="2" t="s">
        <v>74</v>
      </c>
      <c r="AC211" s="2" t="s">
        <v>3388</v>
      </c>
      <c r="AD211" s="40">
        <v>2005</v>
      </c>
      <c r="AE211" s="2" t="s">
        <v>60</v>
      </c>
      <c r="AF211" s="52">
        <v>19.34</v>
      </c>
      <c r="AG211" s="52">
        <v>16.13</v>
      </c>
      <c r="AH211" s="52">
        <v>8.65</v>
      </c>
      <c r="AI211" s="52">
        <v>349.69</v>
      </c>
      <c r="AJ211" s="52">
        <v>17.489999999999998</v>
      </c>
      <c r="AK211" s="52">
        <v>14.87</v>
      </c>
      <c r="AL211" s="52">
        <v>196.04</v>
      </c>
      <c r="AM211" s="52">
        <v>46.36</v>
      </c>
      <c r="AN211" s="64">
        <v>-21.7</v>
      </c>
      <c r="AO211" s="4" t="s">
        <v>179</v>
      </c>
      <c r="AP211" s="2" t="s">
        <v>3389</v>
      </c>
      <c r="AQ211" s="2" t="s">
        <v>3390</v>
      </c>
      <c r="AR211" s="2" t="s">
        <v>124</v>
      </c>
      <c r="AS211" s="2" t="s">
        <v>60</v>
      </c>
      <c r="AT211" s="2" t="s">
        <v>3391</v>
      </c>
      <c r="AU211" s="2" t="s">
        <v>106</v>
      </c>
      <c r="AV211" s="2" t="s">
        <v>3392</v>
      </c>
      <c r="AW211" s="2" t="s">
        <v>3393</v>
      </c>
      <c r="AX211" s="2" t="s">
        <v>109</v>
      </c>
      <c r="AY211" s="2" t="s">
        <v>60</v>
      </c>
      <c r="AZ211" s="4" t="s">
        <v>60</v>
      </c>
      <c r="BA211" s="2" t="s">
        <v>87</v>
      </c>
      <c r="BB211" s="4" t="s">
        <v>3391</v>
      </c>
      <c r="BC211" s="4" t="s">
        <v>3394</v>
      </c>
      <c r="BD211" s="2" t="s">
        <v>60</v>
      </c>
      <c r="BE211" s="2" t="s">
        <v>88</v>
      </c>
      <c r="BF211" s="2" t="s">
        <v>88</v>
      </c>
    </row>
    <row r="212" spans="1:58" x14ac:dyDescent="0.2">
      <c r="A212" s="3" t="s">
        <v>3395</v>
      </c>
      <c r="B212" s="3" t="s">
        <v>3396</v>
      </c>
      <c r="C212" s="3" t="s">
        <v>60</v>
      </c>
      <c r="D212" s="3" t="s">
        <v>60</v>
      </c>
      <c r="E212" s="3" t="s">
        <v>60</v>
      </c>
      <c r="F212" s="3" t="s">
        <v>60</v>
      </c>
      <c r="G212" s="3" t="s">
        <v>3397</v>
      </c>
      <c r="H212" s="3" t="s">
        <v>60</v>
      </c>
      <c r="I212" s="3" t="s">
        <v>60</v>
      </c>
      <c r="J212" s="3" t="s">
        <v>3398</v>
      </c>
      <c r="K212" s="3" t="s">
        <v>3395</v>
      </c>
      <c r="L212" s="3" t="s">
        <v>3399</v>
      </c>
      <c r="M212" s="3" t="s">
        <v>115</v>
      </c>
      <c r="N212" s="3" t="s">
        <v>208</v>
      </c>
      <c r="O212" s="3" t="s">
        <v>226</v>
      </c>
      <c r="P212" s="3" t="s">
        <v>227</v>
      </c>
      <c r="Q212" s="3" t="s">
        <v>67</v>
      </c>
      <c r="R212" s="3" t="s">
        <v>3400</v>
      </c>
      <c r="S212" s="3" t="s">
        <v>96</v>
      </c>
      <c r="T212" s="17">
        <v>106.95</v>
      </c>
      <c r="U212" s="3" t="s">
        <v>97</v>
      </c>
      <c r="V212" s="3" t="s">
        <v>71</v>
      </c>
      <c r="W212" s="3" t="s">
        <v>98</v>
      </c>
      <c r="X212" s="9" t="str">
        <f>HYPERLINK("http://www.tanmiah.com", "www.tanmiah.com")</f>
        <v>www.tanmiah.com</v>
      </c>
      <c r="Y212" s="9" t="str">
        <f>HYPERLINK("http://www.linkedin.com/company/tanmiahfoods", "http://www.linkedin.com/company/tanmiahfoods")</f>
        <v>http://www.linkedin.com/company/tanmiahfoods</v>
      </c>
      <c r="Z212" s="29" t="s">
        <v>60</v>
      </c>
      <c r="AA212" s="3" t="s">
        <v>60</v>
      </c>
      <c r="AB212" s="3" t="s">
        <v>74</v>
      </c>
      <c r="AC212" s="3" t="s">
        <v>3401</v>
      </c>
      <c r="AD212" s="41">
        <v>1962</v>
      </c>
      <c r="AE212" s="3" t="s">
        <v>60</v>
      </c>
      <c r="AF212" s="53">
        <v>699.08</v>
      </c>
      <c r="AG212" s="53">
        <v>169.73</v>
      </c>
      <c r="AH212" s="53">
        <v>8.07</v>
      </c>
      <c r="AI212" s="53">
        <v>903.65</v>
      </c>
      <c r="AJ212" s="53">
        <v>88.21</v>
      </c>
      <c r="AK212" s="53">
        <v>34.979999999999997</v>
      </c>
      <c r="AL212" s="53">
        <v>314.04000000000002</v>
      </c>
      <c r="AM212" s="53">
        <v>440.72</v>
      </c>
      <c r="AN212" s="65">
        <v>6.96</v>
      </c>
      <c r="AO212" s="5" t="s">
        <v>179</v>
      </c>
      <c r="AP212" s="3" t="s">
        <v>3402</v>
      </c>
      <c r="AQ212" s="3" t="s">
        <v>3403</v>
      </c>
      <c r="AR212" s="3" t="s">
        <v>1874</v>
      </c>
      <c r="AS212" s="3" t="s">
        <v>3404</v>
      </c>
      <c r="AT212" s="3" t="s">
        <v>3405</v>
      </c>
      <c r="AU212" s="3" t="s">
        <v>106</v>
      </c>
      <c r="AV212" s="3" t="s">
        <v>3406</v>
      </c>
      <c r="AW212" s="3" t="s">
        <v>3407</v>
      </c>
      <c r="AX212" s="3" t="s">
        <v>109</v>
      </c>
      <c r="AY212" s="3" t="s">
        <v>60</v>
      </c>
      <c r="AZ212" s="5" t="s">
        <v>3408</v>
      </c>
      <c r="BA212" s="3" t="s">
        <v>87</v>
      </c>
      <c r="BB212" s="5" t="s">
        <v>3405</v>
      </c>
      <c r="BC212" s="5" t="s">
        <v>3409</v>
      </c>
      <c r="BD212" s="3" t="s">
        <v>3410</v>
      </c>
      <c r="BE212" s="3" t="s">
        <v>88</v>
      </c>
      <c r="BF212" s="3" t="s">
        <v>88</v>
      </c>
    </row>
    <row r="213" spans="1:58" x14ac:dyDescent="0.2">
      <c r="A213" s="2" t="s">
        <v>3411</v>
      </c>
      <c r="B213" s="2" t="s">
        <v>3412</v>
      </c>
      <c r="C213" s="2" t="s">
        <v>60</v>
      </c>
      <c r="D213" s="2" t="s">
        <v>60</v>
      </c>
      <c r="E213" s="2" t="s">
        <v>60</v>
      </c>
      <c r="F213" s="2" t="s">
        <v>60</v>
      </c>
      <c r="G213" s="2" t="s">
        <v>3413</v>
      </c>
      <c r="H213" s="2" t="s">
        <v>60</v>
      </c>
      <c r="I213" s="2" t="s">
        <v>60</v>
      </c>
      <c r="J213" s="2" t="s">
        <v>60</v>
      </c>
      <c r="K213" s="2" t="s">
        <v>3411</v>
      </c>
      <c r="L213" s="2" t="s">
        <v>3414</v>
      </c>
      <c r="M213" s="2" t="s">
        <v>328</v>
      </c>
      <c r="N213" s="2" t="s">
        <v>401</v>
      </c>
      <c r="O213" s="2" t="s">
        <v>3415</v>
      </c>
      <c r="P213" s="2" t="s">
        <v>3416</v>
      </c>
      <c r="Q213" s="2" t="s">
        <v>60</v>
      </c>
      <c r="R213" s="2" t="s">
        <v>3417</v>
      </c>
      <c r="S213" s="2" t="s">
        <v>96</v>
      </c>
      <c r="T213" s="16" t="s">
        <v>60</v>
      </c>
      <c r="U213" s="2" t="s">
        <v>97</v>
      </c>
      <c r="V213" s="2" t="s">
        <v>71</v>
      </c>
      <c r="W213" s="2" t="s">
        <v>98</v>
      </c>
      <c r="X213" s="8" t="str">
        <f>HYPERLINK("http://www.canadian-mc.com", "www.canadian-mc.com")</f>
        <v>www.canadian-mc.com</v>
      </c>
      <c r="Y213" s="2" t="s">
        <v>60</v>
      </c>
      <c r="Z213" s="28">
        <v>393</v>
      </c>
      <c r="AA213" s="2" t="s">
        <v>3418</v>
      </c>
      <c r="AB213" s="2" t="s">
        <v>74</v>
      </c>
      <c r="AC213" s="2" t="s">
        <v>3419</v>
      </c>
      <c r="AD213" s="40">
        <v>2008</v>
      </c>
      <c r="AE213" s="2" t="s">
        <v>60</v>
      </c>
      <c r="AF213" s="52">
        <v>35.78</v>
      </c>
      <c r="AG213" s="52">
        <v>10.53</v>
      </c>
      <c r="AH213" s="52">
        <v>4.32</v>
      </c>
      <c r="AI213" s="52">
        <v>142.31</v>
      </c>
      <c r="AJ213" s="52">
        <v>6.17</v>
      </c>
      <c r="AK213" s="52">
        <v>4.62</v>
      </c>
      <c r="AL213" s="52">
        <v>133.52000000000001</v>
      </c>
      <c r="AM213" s="52">
        <v>-7.4</v>
      </c>
      <c r="AN213" s="64" t="s">
        <v>60</v>
      </c>
      <c r="AO213" s="4" t="s">
        <v>179</v>
      </c>
      <c r="AP213" s="2" t="s">
        <v>3420</v>
      </c>
      <c r="AQ213" s="2" t="s">
        <v>3421</v>
      </c>
      <c r="AR213" s="2" t="s">
        <v>124</v>
      </c>
      <c r="AS213" s="2" t="s">
        <v>60</v>
      </c>
      <c r="AT213" s="2" t="s">
        <v>3422</v>
      </c>
      <c r="AU213" s="2" t="s">
        <v>847</v>
      </c>
      <c r="AV213" s="2" t="s">
        <v>3423</v>
      </c>
      <c r="AW213" s="2" t="s">
        <v>3424</v>
      </c>
      <c r="AX213" s="2" t="s">
        <v>849</v>
      </c>
      <c r="AY213" s="2" t="s">
        <v>60</v>
      </c>
      <c r="AZ213" s="4" t="s">
        <v>60</v>
      </c>
      <c r="BA213" s="2" t="s">
        <v>87</v>
      </c>
      <c r="BB213" s="4" t="s">
        <v>3422</v>
      </c>
      <c r="BC213" s="4" t="s">
        <v>60</v>
      </c>
      <c r="BD213" s="2" t="s">
        <v>3425</v>
      </c>
      <c r="BE213" s="2" t="s">
        <v>88</v>
      </c>
      <c r="BF213" s="2" t="s">
        <v>88</v>
      </c>
    </row>
    <row r="214" spans="1:58" x14ac:dyDescent="0.2">
      <c r="A214" s="3" t="s">
        <v>3426</v>
      </c>
      <c r="B214" s="3" t="s">
        <v>3427</v>
      </c>
      <c r="C214" s="3" t="s">
        <v>60</v>
      </c>
      <c r="D214" s="3" t="s">
        <v>60</v>
      </c>
      <c r="E214" s="3" t="s">
        <v>3428</v>
      </c>
      <c r="F214" s="3" t="s">
        <v>60</v>
      </c>
      <c r="G214" s="3" t="s">
        <v>3429</v>
      </c>
      <c r="H214" s="3" t="s">
        <v>60</v>
      </c>
      <c r="I214" s="3" t="s">
        <v>60</v>
      </c>
      <c r="J214" s="3" t="s">
        <v>60</v>
      </c>
      <c r="K214" s="3" t="s">
        <v>3426</v>
      </c>
      <c r="L214" s="3" t="s">
        <v>3430</v>
      </c>
      <c r="M214" s="3" t="s">
        <v>241</v>
      </c>
      <c r="N214" s="3" t="s">
        <v>839</v>
      </c>
      <c r="O214" s="3" t="s">
        <v>840</v>
      </c>
      <c r="P214" s="3" t="s">
        <v>841</v>
      </c>
      <c r="Q214" s="3" t="s">
        <v>67</v>
      </c>
      <c r="R214" s="3" t="s">
        <v>3431</v>
      </c>
      <c r="S214" s="3" t="s">
        <v>96</v>
      </c>
      <c r="T214" s="17" t="s">
        <v>60</v>
      </c>
      <c r="U214" s="3" t="s">
        <v>97</v>
      </c>
      <c r="V214" s="3" t="s">
        <v>71</v>
      </c>
      <c r="W214" s="3" t="s">
        <v>98</v>
      </c>
      <c r="X214" s="9" t="str">
        <f>HYPERLINK("http://www.nafkal.com", "www.nafkal.com")</f>
        <v>www.nafkal.com</v>
      </c>
      <c r="Y214" s="3" t="s">
        <v>60</v>
      </c>
      <c r="Z214" s="29">
        <v>347</v>
      </c>
      <c r="AA214" s="3" t="s">
        <v>3432</v>
      </c>
      <c r="AB214" s="3" t="s">
        <v>74</v>
      </c>
      <c r="AC214" s="3" t="s">
        <v>3433</v>
      </c>
      <c r="AD214" s="41">
        <v>1986</v>
      </c>
      <c r="AE214" s="3" t="s">
        <v>60</v>
      </c>
      <c r="AF214" s="53">
        <v>63.15</v>
      </c>
      <c r="AG214" s="53">
        <v>22.06</v>
      </c>
      <c r="AH214" s="53">
        <v>7.29</v>
      </c>
      <c r="AI214" s="53">
        <v>156.68</v>
      </c>
      <c r="AJ214" s="53">
        <v>9.58</v>
      </c>
      <c r="AK214" s="53">
        <v>8.1</v>
      </c>
      <c r="AL214" s="53">
        <v>145.43</v>
      </c>
      <c r="AM214" s="53">
        <v>4.16</v>
      </c>
      <c r="AN214" s="65" t="s">
        <v>60</v>
      </c>
      <c r="AO214" s="5" t="s">
        <v>179</v>
      </c>
      <c r="AP214" s="3" t="s">
        <v>60</v>
      </c>
      <c r="AQ214" s="3" t="s">
        <v>60</v>
      </c>
      <c r="AR214" s="3" t="s">
        <v>60</v>
      </c>
      <c r="AS214" s="3" t="s">
        <v>60</v>
      </c>
      <c r="AT214" s="3" t="s">
        <v>60</v>
      </c>
      <c r="AU214" s="3" t="s">
        <v>106</v>
      </c>
      <c r="AV214" s="3" t="s">
        <v>3434</v>
      </c>
      <c r="AW214" s="3" t="s">
        <v>60</v>
      </c>
      <c r="AX214" s="3" t="s">
        <v>109</v>
      </c>
      <c r="AY214" s="3" t="s">
        <v>60</v>
      </c>
      <c r="AZ214" s="5" t="s">
        <v>60</v>
      </c>
      <c r="BA214" s="3" t="s">
        <v>87</v>
      </c>
      <c r="BB214" s="5" t="s">
        <v>3435</v>
      </c>
      <c r="BC214" s="5" t="s">
        <v>3436</v>
      </c>
      <c r="BD214" s="3" t="s">
        <v>60</v>
      </c>
      <c r="BE214" s="3" t="s">
        <v>88</v>
      </c>
      <c r="BF214" s="3" t="s">
        <v>88</v>
      </c>
    </row>
    <row r="215" spans="1:58" x14ac:dyDescent="0.2">
      <c r="A215" s="2" t="s">
        <v>3437</v>
      </c>
      <c r="B215" s="2" t="s">
        <v>3438</v>
      </c>
      <c r="C215" s="2" t="s">
        <v>60</v>
      </c>
      <c r="D215" s="2" t="s">
        <v>60</v>
      </c>
      <c r="E215" s="2" t="s">
        <v>60</v>
      </c>
      <c r="F215" s="2" t="s">
        <v>60</v>
      </c>
      <c r="G215" s="2" t="s">
        <v>60</v>
      </c>
      <c r="H215" s="2" t="s">
        <v>60</v>
      </c>
      <c r="I215" s="2" t="s">
        <v>60</v>
      </c>
      <c r="J215" s="2" t="s">
        <v>60</v>
      </c>
      <c r="K215" s="2" t="s">
        <v>3437</v>
      </c>
      <c r="L215" s="2" t="s">
        <v>3439</v>
      </c>
      <c r="M215" s="2" t="s">
        <v>241</v>
      </c>
      <c r="N215" s="2" t="s">
        <v>242</v>
      </c>
      <c r="O215" s="2" t="s">
        <v>243</v>
      </c>
      <c r="P215" s="2" t="s">
        <v>244</v>
      </c>
      <c r="Q215" s="2" t="s">
        <v>60</v>
      </c>
      <c r="R215" s="2" t="s">
        <v>3440</v>
      </c>
      <c r="S215" s="2" t="s">
        <v>96</v>
      </c>
      <c r="T215" s="16" t="s">
        <v>60</v>
      </c>
      <c r="U215" s="2" t="s">
        <v>97</v>
      </c>
      <c r="V215" s="2" t="s">
        <v>71</v>
      </c>
      <c r="W215" s="2" t="s">
        <v>98</v>
      </c>
      <c r="X215" s="8" t="str">
        <f>HYPERLINK("http://www.alnaqool.com", "www.alnaqool.com")</f>
        <v>www.alnaqool.com</v>
      </c>
      <c r="Y215" s="8" t="str">
        <f>HYPERLINK("http://www.linkedin.com/company/al-naqool-company-55907323b", "http://www.linkedin.com/company/al-naqool-company-55907323b")</f>
        <v>http://www.linkedin.com/company/al-naqool-company-55907323b</v>
      </c>
      <c r="Z215" s="28" t="s">
        <v>60</v>
      </c>
      <c r="AA215" s="2" t="s">
        <v>60</v>
      </c>
      <c r="AB215" s="2" t="s">
        <v>74</v>
      </c>
      <c r="AC215" s="2" t="s">
        <v>3441</v>
      </c>
      <c r="AD215" s="40">
        <v>1984</v>
      </c>
      <c r="AE215" s="2" t="s">
        <v>60</v>
      </c>
      <c r="AF215" s="52">
        <v>20.82</v>
      </c>
      <c r="AG215" s="52">
        <v>3.03</v>
      </c>
      <c r="AH215" s="52">
        <v>0.95</v>
      </c>
      <c r="AI215" s="52">
        <v>29.38</v>
      </c>
      <c r="AJ215" s="52">
        <v>3.14</v>
      </c>
      <c r="AK215" s="52">
        <v>1.82</v>
      </c>
      <c r="AL215" s="52">
        <v>31.75</v>
      </c>
      <c r="AM215" s="52">
        <v>4.2699999999999996</v>
      </c>
      <c r="AN215" s="64">
        <v>45.52</v>
      </c>
      <c r="AO215" s="4" t="s">
        <v>76</v>
      </c>
      <c r="AP215" s="2" t="s">
        <v>60</v>
      </c>
      <c r="AQ215" s="2" t="s">
        <v>60</v>
      </c>
      <c r="AR215" s="2" t="s">
        <v>60</v>
      </c>
      <c r="AS215" s="2" t="s">
        <v>60</v>
      </c>
      <c r="AT215" s="2" t="s">
        <v>60</v>
      </c>
      <c r="AU215" s="2" t="s">
        <v>847</v>
      </c>
      <c r="AV215" s="2" t="s">
        <v>3442</v>
      </c>
      <c r="AW215" s="2" t="s">
        <v>60</v>
      </c>
      <c r="AX215" s="2" t="s">
        <v>849</v>
      </c>
      <c r="AY215" s="2" t="s">
        <v>60</v>
      </c>
      <c r="AZ215" s="4" t="s">
        <v>3443</v>
      </c>
      <c r="BA215" s="2" t="s">
        <v>87</v>
      </c>
      <c r="BB215" s="4" t="s">
        <v>3444</v>
      </c>
      <c r="BC215" s="4" t="s">
        <v>3445</v>
      </c>
      <c r="BD215" s="2" t="s">
        <v>3446</v>
      </c>
      <c r="BE215" s="2" t="s">
        <v>88</v>
      </c>
      <c r="BF215" s="2" t="s">
        <v>88</v>
      </c>
    </row>
    <row r="216" spans="1:58" x14ac:dyDescent="0.2">
      <c r="A216" s="3" t="s">
        <v>3447</v>
      </c>
      <c r="B216" s="3" t="s">
        <v>3448</v>
      </c>
      <c r="C216" s="3" t="s">
        <v>60</v>
      </c>
      <c r="D216" s="3" t="s">
        <v>60</v>
      </c>
      <c r="E216" s="3" t="s">
        <v>3449</v>
      </c>
      <c r="F216" s="3" t="s">
        <v>60</v>
      </c>
      <c r="G216" s="3" t="s">
        <v>3450</v>
      </c>
      <c r="H216" s="3" t="s">
        <v>60</v>
      </c>
      <c r="I216" s="3" t="s">
        <v>60</v>
      </c>
      <c r="J216" s="3" t="s">
        <v>60</v>
      </c>
      <c r="K216" s="3" t="s">
        <v>3447</v>
      </c>
      <c r="L216" s="3" t="s">
        <v>3451</v>
      </c>
      <c r="M216" s="3" t="s">
        <v>115</v>
      </c>
      <c r="N216" s="3" t="s">
        <v>208</v>
      </c>
      <c r="O216" s="3" t="s">
        <v>226</v>
      </c>
      <c r="P216" s="3" t="s">
        <v>227</v>
      </c>
      <c r="Q216" s="3" t="s">
        <v>60</v>
      </c>
      <c r="R216" s="3" t="s">
        <v>3452</v>
      </c>
      <c r="S216" s="3" t="s">
        <v>96</v>
      </c>
      <c r="T216" s="17" t="s">
        <v>60</v>
      </c>
      <c r="U216" s="3" t="s">
        <v>97</v>
      </c>
      <c r="V216" s="3" t="s">
        <v>71</v>
      </c>
      <c r="W216" s="3" t="s">
        <v>98</v>
      </c>
      <c r="X216" s="9" t="str">
        <f>HYPERLINK("http://www.feshfashfood.com", "www.feshfashfood.com")</f>
        <v>www.feshfashfood.com</v>
      </c>
      <c r="Y216" s="9" t="str">
        <f>HYPERLINK("http://www.linkedin.com/company/feshfash", "http://www.linkedin.com/company/feshfash")</f>
        <v>http://www.linkedin.com/company/feshfash</v>
      </c>
      <c r="Z216" s="29">
        <v>108</v>
      </c>
      <c r="AA216" s="3" t="s">
        <v>3453</v>
      </c>
      <c r="AB216" s="3" t="s">
        <v>74</v>
      </c>
      <c r="AC216" s="3" t="s">
        <v>3454</v>
      </c>
      <c r="AD216" s="41">
        <v>1981</v>
      </c>
      <c r="AE216" s="3" t="s">
        <v>60</v>
      </c>
      <c r="AF216" s="53">
        <v>10.220000000000001</v>
      </c>
      <c r="AG216" s="53">
        <v>3.13</v>
      </c>
      <c r="AH216" s="53">
        <v>1.32</v>
      </c>
      <c r="AI216" s="53">
        <v>31.47</v>
      </c>
      <c r="AJ216" s="53">
        <v>1.41</v>
      </c>
      <c r="AK216" s="53">
        <v>1.41</v>
      </c>
      <c r="AL216" s="53">
        <v>32.450000000000003</v>
      </c>
      <c r="AM216" s="53">
        <v>-1.01</v>
      </c>
      <c r="AN216" s="65">
        <v>8.5299999999999994</v>
      </c>
      <c r="AO216" s="5" t="s">
        <v>76</v>
      </c>
      <c r="AP216" s="3" t="s">
        <v>3455</v>
      </c>
      <c r="AQ216" s="3" t="s">
        <v>3456</v>
      </c>
      <c r="AR216" s="3" t="s">
        <v>215</v>
      </c>
      <c r="AS216" s="3" t="s">
        <v>3457</v>
      </c>
      <c r="AT216" s="3" t="s">
        <v>3458</v>
      </c>
      <c r="AU216" s="3" t="s">
        <v>106</v>
      </c>
      <c r="AV216" s="3" t="s">
        <v>3459</v>
      </c>
      <c r="AW216" s="3" t="s">
        <v>60</v>
      </c>
      <c r="AX216" s="3" t="s">
        <v>109</v>
      </c>
      <c r="AY216" s="3" t="s">
        <v>60</v>
      </c>
      <c r="AZ216" s="5" t="s">
        <v>3460</v>
      </c>
      <c r="BA216" s="3" t="s">
        <v>87</v>
      </c>
      <c r="BB216" s="5" t="s">
        <v>3458</v>
      </c>
      <c r="BC216" s="5" t="s">
        <v>3461</v>
      </c>
      <c r="BD216" s="3" t="s">
        <v>3462</v>
      </c>
      <c r="BE216" s="3" t="s">
        <v>88</v>
      </c>
      <c r="BF216" s="3" t="s">
        <v>88</v>
      </c>
    </row>
    <row r="217" spans="1:58" x14ac:dyDescent="0.2">
      <c r="A217" s="2" t="s">
        <v>3463</v>
      </c>
      <c r="B217" s="2" t="s">
        <v>3464</v>
      </c>
      <c r="C217" s="2" t="s">
        <v>60</v>
      </c>
      <c r="D217" s="2" t="s">
        <v>60</v>
      </c>
      <c r="E217" s="2" t="s">
        <v>60</v>
      </c>
      <c r="F217" s="2" t="s">
        <v>3465</v>
      </c>
      <c r="G217" s="2" t="s">
        <v>3466</v>
      </c>
      <c r="H217" s="2" t="s">
        <v>60</v>
      </c>
      <c r="I217" s="2" t="s">
        <v>60</v>
      </c>
      <c r="J217" s="2" t="s">
        <v>60</v>
      </c>
      <c r="K217" s="2" t="s">
        <v>3463</v>
      </c>
      <c r="L217" s="2" t="s">
        <v>3467</v>
      </c>
      <c r="M217" s="2" t="s">
        <v>115</v>
      </c>
      <c r="N217" s="2" t="s">
        <v>192</v>
      </c>
      <c r="O217" s="2" t="s">
        <v>193</v>
      </c>
      <c r="P217" s="2" t="s">
        <v>3468</v>
      </c>
      <c r="Q217" s="2" t="s">
        <v>421</v>
      </c>
      <c r="R217" s="2" t="s">
        <v>3469</v>
      </c>
      <c r="S217" s="2" t="s">
        <v>372</v>
      </c>
      <c r="T217" s="16">
        <v>137.41</v>
      </c>
      <c r="U217" s="2" t="s">
        <v>97</v>
      </c>
      <c r="V217" s="2" t="s">
        <v>71</v>
      </c>
      <c r="W217" s="2" t="s">
        <v>373</v>
      </c>
      <c r="X217" s="8" t="str">
        <f>HYPERLINK("http://www.theebonline.com", "www.theebonline.com")</f>
        <v>www.theebonline.com</v>
      </c>
      <c r="Y217" s="8" t="str">
        <f>HYPERLINK("http://www.linkedin.com/company/theebrentacar", "http://www.linkedin.com/company/theebrentacar")</f>
        <v>http://www.linkedin.com/company/theebrentacar</v>
      </c>
      <c r="Z217" s="28">
        <v>900</v>
      </c>
      <c r="AA217" s="2" t="s">
        <v>3470</v>
      </c>
      <c r="AB217" s="2" t="s">
        <v>74</v>
      </c>
      <c r="AC217" s="2" t="s">
        <v>3471</v>
      </c>
      <c r="AD217" s="40">
        <v>1991</v>
      </c>
      <c r="AE217" s="2" t="s">
        <v>60</v>
      </c>
      <c r="AF217" s="52">
        <v>383.95</v>
      </c>
      <c r="AG217" s="52">
        <v>121.97</v>
      </c>
      <c r="AH217" s="52">
        <v>51.78</v>
      </c>
      <c r="AI217" s="52">
        <v>1188.8900000000001</v>
      </c>
      <c r="AJ217" s="52">
        <v>184.19</v>
      </c>
      <c r="AK217" s="52">
        <v>78.58</v>
      </c>
      <c r="AL217" s="52">
        <v>607.64</v>
      </c>
      <c r="AM217" s="52">
        <v>490.68</v>
      </c>
      <c r="AN217" s="64">
        <v>13.87</v>
      </c>
      <c r="AO217" s="4" t="s">
        <v>179</v>
      </c>
      <c r="AP217" s="2" t="s">
        <v>3472</v>
      </c>
      <c r="AQ217" s="2" t="s">
        <v>3473</v>
      </c>
      <c r="AR217" s="2" t="s">
        <v>266</v>
      </c>
      <c r="AS217" s="2" t="s">
        <v>60</v>
      </c>
      <c r="AT217" s="2" t="s">
        <v>3474</v>
      </c>
      <c r="AU217" s="2" t="s">
        <v>106</v>
      </c>
      <c r="AV217" s="2" t="s">
        <v>3475</v>
      </c>
      <c r="AW217" s="2" t="s">
        <v>60</v>
      </c>
      <c r="AX217" s="2" t="s">
        <v>109</v>
      </c>
      <c r="AY217" s="2" t="s">
        <v>60</v>
      </c>
      <c r="AZ217" s="4" t="s">
        <v>2302</v>
      </c>
      <c r="BA217" s="2" t="s">
        <v>87</v>
      </c>
      <c r="BB217" s="4" t="s">
        <v>3474</v>
      </c>
      <c r="BC217" s="4" t="s">
        <v>3476</v>
      </c>
      <c r="BD217" s="2" t="s">
        <v>3477</v>
      </c>
      <c r="BE217" s="2" t="s">
        <v>88</v>
      </c>
      <c r="BF217" s="2" t="s">
        <v>88</v>
      </c>
    </row>
    <row r="218" spans="1:58" x14ac:dyDescent="0.2">
      <c r="A218" s="3" t="s">
        <v>3478</v>
      </c>
      <c r="B218" s="3" t="s">
        <v>3479</v>
      </c>
      <c r="C218" s="3" t="s">
        <v>60</v>
      </c>
      <c r="D218" s="3" t="s">
        <v>60</v>
      </c>
      <c r="E218" s="3" t="s">
        <v>60</v>
      </c>
      <c r="F218" s="3" t="s">
        <v>60</v>
      </c>
      <c r="G218" s="3" t="s">
        <v>3480</v>
      </c>
      <c r="H218" s="3" t="s">
        <v>60</v>
      </c>
      <c r="I218" s="3" t="s">
        <v>60</v>
      </c>
      <c r="J218" s="3" t="s">
        <v>60</v>
      </c>
      <c r="K218" s="3" t="s">
        <v>3478</v>
      </c>
      <c r="L218" s="3" t="s">
        <v>3481</v>
      </c>
      <c r="M218" s="3" t="s">
        <v>63</v>
      </c>
      <c r="N218" s="3" t="s">
        <v>92</v>
      </c>
      <c r="O218" s="3" t="s">
        <v>171</v>
      </c>
      <c r="P218" s="3" t="s">
        <v>3482</v>
      </c>
      <c r="Q218" s="3" t="s">
        <v>60</v>
      </c>
      <c r="R218" s="3" t="s">
        <v>3483</v>
      </c>
      <c r="S218" s="3" t="s">
        <v>96</v>
      </c>
      <c r="T218" s="17" t="s">
        <v>60</v>
      </c>
      <c r="U218" s="3" t="s">
        <v>97</v>
      </c>
      <c r="V218" s="3" t="s">
        <v>71</v>
      </c>
      <c r="W218" s="3" t="s">
        <v>98</v>
      </c>
      <c r="X218" s="9" t="str">
        <f>HYPERLINK("http://www.awpt.com.sa", "www.awpt.com.sa")</f>
        <v>www.awpt.com.sa</v>
      </c>
      <c r="Y218" s="9" t="str">
        <f>HYPERLINK("http://www.linkedin.com/company/alkhorayefwater&amp;powertechnologies/", "http://www.linkedin.com/company/alkhorayefwater&amp;powertechnologies/")</f>
        <v>http://www.linkedin.com/company/alkhorayefwater&amp;powertechnologies/</v>
      </c>
      <c r="Z218" s="29">
        <v>5000</v>
      </c>
      <c r="AA218" s="3" t="s">
        <v>3484</v>
      </c>
      <c r="AB218" s="3" t="s">
        <v>74</v>
      </c>
      <c r="AC218" s="3" t="s">
        <v>3485</v>
      </c>
      <c r="AD218" s="41">
        <v>1991</v>
      </c>
      <c r="AE218" s="3" t="s">
        <v>60</v>
      </c>
      <c r="AF218" s="53">
        <v>662.52</v>
      </c>
      <c r="AG218" s="53">
        <v>120.31</v>
      </c>
      <c r="AH218" s="53">
        <v>69.03</v>
      </c>
      <c r="AI218" s="53">
        <v>1491.95</v>
      </c>
      <c r="AJ218" s="53">
        <v>93.79</v>
      </c>
      <c r="AK218" s="53">
        <v>76.91</v>
      </c>
      <c r="AL218" s="53">
        <v>1146.67</v>
      </c>
      <c r="AM218" s="53">
        <v>156.43</v>
      </c>
      <c r="AN218" s="65">
        <v>37.07</v>
      </c>
      <c r="AO218" s="5" t="s">
        <v>179</v>
      </c>
      <c r="AP218" s="3" t="s">
        <v>3486</v>
      </c>
      <c r="AQ218" s="3" t="s">
        <v>3487</v>
      </c>
      <c r="AR218" s="3" t="s">
        <v>79</v>
      </c>
      <c r="AS218" s="3" t="s">
        <v>3488</v>
      </c>
      <c r="AT218" s="3" t="s">
        <v>3489</v>
      </c>
      <c r="AU218" s="3" t="s">
        <v>106</v>
      </c>
      <c r="AV218" s="3" t="s">
        <v>60</v>
      </c>
      <c r="AW218" s="3" t="s">
        <v>60</v>
      </c>
      <c r="AX218" s="3" t="s">
        <v>109</v>
      </c>
      <c r="AY218" s="3" t="s">
        <v>60</v>
      </c>
      <c r="AZ218" s="5" t="s">
        <v>2731</v>
      </c>
      <c r="BA218" s="3" t="s">
        <v>87</v>
      </c>
      <c r="BB218" s="5" t="s">
        <v>3489</v>
      </c>
      <c r="BC218" s="5" t="s">
        <v>3490</v>
      </c>
      <c r="BD218" s="3" t="s">
        <v>3491</v>
      </c>
      <c r="BE218" s="3" t="s">
        <v>88</v>
      </c>
      <c r="BF218" s="3" t="s">
        <v>88</v>
      </c>
    </row>
    <row r="219" spans="1:58" x14ac:dyDescent="0.2">
      <c r="A219" s="2" t="s">
        <v>3492</v>
      </c>
      <c r="B219" s="2" t="s">
        <v>3493</v>
      </c>
      <c r="C219" s="2" t="s">
        <v>60</v>
      </c>
      <c r="D219" s="2" t="s">
        <v>60</v>
      </c>
      <c r="E219" s="2" t="s">
        <v>60</v>
      </c>
      <c r="F219" s="2" t="s">
        <v>60</v>
      </c>
      <c r="G219" s="2" t="s">
        <v>3494</v>
      </c>
      <c r="H219" s="2" t="s">
        <v>60</v>
      </c>
      <c r="I219" s="2" t="s">
        <v>60</v>
      </c>
      <c r="J219" s="2" t="s">
        <v>60</v>
      </c>
      <c r="K219" s="2" t="s">
        <v>3492</v>
      </c>
      <c r="L219" s="2" t="s">
        <v>3495</v>
      </c>
      <c r="M219" s="2" t="s">
        <v>241</v>
      </c>
      <c r="N219" s="2" t="s">
        <v>2257</v>
      </c>
      <c r="O219" s="2" t="s">
        <v>3496</v>
      </c>
      <c r="P219" s="2" t="s">
        <v>3497</v>
      </c>
      <c r="Q219" s="2" t="s">
        <v>60</v>
      </c>
      <c r="R219" s="2" t="s">
        <v>3498</v>
      </c>
      <c r="S219" s="2" t="s">
        <v>96</v>
      </c>
      <c r="T219" s="16" t="s">
        <v>60</v>
      </c>
      <c r="U219" s="2" t="s">
        <v>97</v>
      </c>
      <c r="V219" s="2" t="s">
        <v>71</v>
      </c>
      <c r="W219" s="2" t="s">
        <v>98</v>
      </c>
      <c r="X219" s="8" t="str">
        <f>HYPERLINK("http://www.wataniasteel.com", "www.wataniasteel.com")</f>
        <v>www.wataniasteel.com</v>
      </c>
      <c r="Y219" s="2" t="s">
        <v>60</v>
      </c>
      <c r="Z219" s="28" t="s">
        <v>60</v>
      </c>
      <c r="AA219" s="2" t="s">
        <v>60</v>
      </c>
      <c r="AB219" s="2" t="s">
        <v>74</v>
      </c>
      <c r="AC219" s="2" t="s">
        <v>3499</v>
      </c>
      <c r="AD219" s="40">
        <v>2008</v>
      </c>
      <c r="AE219" s="2" t="s">
        <v>60</v>
      </c>
      <c r="AF219" s="52">
        <v>123.46</v>
      </c>
      <c r="AG219" s="52">
        <v>6.99</v>
      </c>
      <c r="AH219" s="52">
        <v>1.08</v>
      </c>
      <c r="AI219" s="52">
        <v>113.17</v>
      </c>
      <c r="AJ219" s="52">
        <v>7.76</v>
      </c>
      <c r="AK219" s="52">
        <v>2.79</v>
      </c>
      <c r="AL219" s="52">
        <v>91.45</v>
      </c>
      <c r="AM219" s="52">
        <v>22.05</v>
      </c>
      <c r="AN219" s="64" t="s">
        <v>60</v>
      </c>
      <c r="AO219" s="4" t="s">
        <v>179</v>
      </c>
      <c r="AP219" s="2" t="s">
        <v>3500</v>
      </c>
      <c r="AQ219" s="2" t="s">
        <v>3501</v>
      </c>
      <c r="AR219" s="2" t="s">
        <v>124</v>
      </c>
      <c r="AS219" s="2" t="s">
        <v>3502</v>
      </c>
      <c r="AT219" s="2" t="s">
        <v>3503</v>
      </c>
      <c r="AU219" s="2" t="s">
        <v>106</v>
      </c>
      <c r="AV219" s="2" t="s">
        <v>3504</v>
      </c>
      <c r="AW219" s="2" t="s">
        <v>60</v>
      </c>
      <c r="AX219" s="2" t="s">
        <v>109</v>
      </c>
      <c r="AY219" s="2" t="s">
        <v>60</v>
      </c>
      <c r="AZ219" s="4" t="s">
        <v>148</v>
      </c>
      <c r="BA219" s="2" t="s">
        <v>87</v>
      </c>
      <c r="BB219" s="4" t="s">
        <v>3503</v>
      </c>
      <c r="BC219" s="4" t="s">
        <v>3505</v>
      </c>
      <c r="BD219" s="2" t="s">
        <v>3506</v>
      </c>
      <c r="BE219" s="2" t="s">
        <v>88</v>
      </c>
      <c r="BF219" s="2" t="s">
        <v>88</v>
      </c>
    </row>
    <row r="220" spans="1:58" x14ac:dyDescent="0.2">
      <c r="A220" s="3" t="s">
        <v>3507</v>
      </c>
      <c r="B220" s="3" t="s">
        <v>3508</v>
      </c>
      <c r="C220" s="3" t="s">
        <v>60</v>
      </c>
      <c r="D220" s="3" t="s">
        <v>60</v>
      </c>
      <c r="E220" s="3" t="s">
        <v>3509</v>
      </c>
      <c r="F220" s="3" t="s">
        <v>3510</v>
      </c>
      <c r="G220" s="3" t="s">
        <v>3511</v>
      </c>
      <c r="H220" s="3" t="s">
        <v>60</v>
      </c>
      <c r="I220" s="3" t="s">
        <v>60</v>
      </c>
      <c r="J220" s="3" t="s">
        <v>60</v>
      </c>
      <c r="K220" s="3" t="s">
        <v>3507</v>
      </c>
      <c r="L220" s="3" t="s">
        <v>3512</v>
      </c>
      <c r="M220" s="3" t="s">
        <v>241</v>
      </c>
      <c r="N220" s="3" t="s">
        <v>839</v>
      </c>
      <c r="O220" s="3" t="s">
        <v>2131</v>
      </c>
      <c r="P220" s="3" t="s">
        <v>3513</v>
      </c>
      <c r="Q220" s="3" t="s">
        <v>67</v>
      </c>
      <c r="R220" s="3" t="s">
        <v>3514</v>
      </c>
      <c r="S220" s="3" t="s">
        <v>174</v>
      </c>
      <c r="T220" s="17" t="s">
        <v>60</v>
      </c>
      <c r="U220" s="3" t="s">
        <v>97</v>
      </c>
      <c r="V220" s="3" t="s">
        <v>71</v>
      </c>
      <c r="W220" s="3" t="s">
        <v>175</v>
      </c>
      <c r="X220" s="9" t="str">
        <f>HYPERLINK("http://www.sabic-agrinutrients.com", "www.sabic-agrinutrients.com")</f>
        <v>www.sabic-agrinutrients.com</v>
      </c>
      <c r="Y220" s="3" t="s">
        <v>60</v>
      </c>
      <c r="Z220" s="29">
        <v>1024</v>
      </c>
      <c r="AA220" s="3" t="s">
        <v>3515</v>
      </c>
      <c r="AB220" s="3" t="s">
        <v>74</v>
      </c>
      <c r="AC220" s="3" t="s">
        <v>3516</v>
      </c>
      <c r="AD220" s="41">
        <v>1965</v>
      </c>
      <c r="AE220" s="3" t="s">
        <v>3517</v>
      </c>
      <c r="AF220" s="53">
        <v>3434.75</v>
      </c>
      <c r="AG220" s="53">
        <v>1328.36</v>
      </c>
      <c r="AH220" s="53">
        <v>1141.8399999999999</v>
      </c>
      <c r="AI220" s="53">
        <v>12296.08</v>
      </c>
      <c r="AJ220" s="53">
        <v>1360.3</v>
      </c>
      <c r="AK220" s="53">
        <v>1120.33</v>
      </c>
      <c r="AL220" s="53">
        <v>16090.42</v>
      </c>
      <c r="AM220" s="53">
        <v>-3107.57</v>
      </c>
      <c r="AN220" s="65">
        <v>17.11</v>
      </c>
      <c r="AO220" s="5" t="s">
        <v>179</v>
      </c>
      <c r="AP220" s="3" t="s">
        <v>3518</v>
      </c>
      <c r="AQ220" s="3" t="s">
        <v>3519</v>
      </c>
      <c r="AR220" s="3" t="s">
        <v>79</v>
      </c>
      <c r="AS220" s="3" t="s">
        <v>3520</v>
      </c>
      <c r="AT220" s="3" t="s">
        <v>3521</v>
      </c>
      <c r="AU220" s="3" t="s">
        <v>2508</v>
      </c>
      <c r="AV220" s="3" t="s">
        <v>3522</v>
      </c>
      <c r="AW220" s="3" t="s">
        <v>60</v>
      </c>
      <c r="AX220" s="3" t="s">
        <v>2511</v>
      </c>
      <c r="AY220" s="3" t="s">
        <v>60</v>
      </c>
      <c r="AZ220" s="5" t="s">
        <v>2512</v>
      </c>
      <c r="BA220" s="3" t="s">
        <v>87</v>
      </c>
      <c r="BB220" s="5" t="s">
        <v>3521</v>
      </c>
      <c r="BC220" s="5" t="s">
        <v>3523</v>
      </c>
      <c r="BD220" s="3" t="s">
        <v>60</v>
      </c>
      <c r="BE220" s="3" t="s">
        <v>88</v>
      </c>
      <c r="BF220" s="3" t="s">
        <v>88</v>
      </c>
    </row>
    <row r="221" spans="1:58" x14ac:dyDescent="0.2">
      <c r="A221" s="2" t="s">
        <v>3524</v>
      </c>
      <c r="B221" s="2" t="s">
        <v>3525</v>
      </c>
      <c r="C221" s="2" t="s">
        <v>60</v>
      </c>
      <c r="D221" s="2" t="s">
        <v>60</v>
      </c>
      <c r="E221" s="2" t="s">
        <v>60</v>
      </c>
      <c r="F221" s="2" t="s">
        <v>3526</v>
      </c>
      <c r="G221" s="2" t="s">
        <v>60</v>
      </c>
      <c r="H221" s="2" t="s">
        <v>60</v>
      </c>
      <c r="I221" s="2" t="s">
        <v>60</v>
      </c>
      <c r="J221" s="2" t="s">
        <v>3527</v>
      </c>
      <c r="K221" s="2" t="s">
        <v>3524</v>
      </c>
      <c r="L221" s="2" t="s">
        <v>3528</v>
      </c>
      <c r="M221" s="2" t="s">
        <v>115</v>
      </c>
      <c r="N221" s="2" t="s">
        <v>275</v>
      </c>
      <c r="O221" s="2" t="s">
        <v>2383</v>
      </c>
      <c r="P221" s="2" t="s">
        <v>3529</v>
      </c>
      <c r="Q221" s="2" t="s">
        <v>821</v>
      </c>
      <c r="R221" s="2" t="s">
        <v>3530</v>
      </c>
      <c r="S221" s="2" t="s">
        <v>372</v>
      </c>
      <c r="T221" s="16">
        <v>584.42999999999995</v>
      </c>
      <c r="U221" s="2" t="s">
        <v>97</v>
      </c>
      <c r="V221" s="2" t="s">
        <v>71</v>
      </c>
      <c r="W221" s="2" t="s">
        <v>373</v>
      </c>
      <c r="X221" s="8" t="str">
        <f>HYPERLINK("http://www.bindawoodholding.com", "www.bindawoodholding.com")</f>
        <v>www.bindawoodholding.com</v>
      </c>
      <c r="Y221" s="8" t="str">
        <f>HYPERLINK("http://www.linkedin.com/company/bindawoodholding", "http://www.linkedin.com/company/bindawoodholding")</f>
        <v>http://www.linkedin.com/company/bindawoodholding</v>
      </c>
      <c r="Z221" s="28">
        <v>10000</v>
      </c>
      <c r="AA221" s="2" t="s">
        <v>3531</v>
      </c>
      <c r="AB221" s="2" t="s">
        <v>74</v>
      </c>
      <c r="AC221" s="2" t="s">
        <v>3532</v>
      </c>
      <c r="AD221" s="40">
        <v>1984</v>
      </c>
      <c r="AE221" s="2" t="s">
        <v>60</v>
      </c>
      <c r="AF221" s="52">
        <v>1625.1</v>
      </c>
      <c r="AG221" s="52">
        <v>557.92999999999995</v>
      </c>
      <c r="AH221" s="52">
        <v>71.239999999999995</v>
      </c>
      <c r="AI221" s="52">
        <v>2393.81</v>
      </c>
      <c r="AJ221" s="52">
        <v>240.47</v>
      </c>
      <c r="AK221" s="52">
        <v>104.95</v>
      </c>
      <c r="AL221" s="52">
        <v>1491.79</v>
      </c>
      <c r="AM221" s="52">
        <v>660.79</v>
      </c>
      <c r="AN221" s="64">
        <v>7.02</v>
      </c>
      <c r="AO221" s="4" t="s">
        <v>179</v>
      </c>
      <c r="AP221" s="2" t="s">
        <v>3533</v>
      </c>
      <c r="AQ221" s="2" t="s">
        <v>3534</v>
      </c>
      <c r="AR221" s="2" t="s">
        <v>124</v>
      </c>
      <c r="AS221" s="2" t="s">
        <v>3535</v>
      </c>
      <c r="AT221" s="2" t="s">
        <v>3536</v>
      </c>
      <c r="AU221" s="2" t="s">
        <v>82</v>
      </c>
      <c r="AV221" s="2" t="s">
        <v>3537</v>
      </c>
      <c r="AW221" s="2" t="s">
        <v>3538</v>
      </c>
      <c r="AX221" s="2" t="s">
        <v>85</v>
      </c>
      <c r="AY221" s="2" t="s">
        <v>60</v>
      </c>
      <c r="AZ221" s="4" t="s">
        <v>3539</v>
      </c>
      <c r="BA221" s="2" t="s">
        <v>87</v>
      </c>
      <c r="BB221" s="4" t="s">
        <v>3536</v>
      </c>
      <c r="BC221" s="4" t="s">
        <v>60</v>
      </c>
      <c r="BD221" s="2" t="s">
        <v>3540</v>
      </c>
      <c r="BE221" s="2" t="s">
        <v>88</v>
      </c>
      <c r="BF221" s="2" t="s">
        <v>88</v>
      </c>
    </row>
    <row r="222" spans="1:58" x14ac:dyDescent="0.2">
      <c r="A222" s="3" t="s">
        <v>3541</v>
      </c>
      <c r="B222" s="3" t="s">
        <v>3542</v>
      </c>
      <c r="C222" s="3" t="s">
        <v>60</v>
      </c>
      <c r="D222" s="3" t="s">
        <v>60</v>
      </c>
      <c r="E222" s="3" t="s">
        <v>60</v>
      </c>
      <c r="F222" s="3" t="s">
        <v>3543</v>
      </c>
      <c r="G222" s="3" t="s">
        <v>3544</v>
      </c>
      <c r="H222" s="3" t="s">
        <v>60</v>
      </c>
      <c r="I222" s="3" t="s">
        <v>60</v>
      </c>
      <c r="J222" s="3" t="s">
        <v>3545</v>
      </c>
      <c r="K222" s="3" t="s">
        <v>3541</v>
      </c>
      <c r="L222" s="3" t="s">
        <v>3546</v>
      </c>
      <c r="M222" s="3" t="s">
        <v>134</v>
      </c>
      <c r="N222" s="3" t="s">
        <v>728</v>
      </c>
      <c r="O222" s="3" t="s">
        <v>729</v>
      </c>
      <c r="P222" s="3" t="s">
        <v>730</v>
      </c>
      <c r="Q222" s="3" t="s">
        <v>60</v>
      </c>
      <c r="R222" s="3" t="s">
        <v>3547</v>
      </c>
      <c r="S222" s="3" t="s">
        <v>96</v>
      </c>
      <c r="T222" s="17" t="s">
        <v>60</v>
      </c>
      <c r="U222" s="3" t="s">
        <v>97</v>
      </c>
      <c r="V222" s="3" t="s">
        <v>71</v>
      </c>
      <c r="W222" s="3" t="s">
        <v>373</v>
      </c>
      <c r="X222" s="9" t="str">
        <f>HYPERLINK("http://www.bsf.sa", "www.bsf.sa")</f>
        <v>www.bsf.sa</v>
      </c>
      <c r="Y222" s="9" t="str">
        <f>HYPERLINK("http://www.linkedin.com/company/bsf_sa", "http://www.linkedin.com/company/bsf_sa")</f>
        <v>http://www.linkedin.com/company/bsf_sa</v>
      </c>
      <c r="Z222" s="29">
        <v>3117</v>
      </c>
      <c r="AA222" s="3" t="s">
        <v>3548</v>
      </c>
      <c r="AB222" s="3" t="s">
        <v>74</v>
      </c>
      <c r="AC222" s="3" t="s">
        <v>3549</v>
      </c>
      <c r="AD222" s="41">
        <v>1977</v>
      </c>
      <c r="AE222" s="3" t="s">
        <v>60</v>
      </c>
      <c r="AF222" s="53">
        <v>2771.27</v>
      </c>
      <c r="AG222" s="53" t="s">
        <v>60</v>
      </c>
      <c r="AH222" s="53">
        <v>1387.33</v>
      </c>
      <c r="AI222" s="53" t="s">
        <v>60</v>
      </c>
      <c r="AJ222" s="53" t="s">
        <v>60</v>
      </c>
      <c r="AK222" s="53" t="s">
        <v>60</v>
      </c>
      <c r="AL222" s="53">
        <v>11944.73</v>
      </c>
      <c r="AM222" s="53">
        <v>60913.599999999999</v>
      </c>
      <c r="AN222" s="65">
        <v>12.33</v>
      </c>
      <c r="AO222" s="5" t="s">
        <v>179</v>
      </c>
      <c r="AP222" s="3" t="s">
        <v>3550</v>
      </c>
      <c r="AQ222" s="3" t="s">
        <v>3551</v>
      </c>
      <c r="AR222" s="3" t="s">
        <v>3552</v>
      </c>
      <c r="AS222" s="3" t="s">
        <v>3553</v>
      </c>
      <c r="AT222" s="3" t="s">
        <v>3554</v>
      </c>
      <c r="AU222" s="3" t="s">
        <v>106</v>
      </c>
      <c r="AV222" s="3" t="s">
        <v>3555</v>
      </c>
      <c r="AW222" s="3" t="s">
        <v>60</v>
      </c>
      <c r="AX222" s="3" t="s">
        <v>109</v>
      </c>
      <c r="AY222" s="3" t="s">
        <v>60</v>
      </c>
      <c r="AZ222" s="5" t="s">
        <v>3556</v>
      </c>
      <c r="BA222" s="3" t="s">
        <v>87</v>
      </c>
      <c r="BB222" s="5" t="s">
        <v>3554</v>
      </c>
      <c r="BC222" s="5" t="s">
        <v>3557</v>
      </c>
      <c r="BD222" s="3" t="s">
        <v>3558</v>
      </c>
      <c r="BE222" s="3" t="s">
        <v>88</v>
      </c>
      <c r="BF222" s="3" t="s">
        <v>88</v>
      </c>
    </row>
    <row r="223" spans="1:58" x14ac:dyDescent="0.2">
      <c r="A223" s="2" t="s">
        <v>3559</v>
      </c>
      <c r="B223" s="2" t="s">
        <v>3560</v>
      </c>
      <c r="C223" s="2" t="s">
        <v>60</v>
      </c>
      <c r="D223" s="2" t="s">
        <v>60</v>
      </c>
      <c r="E223" s="2" t="s">
        <v>3561</v>
      </c>
      <c r="F223" s="2" t="s">
        <v>60</v>
      </c>
      <c r="G223" s="2" t="s">
        <v>3562</v>
      </c>
      <c r="H223" s="2" t="s">
        <v>60</v>
      </c>
      <c r="I223" s="2" t="s">
        <v>60</v>
      </c>
      <c r="J223" s="2" t="s">
        <v>60</v>
      </c>
      <c r="K223" s="2" t="s">
        <v>3559</v>
      </c>
      <c r="L223" s="2" t="s">
        <v>3563</v>
      </c>
      <c r="M223" s="2" t="s">
        <v>241</v>
      </c>
      <c r="N223" s="2" t="s">
        <v>242</v>
      </c>
      <c r="O223" s="2" t="s">
        <v>243</v>
      </c>
      <c r="P223" s="2" t="s">
        <v>244</v>
      </c>
      <c r="Q223" s="2" t="s">
        <v>67</v>
      </c>
      <c r="R223" s="2" t="s">
        <v>3564</v>
      </c>
      <c r="S223" s="2" t="s">
        <v>96</v>
      </c>
      <c r="T223" s="16" t="s">
        <v>60</v>
      </c>
      <c r="U223" s="2" t="s">
        <v>97</v>
      </c>
      <c r="V223" s="2" t="s">
        <v>71</v>
      </c>
      <c r="W223" s="2" t="s">
        <v>98</v>
      </c>
      <c r="X223" s="8" t="str">
        <f>HYPERLINK("http://www.riyadhcement.com.sa", "www.riyadhcement.com.sa")</f>
        <v>www.riyadhcement.com.sa</v>
      </c>
      <c r="Y223" s="8" t="str">
        <f>HYPERLINK("http://www.linkedin.com/company/riyadhcement", "http://www.linkedin.com/company/riyadhcement")</f>
        <v>http://www.linkedin.com/company/riyadhcement</v>
      </c>
      <c r="Z223" s="28">
        <v>580</v>
      </c>
      <c r="AA223" s="2" t="s">
        <v>3565</v>
      </c>
      <c r="AB223" s="2" t="s">
        <v>74</v>
      </c>
      <c r="AC223" s="2" t="s">
        <v>3566</v>
      </c>
      <c r="AD223" s="40">
        <v>1997</v>
      </c>
      <c r="AE223" s="2" t="s">
        <v>60</v>
      </c>
      <c r="AF223" s="52">
        <v>212.65</v>
      </c>
      <c r="AG223" s="52">
        <v>72.709999999999994</v>
      </c>
      <c r="AH223" s="52">
        <v>61.03</v>
      </c>
      <c r="AI223" s="52">
        <v>878.27</v>
      </c>
      <c r="AJ223" s="52">
        <v>91.02</v>
      </c>
      <c r="AK223" s="52">
        <v>61.95</v>
      </c>
      <c r="AL223" s="52">
        <v>788.85</v>
      </c>
      <c r="AM223" s="52">
        <v>-3.41</v>
      </c>
      <c r="AN223" s="64">
        <v>9.86</v>
      </c>
      <c r="AO223" s="4" t="s">
        <v>179</v>
      </c>
      <c r="AP223" s="2" t="s">
        <v>3567</v>
      </c>
      <c r="AQ223" s="2" t="s">
        <v>3568</v>
      </c>
      <c r="AR223" s="2" t="s">
        <v>1874</v>
      </c>
      <c r="AS223" s="2" t="s">
        <v>60</v>
      </c>
      <c r="AT223" s="2" t="s">
        <v>3569</v>
      </c>
      <c r="AU223" s="2" t="s">
        <v>106</v>
      </c>
      <c r="AV223" s="2" t="s">
        <v>3570</v>
      </c>
      <c r="AW223" s="2" t="s">
        <v>60</v>
      </c>
      <c r="AX223" s="2" t="s">
        <v>109</v>
      </c>
      <c r="AY223" s="2" t="s">
        <v>60</v>
      </c>
      <c r="AZ223" s="4" t="s">
        <v>3571</v>
      </c>
      <c r="BA223" s="2" t="s">
        <v>87</v>
      </c>
      <c r="BB223" s="4" t="s">
        <v>3569</v>
      </c>
      <c r="BC223" s="4" t="s">
        <v>3572</v>
      </c>
      <c r="BD223" s="2" t="s">
        <v>3573</v>
      </c>
      <c r="BE223" s="2" t="s">
        <v>88</v>
      </c>
      <c r="BF223" s="2" t="s">
        <v>88</v>
      </c>
    </row>
    <row r="224" spans="1:58" x14ac:dyDescent="0.2">
      <c r="A224" s="3" t="s">
        <v>3574</v>
      </c>
      <c r="B224" s="3" t="s">
        <v>3575</v>
      </c>
      <c r="C224" s="3" t="s">
        <v>60</v>
      </c>
      <c r="D224" s="3" t="s">
        <v>60</v>
      </c>
      <c r="E224" s="3" t="s">
        <v>3576</v>
      </c>
      <c r="F224" s="3" t="s">
        <v>3577</v>
      </c>
      <c r="G224" s="3" t="s">
        <v>3578</v>
      </c>
      <c r="H224" s="3" t="s">
        <v>60</v>
      </c>
      <c r="I224" s="3" t="s">
        <v>60</v>
      </c>
      <c r="J224" s="3" t="s">
        <v>3579</v>
      </c>
      <c r="K224" s="3" t="s">
        <v>3574</v>
      </c>
      <c r="L224" s="3" t="s">
        <v>3580</v>
      </c>
      <c r="M224" s="3" t="s">
        <v>134</v>
      </c>
      <c r="N224" s="3" t="s">
        <v>728</v>
      </c>
      <c r="O224" s="3" t="s">
        <v>729</v>
      </c>
      <c r="P224" s="3" t="s">
        <v>730</v>
      </c>
      <c r="Q224" s="3" t="s">
        <v>60</v>
      </c>
      <c r="R224" s="3" t="s">
        <v>3581</v>
      </c>
      <c r="S224" s="3" t="s">
        <v>174</v>
      </c>
      <c r="T224" s="17" t="s">
        <v>60</v>
      </c>
      <c r="U224" s="3" t="s">
        <v>97</v>
      </c>
      <c r="V224" s="3" t="s">
        <v>71</v>
      </c>
      <c r="W224" s="3" t="s">
        <v>175</v>
      </c>
      <c r="X224" s="9" t="str">
        <f>HYPERLINK("http://www.sab.com", "www.sab.com")</f>
        <v>www.sab.com</v>
      </c>
      <c r="Y224" s="9" t="str">
        <f>HYPERLINK("http://www.linkedin.com/company/alawwalsab", "http://www.linkedin.com/company/alawwalsab")</f>
        <v>http://www.linkedin.com/company/alawwalsab</v>
      </c>
      <c r="Z224" s="29">
        <v>5465</v>
      </c>
      <c r="AA224" s="3" t="s">
        <v>3582</v>
      </c>
      <c r="AB224" s="3" t="s">
        <v>74</v>
      </c>
      <c r="AC224" s="3" t="s">
        <v>3583</v>
      </c>
      <c r="AD224" s="41">
        <v>1978</v>
      </c>
      <c r="AE224" s="3" t="s">
        <v>60</v>
      </c>
      <c r="AF224" s="53">
        <v>3909.28</v>
      </c>
      <c r="AG224" s="53" t="s">
        <v>60</v>
      </c>
      <c r="AH224" s="53">
        <v>2271.4899999999998</v>
      </c>
      <c r="AI224" s="53" t="s">
        <v>60</v>
      </c>
      <c r="AJ224" s="53" t="s">
        <v>60</v>
      </c>
      <c r="AK224" s="53" t="s">
        <v>60</v>
      </c>
      <c r="AL224" s="53">
        <v>19670.39</v>
      </c>
      <c r="AM224" s="53">
        <v>86444.59</v>
      </c>
      <c r="AN224" s="65">
        <v>6.21</v>
      </c>
      <c r="AO224" s="5" t="s">
        <v>179</v>
      </c>
      <c r="AP224" s="3" t="s">
        <v>3584</v>
      </c>
      <c r="AQ224" s="3" t="s">
        <v>3585</v>
      </c>
      <c r="AR224" s="3" t="s">
        <v>124</v>
      </c>
      <c r="AS224" s="3" t="s">
        <v>3586</v>
      </c>
      <c r="AT224" s="3" t="s">
        <v>60</v>
      </c>
      <c r="AU224" s="3" t="s">
        <v>106</v>
      </c>
      <c r="AV224" s="3" t="s">
        <v>3587</v>
      </c>
      <c r="AW224" s="3" t="s">
        <v>3588</v>
      </c>
      <c r="AX224" s="3" t="s">
        <v>109</v>
      </c>
      <c r="AY224" s="3" t="s">
        <v>60</v>
      </c>
      <c r="AZ224" s="5" t="s">
        <v>3589</v>
      </c>
      <c r="BA224" s="3" t="s">
        <v>87</v>
      </c>
      <c r="BB224" s="5" t="s">
        <v>60</v>
      </c>
      <c r="BC224" s="5" t="s">
        <v>3590</v>
      </c>
      <c r="BD224" s="3" t="s">
        <v>3591</v>
      </c>
      <c r="BE224" s="3" t="s">
        <v>88</v>
      </c>
      <c r="BF224" s="3" t="s">
        <v>88</v>
      </c>
    </row>
    <row r="225" spans="1:58" x14ac:dyDescent="0.2">
      <c r="A225" s="2" t="s">
        <v>3592</v>
      </c>
      <c r="B225" s="2" t="s">
        <v>3593</v>
      </c>
      <c r="C225" s="2" t="s">
        <v>60</v>
      </c>
      <c r="D225" s="2" t="s">
        <v>60</v>
      </c>
      <c r="E225" s="2" t="s">
        <v>60</v>
      </c>
      <c r="F225" s="2" t="s">
        <v>60</v>
      </c>
      <c r="G225" s="2" t="s">
        <v>3594</v>
      </c>
      <c r="H225" s="2" t="s">
        <v>60</v>
      </c>
      <c r="I225" s="2" t="s">
        <v>60</v>
      </c>
      <c r="J225" s="2" t="s">
        <v>60</v>
      </c>
      <c r="K225" s="2" t="s">
        <v>3592</v>
      </c>
      <c r="L225" s="2" t="s">
        <v>3595</v>
      </c>
      <c r="M225" s="2" t="s">
        <v>134</v>
      </c>
      <c r="N225" s="2" t="s">
        <v>728</v>
      </c>
      <c r="O225" s="2" t="s">
        <v>3596</v>
      </c>
      <c r="P225" s="2" t="s">
        <v>3597</v>
      </c>
      <c r="Q225" s="2" t="s">
        <v>60</v>
      </c>
      <c r="R225" s="2" t="s">
        <v>3598</v>
      </c>
      <c r="S225" s="2" t="s">
        <v>372</v>
      </c>
      <c r="T225" s="16" t="s">
        <v>60</v>
      </c>
      <c r="U225" s="2" t="s">
        <v>97</v>
      </c>
      <c r="V225" s="2" t="s">
        <v>71</v>
      </c>
      <c r="W225" s="2" t="s">
        <v>373</v>
      </c>
      <c r="X225" s="8" t="str">
        <f>HYPERLINK("http://www.amlakint.com", "www.amlakint.com")</f>
        <v>www.amlakint.com</v>
      </c>
      <c r="Y225" s="8" t="str">
        <f>HYPERLINK("http://www.linkedin.com/company/amlakint", "http://www.linkedin.com/company/amlakint")</f>
        <v>http://www.linkedin.com/company/amlakint</v>
      </c>
      <c r="Z225" s="28" t="s">
        <v>60</v>
      </c>
      <c r="AA225" s="2" t="s">
        <v>60</v>
      </c>
      <c r="AB225" s="2" t="s">
        <v>74</v>
      </c>
      <c r="AC225" s="2" t="s">
        <v>3599</v>
      </c>
      <c r="AD225" s="40">
        <v>2007</v>
      </c>
      <c r="AE225" s="2" t="s">
        <v>60</v>
      </c>
      <c r="AF225" s="52">
        <v>87.84</v>
      </c>
      <c r="AG225" s="52" t="s">
        <v>60</v>
      </c>
      <c r="AH225" s="52">
        <v>18.3</v>
      </c>
      <c r="AI225" s="52" t="s">
        <v>60</v>
      </c>
      <c r="AJ225" s="52" t="s">
        <v>60</v>
      </c>
      <c r="AK225" s="52" t="s">
        <v>60</v>
      </c>
      <c r="AL225" s="52">
        <v>305.42</v>
      </c>
      <c r="AM225" s="52">
        <v>804.26</v>
      </c>
      <c r="AN225" s="64">
        <v>44.9</v>
      </c>
      <c r="AO225" s="4" t="s">
        <v>179</v>
      </c>
      <c r="AP225" s="2" t="s">
        <v>3600</v>
      </c>
      <c r="AQ225" s="2" t="s">
        <v>3601</v>
      </c>
      <c r="AR225" s="2" t="s">
        <v>299</v>
      </c>
      <c r="AS225" s="2" t="s">
        <v>3602</v>
      </c>
      <c r="AT225" s="2" t="s">
        <v>3603</v>
      </c>
      <c r="AU225" s="2" t="s">
        <v>3604</v>
      </c>
      <c r="AV225" s="2" t="s">
        <v>3605</v>
      </c>
      <c r="AW225" s="2" t="s">
        <v>3606</v>
      </c>
      <c r="AX225" s="2" t="s">
        <v>3607</v>
      </c>
      <c r="AY225" s="2" t="s">
        <v>60</v>
      </c>
      <c r="AZ225" s="4" t="s">
        <v>60</v>
      </c>
      <c r="BA225" s="2" t="s">
        <v>87</v>
      </c>
      <c r="BB225" s="4" t="s">
        <v>3603</v>
      </c>
      <c r="BC225" s="4" t="s">
        <v>3608</v>
      </c>
      <c r="BD225" s="2" t="s">
        <v>3609</v>
      </c>
      <c r="BE225" s="2" t="s">
        <v>88</v>
      </c>
      <c r="BF225" s="2" t="s">
        <v>88</v>
      </c>
    </row>
    <row r="226" spans="1:58" x14ac:dyDescent="0.2">
      <c r="A226" s="3" t="s">
        <v>3610</v>
      </c>
      <c r="B226" s="3" t="s">
        <v>3611</v>
      </c>
      <c r="C226" s="3" t="s">
        <v>60</v>
      </c>
      <c r="D226" s="3" t="s">
        <v>60</v>
      </c>
      <c r="E226" s="3" t="s">
        <v>60</v>
      </c>
      <c r="F226" s="3" t="s">
        <v>60</v>
      </c>
      <c r="G226" s="3" t="s">
        <v>3612</v>
      </c>
      <c r="H226" s="3" t="s">
        <v>60</v>
      </c>
      <c r="I226" s="3" t="s">
        <v>60</v>
      </c>
      <c r="J226" s="3" t="s">
        <v>60</v>
      </c>
      <c r="K226" s="3" t="s">
        <v>3610</v>
      </c>
      <c r="L226" s="3" t="s">
        <v>3613</v>
      </c>
      <c r="M226" s="3" t="s">
        <v>134</v>
      </c>
      <c r="N226" s="3" t="s">
        <v>565</v>
      </c>
      <c r="O226" s="3" t="s">
        <v>3188</v>
      </c>
      <c r="P226" s="3" t="s">
        <v>3614</v>
      </c>
      <c r="Q226" s="3" t="s">
        <v>60</v>
      </c>
      <c r="R226" s="3" t="s">
        <v>3615</v>
      </c>
      <c r="S226" s="3" t="s">
        <v>174</v>
      </c>
      <c r="T226" s="17">
        <v>42.66</v>
      </c>
      <c r="U226" s="3" t="s">
        <v>70</v>
      </c>
      <c r="V226" s="3" t="s">
        <v>71</v>
      </c>
      <c r="W226" s="3" t="s">
        <v>175</v>
      </c>
      <c r="X226" s="9" t="str">
        <f>HYPERLINK("http://www.bupa.com.sa", "www.bupa.com.sa")</f>
        <v>www.bupa.com.sa</v>
      </c>
      <c r="Y226" s="9" t="str">
        <f>HYPERLINK("http://www.linkedin.com/company/bupaarabia", "http://www.linkedin.com/company/bupaarabia")</f>
        <v>http://www.linkedin.com/company/bupaarabia</v>
      </c>
      <c r="Z226" s="29">
        <v>300</v>
      </c>
      <c r="AA226" s="3" t="s">
        <v>3616</v>
      </c>
      <c r="AB226" s="3" t="s">
        <v>74</v>
      </c>
      <c r="AC226" s="3" t="s">
        <v>3617</v>
      </c>
      <c r="AD226" s="41">
        <v>1997</v>
      </c>
      <c r="AE226" s="3" t="s">
        <v>60</v>
      </c>
      <c r="AF226" s="53">
        <v>5152.8500000000004</v>
      </c>
      <c r="AG226" s="53" t="s">
        <v>60</v>
      </c>
      <c r="AH226" s="53">
        <v>286.52999999999997</v>
      </c>
      <c r="AI226" s="53">
        <v>6200.85</v>
      </c>
      <c r="AJ226" s="53">
        <v>350.73</v>
      </c>
      <c r="AK226" s="53">
        <v>332.3</v>
      </c>
      <c r="AL226" s="53">
        <v>6612.35</v>
      </c>
      <c r="AM226" s="53">
        <v>-118.99</v>
      </c>
      <c r="AN226" s="65">
        <v>5.47</v>
      </c>
      <c r="AO226" s="5" t="s">
        <v>179</v>
      </c>
      <c r="AP226" s="3" t="s">
        <v>3618</v>
      </c>
      <c r="AQ226" s="3" t="s">
        <v>3619</v>
      </c>
      <c r="AR226" s="3" t="s">
        <v>299</v>
      </c>
      <c r="AS226" s="3" t="s">
        <v>3620</v>
      </c>
      <c r="AT226" s="3" t="s">
        <v>60</v>
      </c>
      <c r="AU226" s="3" t="s">
        <v>82</v>
      </c>
      <c r="AV226" s="3" t="s">
        <v>3621</v>
      </c>
      <c r="AW226" s="3" t="s">
        <v>3622</v>
      </c>
      <c r="AX226" s="3" t="s">
        <v>85</v>
      </c>
      <c r="AY226" s="3" t="s">
        <v>60</v>
      </c>
      <c r="AZ226" s="5" t="s">
        <v>3623</v>
      </c>
      <c r="BA226" s="3" t="s">
        <v>87</v>
      </c>
      <c r="BB226" s="5" t="s">
        <v>60</v>
      </c>
      <c r="BC226" s="5" t="s">
        <v>60</v>
      </c>
      <c r="BD226" s="3" t="s">
        <v>60</v>
      </c>
      <c r="BE226" s="3" t="s">
        <v>88</v>
      </c>
      <c r="BF226" s="3" t="s">
        <v>88</v>
      </c>
    </row>
    <row r="227" spans="1:58" x14ac:dyDescent="0.2">
      <c r="A227" s="2" t="s">
        <v>3624</v>
      </c>
      <c r="B227" s="2" t="s">
        <v>3625</v>
      </c>
      <c r="C227" s="2" t="s">
        <v>60</v>
      </c>
      <c r="D227" s="2" t="s">
        <v>60</v>
      </c>
      <c r="E227" s="2" t="s">
        <v>60</v>
      </c>
      <c r="F227" s="2" t="s">
        <v>3626</v>
      </c>
      <c r="G227" s="2" t="s">
        <v>3627</v>
      </c>
      <c r="H227" s="2" t="s">
        <v>60</v>
      </c>
      <c r="I227" s="2" t="s">
        <v>60</v>
      </c>
      <c r="J227" s="2" t="s">
        <v>3628</v>
      </c>
      <c r="K227" s="2" t="s">
        <v>3624</v>
      </c>
      <c r="L227" s="2" t="s">
        <v>3629</v>
      </c>
      <c r="M227" s="2" t="s">
        <v>241</v>
      </c>
      <c r="N227" s="2" t="s">
        <v>839</v>
      </c>
      <c r="O227" s="2" t="s">
        <v>2131</v>
      </c>
      <c r="P227" s="2" t="s">
        <v>3630</v>
      </c>
      <c r="Q227" s="2" t="s">
        <v>67</v>
      </c>
      <c r="R227" s="2" t="s">
        <v>3631</v>
      </c>
      <c r="S227" s="2" t="s">
        <v>372</v>
      </c>
      <c r="T227" s="16">
        <v>9087.99</v>
      </c>
      <c r="U227" s="2" t="s">
        <v>70</v>
      </c>
      <c r="V227" s="2" t="s">
        <v>71</v>
      </c>
      <c r="W227" s="2" t="s">
        <v>423</v>
      </c>
      <c r="X227" s="8" t="str">
        <f>HYPERLINK("http://www.sabic.com", "www.sabic.com")</f>
        <v>www.sabic.com</v>
      </c>
      <c r="Y227" s="8" t="str">
        <f>HYPERLINK("http://www.linkedin.com/company/sabic", "http://www.linkedin.com/company/sabic")</f>
        <v>http://www.linkedin.com/company/sabic</v>
      </c>
      <c r="Z227" s="28">
        <v>31000</v>
      </c>
      <c r="AA227" s="2" t="s">
        <v>3632</v>
      </c>
      <c r="AB227" s="2" t="s">
        <v>74</v>
      </c>
      <c r="AC227" s="2" t="s">
        <v>3633</v>
      </c>
      <c r="AD227" s="40">
        <v>1976</v>
      </c>
      <c r="AE227" s="2" t="s">
        <v>2414</v>
      </c>
      <c r="AF227" s="52">
        <v>37058.550000000003</v>
      </c>
      <c r="AG227" s="52">
        <v>5564.16</v>
      </c>
      <c r="AH227" s="52">
        <v>-1793.52</v>
      </c>
      <c r="AI227" s="52">
        <v>55758.37</v>
      </c>
      <c r="AJ227" s="52">
        <v>3688.5</v>
      </c>
      <c r="AK227" s="52">
        <v>-629.91</v>
      </c>
      <c r="AL227" s="52">
        <v>44628.35</v>
      </c>
      <c r="AM227" s="52">
        <v>-163.28</v>
      </c>
      <c r="AN227" s="64">
        <v>-0.8</v>
      </c>
      <c r="AO227" s="4" t="s">
        <v>179</v>
      </c>
      <c r="AP227" s="2" t="s">
        <v>3634</v>
      </c>
      <c r="AQ227" s="2" t="s">
        <v>3635</v>
      </c>
      <c r="AR227" s="2" t="s">
        <v>266</v>
      </c>
      <c r="AS227" s="2" t="s">
        <v>3636</v>
      </c>
      <c r="AT227" s="2" t="s">
        <v>3637</v>
      </c>
      <c r="AU227" s="2" t="s">
        <v>106</v>
      </c>
      <c r="AV227" s="2" t="s">
        <v>3638</v>
      </c>
      <c r="AW227" s="2" t="s">
        <v>60</v>
      </c>
      <c r="AX227" s="2" t="s">
        <v>109</v>
      </c>
      <c r="AY227" s="2" t="s">
        <v>60</v>
      </c>
      <c r="AZ227" s="4" t="s">
        <v>3639</v>
      </c>
      <c r="BA227" s="2" t="s">
        <v>87</v>
      </c>
      <c r="BB227" s="4" t="s">
        <v>3637</v>
      </c>
      <c r="BC227" s="4" t="s">
        <v>3640</v>
      </c>
      <c r="BD227" s="2" t="s">
        <v>3641</v>
      </c>
      <c r="BE227" s="2" t="s">
        <v>88</v>
      </c>
      <c r="BF227" s="2" t="s">
        <v>88</v>
      </c>
    </row>
    <row r="228" spans="1:58" x14ac:dyDescent="0.2">
      <c r="A228" s="3" t="s">
        <v>3642</v>
      </c>
      <c r="B228" s="3" t="s">
        <v>3643</v>
      </c>
      <c r="C228" s="3" t="s">
        <v>60</v>
      </c>
      <c r="D228" s="3" t="s">
        <v>60</v>
      </c>
      <c r="E228" s="3" t="s">
        <v>60</v>
      </c>
      <c r="F228" s="3" t="s">
        <v>60</v>
      </c>
      <c r="G228" s="3" t="s">
        <v>3644</v>
      </c>
      <c r="H228" s="3" t="s">
        <v>60</v>
      </c>
      <c r="I228" s="3" t="s">
        <v>60</v>
      </c>
      <c r="J228" s="3" t="s">
        <v>60</v>
      </c>
      <c r="K228" s="3" t="s">
        <v>3642</v>
      </c>
      <c r="L228" s="3" t="s">
        <v>3645</v>
      </c>
      <c r="M228" s="3" t="s">
        <v>115</v>
      </c>
      <c r="N228" s="3" t="s">
        <v>116</v>
      </c>
      <c r="O228" s="3" t="s">
        <v>117</v>
      </c>
      <c r="P228" s="3" t="s">
        <v>3646</v>
      </c>
      <c r="Q228" s="3" t="s">
        <v>60</v>
      </c>
      <c r="R228" s="3" t="s">
        <v>3647</v>
      </c>
      <c r="S228" s="3" t="s">
        <v>96</v>
      </c>
      <c r="T228" s="17">
        <v>47.85</v>
      </c>
      <c r="U228" s="3" t="s">
        <v>97</v>
      </c>
      <c r="V228" s="3" t="s">
        <v>71</v>
      </c>
      <c r="W228" s="3" t="s">
        <v>98</v>
      </c>
      <c r="X228" s="9" t="str">
        <f>HYPERLINK("http://www.sumou.com.sa", "www.sumou.com.sa")</f>
        <v>www.sumou.com.sa</v>
      </c>
      <c r="Y228" s="9" t="str">
        <f>HYPERLINK("http://www.linkedin.com/company/sumou-real-estate-development-company", "http://www.linkedin.com/company/sumou-real-estate-development-company")</f>
        <v>http://www.linkedin.com/company/sumou-real-estate-development-company</v>
      </c>
      <c r="Z228" s="29">
        <v>61</v>
      </c>
      <c r="AA228" s="3" t="s">
        <v>3648</v>
      </c>
      <c r="AB228" s="3" t="s">
        <v>74</v>
      </c>
      <c r="AC228" s="3" t="s">
        <v>3649</v>
      </c>
      <c r="AD228" s="41">
        <v>2007</v>
      </c>
      <c r="AE228" s="3" t="s">
        <v>60</v>
      </c>
      <c r="AF228" s="53">
        <v>124.1</v>
      </c>
      <c r="AG228" s="53">
        <v>36.71</v>
      </c>
      <c r="AH228" s="53">
        <v>35.119999999999997</v>
      </c>
      <c r="AI228" s="53">
        <v>538.78</v>
      </c>
      <c r="AJ228" s="53">
        <v>38.78</v>
      </c>
      <c r="AK228" s="53">
        <v>38.07</v>
      </c>
      <c r="AL228" s="53">
        <v>426.97</v>
      </c>
      <c r="AM228" s="53">
        <v>-4.9400000000000004</v>
      </c>
      <c r="AN228" s="65">
        <v>17.36</v>
      </c>
      <c r="AO228" s="5" t="s">
        <v>179</v>
      </c>
      <c r="AP228" s="3" t="s">
        <v>3650</v>
      </c>
      <c r="AQ228" s="3" t="s">
        <v>3651</v>
      </c>
      <c r="AR228" s="3" t="s">
        <v>79</v>
      </c>
      <c r="AS228" s="3" t="s">
        <v>3652</v>
      </c>
      <c r="AT228" s="3" t="s">
        <v>3653</v>
      </c>
      <c r="AU228" s="3" t="s">
        <v>3654</v>
      </c>
      <c r="AV228" s="3" t="s">
        <v>3655</v>
      </c>
      <c r="AW228" s="3" t="s">
        <v>3656</v>
      </c>
      <c r="AX228" s="3" t="s">
        <v>3657</v>
      </c>
      <c r="AY228" s="3" t="s">
        <v>60</v>
      </c>
      <c r="AZ228" s="5" t="s">
        <v>917</v>
      </c>
      <c r="BA228" s="3" t="s">
        <v>87</v>
      </c>
      <c r="BB228" s="5" t="s">
        <v>3653</v>
      </c>
      <c r="BC228" s="5" t="s">
        <v>3658</v>
      </c>
      <c r="BD228" s="3" t="s">
        <v>3659</v>
      </c>
      <c r="BE228" s="3" t="s">
        <v>88</v>
      </c>
      <c r="BF228" s="3" t="s">
        <v>88</v>
      </c>
    </row>
    <row r="229" spans="1:58" x14ac:dyDescent="0.2">
      <c r="A229" s="2" t="s">
        <v>3660</v>
      </c>
      <c r="B229" s="2" t="s">
        <v>3661</v>
      </c>
      <c r="C229" s="2" t="s">
        <v>60</v>
      </c>
      <c r="D229" s="2" t="s">
        <v>60</v>
      </c>
      <c r="E229" s="2" t="s">
        <v>60</v>
      </c>
      <c r="F229" s="2" t="s">
        <v>60</v>
      </c>
      <c r="G229" s="2" t="s">
        <v>3662</v>
      </c>
      <c r="H229" s="2" t="s">
        <v>60</v>
      </c>
      <c r="I229" s="2" t="s">
        <v>60</v>
      </c>
      <c r="J229" s="2" t="s">
        <v>3663</v>
      </c>
      <c r="K229" s="2" t="s">
        <v>3660</v>
      </c>
      <c r="L229" s="2" t="s">
        <v>3664</v>
      </c>
      <c r="M229" s="2" t="s">
        <v>328</v>
      </c>
      <c r="N229" s="2" t="s">
        <v>401</v>
      </c>
      <c r="O229" s="2" t="s">
        <v>402</v>
      </c>
      <c r="P229" s="2" t="s">
        <v>1429</v>
      </c>
      <c r="Q229" s="2" t="s">
        <v>60</v>
      </c>
      <c r="R229" s="2" t="s">
        <v>3665</v>
      </c>
      <c r="S229" s="2" t="s">
        <v>96</v>
      </c>
      <c r="T229" s="16">
        <v>698.76</v>
      </c>
      <c r="U229" s="2" t="s">
        <v>97</v>
      </c>
      <c r="V229" s="2" t="s">
        <v>71</v>
      </c>
      <c r="W229" s="2" t="s">
        <v>98</v>
      </c>
      <c r="X229" s="8" t="str">
        <f>HYPERLINK("http://www.hmg.com", "www.hmg.com")</f>
        <v>www.hmg.com</v>
      </c>
      <c r="Y229" s="8" t="str">
        <f>HYPERLINK("http://www.linkedin.com/company/drsulaiman-alhabib-medical-group", "http://www.linkedin.com/company/drsulaiman-alhabib-medical-group")</f>
        <v>http://www.linkedin.com/company/drsulaiman-alhabib-medical-group</v>
      </c>
      <c r="Z229" s="28">
        <v>10475</v>
      </c>
      <c r="AA229" s="2" t="s">
        <v>3666</v>
      </c>
      <c r="AB229" s="2" t="s">
        <v>74</v>
      </c>
      <c r="AC229" s="2" t="s">
        <v>3667</v>
      </c>
      <c r="AD229" s="40">
        <v>1995</v>
      </c>
      <c r="AE229" s="2" t="s">
        <v>60</v>
      </c>
      <c r="AF229" s="52">
        <v>3496.98</v>
      </c>
      <c r="AG229" s="52">
        <v>1102.54</v>
      </c>
      <c r="AH229" s="52">
        <v>629.42999999999995</v>
      </c>
      <c r="AI229" s="52">
        <v>27125.7</v>
      </c>
      <c r="AJ229" s="52">
        <v>895.31</v>
      </c>
      <c r="AK229" s="52">
        <v>730.26</v>
      </c>
      <c r="AL229" s="52">
        <v>24126.74</v>
      </c>
      <c r="AM229" s="52">
        <v>1858.47</v>
      </c>
      <c r="AN229" s="64">
        <v>24.4</v>
      </c>
      <c r="AO229" s="4" t="s">
        <v>179</v>
      </c>
      <c r="AP229" s="2" t="s">
        <v>3668</v>
      </c>
      <c r="AQ229" s="2" t="s">
        <v>3669</v>
      </c>
      <c r="AR229" s="2" t="s">
        <v>3670</v>
      </c>
      <c r="AS229" s="2" t="s">
        <v>3671</v>
      </c>
      <c r="AT229" s="2" t="s">
        <v>60</v>
      </c>
      <c r="AU229" s="2" t="s">
        <v>106</v>
      </c>
      <c r="AV229" s="2" t="s">
        <v>3672</v>
      </c>
      <c r="AW229" s="2" t="s">
        <v>60</v>
      </c>
      <c r="AX229" s="2" t="s">
        <v>109</v>
      </c>
      <c r="AY229" s="2" t="s">
        <v>60</v>
      </c>
      <c r="AZ229" s="4" t="s">
        <v>3673</v>
      </c>
      <c r="BA229" s="2" t="s">
        <v>87</v>
      </c>
      <c r="BB229" s="4" t="s">
        <v>60</v>
      </c>
      <c r="BC229" s="4" t="s">
        <v>60</v>
      </c>
      <c r="BD229" s="2" t="s">
        <v>60</v>
      </c>
      <c r="BE229" s="2" t="s">
        <v>88</v>
      </c>
      <c r="BF229" s="2" t="s">
        <v>88</v>
      </c>
    </row>
    <row r="230" spans="1:58" x14ac:dyDescent="0.2">
      <c r="A230" s="3" t="s">
        <v>3674</v>
      </c>
      <c r="B230" s="3" t="s">
        <v>3675</v>
      </c>
      <c r="C230" s="3" t="s">
        <v>60</v>
      </c>
      <c r="D230" s="3" t="s">
        <v>60</v>
      </c>
      <c r="E230" s="3" t="s">
        <v>3676</v>
      </c>
      <c r="F230" s="3" t="s">
        <v>3677</v>
      </c>
      <c r="G230" s="3" t="s">
        <v>3678</v>
      </c>
      <c r="H230" s="3" t="s">
        <v>60</v>
      </c>
      <c r="I230" s="3" t="s">
        <v>60</v>
      </c>
      <c r="J230" s="3" t="s">
        <v>60</v>
      </c>
      <c r="K230" s="3" t="s">
        <v>3674</v>
      </c>
      <c r="L230" s="3" t="s">
        <v>3679</v>
      </c>
      <c r="M230" s="3" t="s">
        <v>134</v>
      </c>
      <c r="N230" s="3" t="s">
        <v>565</v>
      </c>
      <c r="O230" s="3" t="s">
        <v>1239</v>
      </c>
      <c r="P230" s="3" t="s">
        <v>3680</v>
      </c>
      <c r="Q230" s="3" t="s">
        <v>60</v>
      </c>
      <c r="R230" s="3" t="s">
        <v>3681</v>
      </c>
      <c r="S230" s="3" t="s">
        <v>96</v>
      </c>
      <c r="T230" s="17" t="s">
        <v>60</v>
      </c>
      <c r="U230" s="3" t="s">
        <v>97</v>
      </c>
      <c r="V230" s="3" t="s">
        <v>71</v>
      </c>
      <c r="W230" s="3" t="s">
        <v>98</v>
      </c>
      <c r="X230" s="9" t="str">
        <f>HYPERLINK("http://www.salama.com.sa", "www.salama.com.sa")</f>
        <v>www.salama.com.sa</v>
      </c>
      <c r="Y230" s="9" t="str">
        <f>HYPERLINK("http://www.linkedin.com/company/saudi-iaic-cooperative-insurance-co.-salama", "http://www.linkedin.com/company/saudi-iaic-cooperative-insurance-co.-salama")</f>
        <v>http://www.linkedin.com/company/saudi-iaic-cooperative-insurance-co.-salama</v>
      </c>
      <c r="Z230" s="29">
        <v>268</v>
      </c>
      <c r="AA230" s="3" t="s">
        <v>3682</v>
      </c>
      <c r="AB230" s="3" t="s">
        <v>74</v>
      </c>
      <c r="AC230" s="3" t="s">
        <v>3683</v>
      </c>
      <c r="AD230" s="41">
        <v>1979</v>
      </c>
      <c r="AE230" s="3" t="s">
        <v>60</v>
      </c>
      <c r="AF230" s="53">
        <v>133.85</v>
      </c>
      <c r="AG230" s="53" t="s">
        <v>60</v>
      </c>
      <c r="AH230" s="53">
        <v>-12.2</v>
      </c>
      <c r="AI230" s="53">
        <v>47.29</v>
      </c>
      <c r="AJ230" s="53">
        <v>-11.31</v>
      </c>
      <c r="AK230" s="53">
        <v>-13.06</v>
      </c>
      <c r="AL230" s="53">
        <v>75.75</v>
      </c>
      <c r="AM230" s="53">
        <v>-57.24</v>
      </c>
      <c r="AN230" s="65">
        <v>-25.67</v>
      </c>
      <c r="AO230" s="5" t="s">
        <v>179</v>
      </c>
      <c r="AP230" s="3" t="s">
        <v>3684</v>
      </c>
      <c r="AQ230" s="3" t="s">
        <v>3685</v>
      </c>
      <c r="AR230" s="3" t="s">
        <v>79</v>
      </c>
      <c r="AS230" s="3" t="s">
        <v>3686</v>
      </c>
      <c r="AT230" s="3" t="s">
        <v>3687</v>
      </c>
      <c r="AU230" s="3" t="s">
        <v>82</v>
      </c>
      <c r="AV230" s="3" t="s">
        <v>3688</v>
      </c>
      <c r="AW230" s="3" t="s">
        <v>3689</v>
      </c>
      <c r="AX230" s="3" t="s">
        <v>85</v>
      </c>
      <c r="AY230" s="3" t="s">
        <v>60</v>
      </c>
      <c r="AZ230" s="5" t="s">
        <v>60</v>
      </c>
      <c r="BA230" s="3" t="s">
        <v>87</v>
      </c>
      <c r="BB230" s="5" t="s">
        <v>3687</v>
      </c>
      <c r="BC230" s="5" t="s">
        <v>60</v>
      </c>
      <c r="BD230" s="3" t="s">
        <v>3690</v>
      </c>
      <c r="BE230" s="3" t="s">
        <v>88</v>
      </c>
      <c r="BF230" s="3" t="s">
        <v>88</v>
      </c>
    </row>
    <row r="231" spans="1:58" x14ac:dyDescent="0.2">
      <c r="A231" s="2" t="s">
        <v>3691</v>
      </c>
      <c r="B231" s="2" t="s">
        <v>3692</v>
      </c>
      <c r="C231" s="2" t="s">
        <v>60</v>
      </c>
      <c r="D231" s="2" t="s">
        <v>60</v>
      </c>
      <c r="E231" s="2" t="s">
        <v>60</v>
      </c>
      <c r="F231" s="2" t="s">
        <v>60</v>
      </c>
      <c r="G231" s="2" t="s">
        <v>3693</v>
      </c>
      <c r="H231" s="2" t="s">
        <v>60</v>
      </c>
      <c r="I231" s="2" t="s">
        <v>60</v>
      </c>
      <c r="J231" s="2" t="s">
        <v>3694</v>
      </c>
      <c r="K231" s="2" t="s">
        <v>3691</v>
      </c>
      <c r="L231" s="2" t="s">
        <v>3695</v>
      </c>
      <c r="M231" s="2" t="s">
        <v>134</v>
      </c>
      <c r="N231" s="2" t="s">
        <v>728</v>
      </c>
      <c r="O231" s="2" t="s">
        <v>729</v>
      </c>
      <c r="P231" s="2" t="s">
        <v>730</v>
      </c>
      <c r="Q231" s="2" t="s">
        <v>60</v>
      </c>
      <c r="R231" s="2" t="s">
        <v>3696</v>
      </c>
      <c r="S231" s="2" t="s">
        <v>96</v>
      </c>
      <c r="T231" s="16">
        <v>3499.76</v>
      </c>
      <c r="U231" s="2" t="s">
        <v>97</v>
      </c>
      <c r="V231" s="2" t="s">
        <v>71</v>
      </c>
      <c r="W231" s="2" t="s">
        <v>175</v>
      </c>
      <c r="X231" s="8" t="str">
        <f>HYPERLINK("http://www.riyadbank.com", "www.riyadbank.com")</f>
        <v>www.riyadbank.com</v>
      </c>
      <c r="Y231" s="8" t="str">
        <f>HYPERLINK("http://www.linkedin.com/company/riyad-bank", "http://www.linkedin.com/company/riyad-bank")</f>
        <v>http://www.linkedin.com/company/riyad-bank</v>
      </c>
      <c r="Z231" s="28">
        <v>7588</v>
      </c>
      <c r="AA231" s="2" t="s">
        <v>3697</v>
      </c>
      <c r="AB231" s="2" t="s">
        <v>74</v>
      </c>
      <c r="AC231" s="2" t="s">
        <v>3698</v>
      </c>
      <c r="AD231" s="40">
        <v>1957</v>
      </c>
      <c r="AE231" s="2" t="s">
        <v>60</v>
      </c>
      <c r="AF231" s="52">
        <v>4804.2299999999996</v>
      </c>
      <c r="AG231" s="52" t="s">
        <v>60</v>
      </c>
      <c r="AH231" s="52">
        <v>2669.78</v>
      </c>
      <c r="AI231" s="52" t="s">
        <v>60</v>
      </c>
      <c r="AJ231" s="52" t="s">
        <v>60</v>
      </c>
      <c r="AK231" s="52" t="s">
        <v>60</v>
      </c>
      <c r="AL231" s="52">
        <v>23267.599999999999</v>
      </c>
      <c r="AM231" s="52">
        <v>98437.24</v>
      </c>
      <c r="AN231" s="64">
        <v>7.63</v>
      </c>
      <c r="AO231" s="4" t="s">
        <v>179</v>
      </c>
      <c r="AP231" s="2" t="s">
        <v>3699</v>
      </c>
      <c r="AQ231" s="2" t="s">
        <v>3700</v>
      </c>
      <c r="AR231" s="2" t="s">
        <v>3701</v>
      </c>
      <c r="AS231" s="2" t="s">
        <v>3702</v>
      </c>
      <c r="AT231" s="2" t="s">
        <v>3703</v>
      </c>
      <c r="AU231" s="2" t="s">
        <v>106</v>
      </c>
      <c r="AV231" s="2" t="s">
        <v>3704</v>
      </c>
      <c r="AW231" s="2" t="s">
        <v>60</v>
      </c>
      <c r="AX231" s="2" t="s">
        <v>109</v>
      </c>
      <c r="AY231" s="2" t="s">
        <v>60</v>
      </c>
      <c r="AZ231" s="4" t="s">
        <v>1573</v>
      </c>
      <c r="BA231" s="2" t="s">
        <v>87</v>
      </c>
      <c r="BB231" s="4" t="s">
        <v>3703</v>
      </c>
      <c r="BC231" s="4" t="s">
        <v>60</v>
      </c>
      <c r="BD231" s="2" t="s">
        <v>60</v>
      </c>
      <c r="BE231" s="2" t="s">
        <v>88</v>
      </c>
      <c r="BF231" s="2" t="s">
        <v>88</v>
      </c>
    </row>
    <row r="232" spans="1:58" x14ac:dyDescent="0.2">
      <c r="A232" s="3" t="s">
        <v>3705</v>
      </c>
      <c r="B232" s="3" t="s">
        <v>3706</v>
      </c>
      <c r="C232" s="3" t="s">
        <v>60</v>
      </c>
      <c r="D232" s="3" t="s">
        <v>60</v>
      </c>
      <c r="E232" s="3" t="s">
        <v>3707</v>
      </c>
      <c r="F232" s="3" t="s">
        <v>60</v>
      </c>
      <c r="G232" s="3" t="s">
        <v>3708</v>
      </c>
      <c r="H232" s="3" t="s">
        <v>60</v>
      </c>
      <c r="I232" s="3" t="s">
        <v>60</v>
      </c>
      <c r="J232" s="3" t="s">
        <v>60</v>
      </c>
      <c r="K232" s="3" t="s">
        <v>3705</v>
      </c>
      <c r="L232" s="3" t="s">
        <v>3709</v>
      </c>
      <c r="M232" s="3" t="s">
        <v>63</v>
      </c>
      <c r="N232" s="3" t="s">
        <v>92</v>
      </c>
      <c r="O232" s="3" t="s">
        <v>545</v>
      </c>
      <c r="P232" s="3" t="s">
        <v>546</v>
      </c>
      <c r="Q232" s="3" t="s">
        <v>60</v>
      </c>
      <c r="R232" s="3" t="s">
        <v>3710</v>
      </c>
      <c r="S232" s="3" t="s">
        <v>372</v>
      </c>
      <c r="T232" s="17">
        <v>92.68</v>
      </c>
      <c r="U232" s="3" t="s">
        <v>97</v>
      </c>
      <c r="V232" s="3" t="s">
        <v>71</v>
      </c>
      <c r="W232" s="3" t="s">
        <v>3711</v>
      </c>
      <c r="X232" s="9" t="str">
        <f>HYPERLINK("http://www.ataa.sa", "www.ataa.sa")</f>
        <v>www.ataa.sa</v>
      </c>
      <c r="Y232" s="9" t="str">
        <f>HYPERLINK("http://www.linkedin.com/company/ataaeducational", "http://www.linkedin.com/company/ataaeducational")</f>
        <v>http://www.linkedin.com/company/ataaeducational</v>
      </c>
      <c r="Z232" s="29">
        <v>3488</v>
      </c>
      <c r="AA232" s="3" t="s">
        <v>3712</v>
      </c>
      <c r="AB232" s="3" t="s">
        <v>74</v>
      </c>
      <c r="AC232" s="3" t="s">
        <v>3713</v>
      </c>
      <c r="AD232" s="41">
        <v>1992</v>
      </c>
      <c r="AE232" s="3" t="s">
        <v>60</v>
      </c>
      <c r="AF232" s="53">
        <v>170.61</v>
      </c>
      <c r="AG232" s="53">
        <v>51.82</v>
      </c>
      <c r="AH232" s="53">
        <v>22.69</v>
      </c>
      <c r="AI232" s="53">
        <v>1046.46</v>
      </c>
      <c r="AJ232" s="53">
        <v>62.33</v>
      </c>
      <c r="AK232" s="53">
        <v>39.840000000000003</v>
      </c>
      <c r="AL232" s="53">
        <v>600.30999999999995</v>
      </c>
      <c r="AM232" s="53">
        <v>243.87</v>
      </c>
      <c r="AN232" s="65">
        <v>0.47</v>
      </c>
      <c r="AO232" s="5" t="s">
        <v>3714</v>
      </c>
      <c r="AP232" s="3" t="s">
        <v>3715</v>
      </c>
      <c r="AQ232" s="3" t="s">
        <v>3716</v>
      </c>
      <c r="AR232" s="3" t="s">
        <v>266</v>
      </c>
      <c r="AS232" s="3" t="s">
        <v>3717</v>
      </c>
      <c r="AT232" s="3" t="s">
        <v>3718</v>
      </c>
      <c r="AU232" s="3" t="s">
        <v>106</v>
      </c>
      <c r="AV232" s="3" t="s">
        <v>3657</v>
      </c>
      <c r="AW232" s="3" t="s">
        <v>3719</v>
      </c>
      <c r="AX232" s="3" t="s">
        <v>109</v>
      </c>
      <c r="AY232" s="3" t="s">
        <v>60</v>
      </c>
      <c r="AZ232" s="5" t="s">
        <v>60</v>
      </c>
      <c r="BA232" s="3" t="s">
        <v>87</v>
      </c>
      <c r="BB232" s="5" t="s">
        <v>3720</v>
      </c>
      <c r="BC232" s="5" t="s">
        <v>60</v>
      </c>
      <c r="BD232" s="3" t="s">
        <v>3721</v>
      </c>
      <c r="BE232" s="3" t="s">
        <v>88</v>
      </c>
      <c r="BF232" s="3" t="s">
        <v>88</v>
      </c>
    </row>
    <row r="233" spans="1:58" x14ac:dyDescent="0.2">
      <c r="A233" s="2" t="s">
        <v>3722</v>
      </c>
      <c r="B233" s="2" t="s">
        <v>3723</v>
      </c>
      <c r="C233" s="2" t="s">
        <v>60</v>
      </c>
      <c r="D233" s="2" t="s">
        <v>60</v>
      </c>
      <c r="E233" s="2" t="s">
        <v>60</v>
      </c>
      <c r="F233" s="2" t="s">
        <v>60</v>
      </c>
      <c r="G233" s="2" t="s">
        <v>3724</v>
      </c>
      <c r="H233" s="2" t="s">
        <v>60</v>
      </c>
      <c r="I233" s="2" t="s">
        <v>60</v>
      </c>
      <c r="J233" s="2" t="s">
        <v>60</v>
      </c>
      <c r="K233" s="2" t="s">
        <v>3722</v>
      </c>
      <c r="L233" s="2" t="s">
        <v>3725</v>
      </c>
      <c r="M233" s="2" t="s">
        <v>63</v>
      </c>
      <c r="N233" s="2" t="s">
        <v>92</v>
      </c>
      <c r="O233" s="2" t="s">
        <v>973</v>
      </c>
      <c r="P233" s="2" t="s">
        <v>3726</v>
      </c>
      <c r="Q233" s="2" t="s">
        <v>60</v>
      </c>
      <c r="R233" s="2" t="s">
        <v>3727</v>
      </c>
      <c r="S233" s="2" t="s">
        <v>96</v>
      </c>
      <c r="T233" s="16">
        <v>206.78</v>
      </c>
      <c r="U233" s="2" t="s">
        <v>97</v>
      </c>
      <c r="V233" s="2" t="s">
        <v>71</v>
      </c>
      <c r="W233" s="2" t="s">
        <v>98</v>
      </c>
      <c r="X233" s="8" t="str">
        <f>HYPERLINK("http://www.maharah.com", "www.maharah.com")</f>
        <v>www.maharah.com</v>
      </c>
      <c r="Y233" s="8" t="str">
        <f>HYPERLINK("http://www.linkedin.com/company/maharah-hr", "http://www.linkedin.com/company/maharah-hr")</f>
        <v>http://www.linkedin.com/company/maharah-hr</v>
      </c>
      <c r="Z233" s="28" t="s">
        <v>60</v>
      </c>
      <c r="AA233" s="2" t="s">
        <v>60</v>
      </c>
      <c r="AB233" s="2" t="s">
        <v>74</v>
      </c>
      <c r="AC233" s="2" t="s">
        <v>3728</v>
      </c>
      <c r="AD233" s="40">
        <v>2013</v>
      </c>
      <c r="AE233" s="2" t="s">
        <v>60</v>
      </c>
      <c r="AF233" s="52">
        <v>766.08</v>
      </c>
      <c r="AG233" s="52">
        <v>77.08</v>
      </c>
      <c r="AH233" s="52">
        <v>36.380000000000003</v>
      </c>
      <c r="AI233" s="52">
        <v>712.53</v>
      </c>
      <c r="AJ233" s="52">
        <v>61.15</v>
      </c>
      <c r="AK233" s="52">
        <v>52.2</v>
      </c>
      <c r="AL233" s="52">
        <v>726.36</v>
      </c>
      <c r="AM233" s="52">
        <v>132.02000000000001</v>
      </c>
      <c r="AN233" s="64">
        <v>36.5</v>
      </c>
      <c r="AO233" s="4" t="s">
        <v>179</v>
      </c>
      <c r="AP233" s="2" t="s">
        <v>3729</v>
      </c>
      <c r="AQ233" s="2" t="s">
        <v>3730</v>
      </c>
      <c r="AR233" s="2" t="s">
        <v>3731</v>
      </c>
      <c r="AS233" s="2" t="s">
        <v>3732</v>
      </c>
      <c r="AT233" s="2" t="s">
        <v>3733</v>
      </c>
      <c r="AU233" s="2" t="s">
        <v>106</v>
      </c>
      <c r="AV233" s="2" t="s">
        <v>3734</v>
      </c>
      <c r="AW233" s="2" t="s">
        <v>60</v>
      </c>
      <c r="AX233" s="2" t="s">
        <v>109</v>
      </c>
      <c r="AY233" s="2" t="s">
        <v>60</v>
      </c>
      <c r="AZ233" s="4" t="s">
        <v>3735</v>
      </c>
      <c r="BA233" s="2" t="s">
        <v>87</v>
      </c>
      <c r="BB233" s="4" t="s">
        <v>3733</v>
      </c>
      <c r="BC233" s="4" t="s">
        <v>60</v>
      </c>
      <c r="BD233" s="2" t="s">
        <v>3736</v>
      </c>
      <c r="BE233" s="2" t="s">
        <v>88</v>
      </c>
      <c r="BF233" s="2" t="s">
        <v>88</v>
      </c>
    </row>
    <row r="234" spans="1:58" x14ac:dyDescent="0.2">
      <c r="A234" s="3" t="s">
        <v>3737</v>
      </c>
      <c r="B234" s="3" t="s">
        <v>3738</v>
      </c>
      <c r="C234" s="3" t="s">
        <v>60</v>
      </c>
      <c r="D234" s="3" t="s">
        <v>60</v>
      </c>
      <c r="E234" s="3" t="s">
        <v>3739</v>
      </c>
      <c r="F234" s="3" t="s">
        <v>60</v>
      </c>
      <c r="G234" s="3" t="s">
        <v>3740</v>
      </c>
      <c r="H234" s="3" t="s">
        <v>60</v>
      </c>
      <c r="I234" s="3" t="s">
        <v>60</v>
      </c>
      <c r="J234" s="3" t="s">
        <v>3741</v>
      </c>
      <c r="K234" s="3" t="s">
        <v>3737</v>
      </c>
      <c r="L234" s="3" t="s">
        <v>3742</v>
      </c>
      <c r="M234" s="3" t="s">
        <v>485</v>
      </c>
      <c r="N234" s="3" t="s">
        <v>1023</v>
      </c>
      <c r="O234" s="3" t="s">
        <v>1024</v>
      </c>
      <c r="P234" s="3" t="s">
        <v>1025</v>
      </c>
      <c r="Q234" s="3" t="s">
        <v>60</v>
      </c>
      <c r="R234" s="3" t="s">
        <v>3743</v>
      </c>
      <c r="S234" s="3" t="s">
        <v>96</v>
      </c>
      <c r="T234" s="17">
        <v>57.53</v>
      </c>
      <c r="U234" s="3" t="s">
        <v>97</v>
      </c>
      <c r="V234" s="3" t="s">
        <v>71</v>
      </c>
      <c r="W234" s="3" t="s">
        <v>98</v>
      </c>
      <c r="X234" s="9" t="str">
        <f>HYPERLINK("http://www.mis.com.sa", "www.mis.com.sa")</f>
        <v>www.mis.com.sa</v>
      </c>
      <c r="Y234" s="9" t="str">
        <f>HYPERLINK("http://www.linkedin.com/company/al-moammar-information-systems", "http://www.linkedin.com/company/al-moammar-information-systems")</f>
        <v>http://www.linkedin.com/company/al-moammar-information-systems</v>
      </c>
      <c r="Z234" s="29">
        <v>719</v>
      </c>
      <c r="AA234" s="3" t="s">
        <v>3744</v>
      </c>
      <c r="AB234" s="3" t="s">
        <v>74</v>
      </c>
      <c r="AC234" s="3" t="s">
        <v>3745</v>
      </c>
      <c r="AD234" s="41">
        <v>1975</v>
      </c>
      <c r="AE234" s="3" t="s">
        <v>60</v>
      </c>
      <c r="AF234" s="53">
        <v>331.66</v>
      </c>
      <c r="AG234" s="53">
        <v>76.739999999999995</v>
      </c>
      <c r="AH234" s="53">
        <v>25.05</v>
      </c>
      <c r="AI234" s="53">
        <v>1347.64</v>
      </c>
      <c r="AJ234" s="53">
        <v>47.05</v>
      </c>
      <c r="AK234" s="53">
        <v>44.78</v>
      </c>
      <c r="AL234" s="53">
        <v>1406.37</v>
      </c>
      <c r="AM234" s="53">
        <v>316.79000000000002</v>
      </c>
      <c r="AN234" s="65">
        <v>-0.01</v>
      </c>
      <c r="AO234" s="5" t="s">
        <v>179</v>
      </c>
      <c r="AP234" s="3" t="s">
        <v>3746</v>
      </c>
      <c r="AQ234" s="3" t="s">
        <v>3747</v>
      </c>
      <c r="AR234" s="3" t="s">
        <v>79</v>
      </c>
      <c r="AS234" s="3" t="s">
        <v>3748</v>
      </c>
      <c r="AT234" s="3" t="s">
        <v>3749</v>
      </c>
      <c r="AU234" s="3" t="s">
        <v>106</v>
      </c>
      <c r="AV234" s="3" t="s">
        <v>3750</v>
      </c>
      <c r="AW234" s="3" t="s">
        <v>60</v>
      </c>
      <c r="AX234" s="3" t="s">
        <v>109</v>
      </c>
      <c r="AY234" s="3" t="s">
        <v>60</v>
      </c>
      <c r="AZ234" s="5" t="s">
        <v>2084</v>
      </c>
      <c r="BA234" s="3" t="s">
        <v>87</v>
      </c>
      <c r="BB234" s="5" t="s">
        <v>3749</v>
      </c>
      <c r="BC234" s="5" t="s">
        <v>3751</v>
      </c>
      <c r="BD234" s="3" t="s">
        <v>3752</v>
      </c>
      <c r="BE234" s="3" t="s">
        <v>88</v>
      </c>
      <c r="BF234" s="3" t="s">
        <v>88</v>
      </c>
    </row>
    <row r="235" spans="1:58" x14ac:dyDescent="0.2">
      <c r="A235" s="2" t="s">
        <v>3753</v>
      </c>
      <c r="B235" s="2" t="s">
        <v>3754</v>
      </c>
      <c r="C235" s="2" t="s">
        <v>60</v>
      </c>
      <c r="D235" s="2" t="s">
        <v>60</v>
      </c>
      <c r="E235" s="2" t="s">
        <v>3755</v>
      </c>
      <c r="F235" s="2" t="s">
        <v>3756</v>
      </c>
      <c r="G235" s="2" t="s">
        <v>60</v>
      </c>
      <c r="H235" s="2" t="s">
        <v>60</v>
      </c>
      <c r="I235" s="2" t="s">
        <v>60</v>
      </c>
      <c r="J235" s="2" t="s">
        <v>3757</v>
      </c>
      <c r="K235" s="2" t="s">
        <v>3753</v>
      </c>
      <c r="L235" s="2" t="s">
        <v>3758</v>
      </c>
      <c r="M235" s="2" t="s">
        <v>134</v>
      </c>
      <c r="N235" s="2" t="s">
        <v>638</v>
      </c>
      <c r="O235" s="2" t="s">
        <v>639</v>
      </c>
      <c r="P235" s="2" t="s">
        <v>1286</v>
      </c>
      <c r="Q235" s="2" t="s">
        <v>60</v>
      </c>
      <c r="R235" s="2" t="s">
        <v>3759</v>
      </c>
      <c r="S235" s="2" t="s">
        <v>96</v>
      </c>
      <c r="T235" s="16" t="s">
        <v>60</v>
      </c>
      <c r="U235" s="2" t="s">
        <v>97</v>
      </c>
      <c r="V235" s="2" t="s">
        <v>71</v>
      </c>
      <c r="W235" s="2" t="s">
        <v>98</v>
      </c>
      <c r="X235" s="8" t="str">
        <f>HYPERLINK("http://www.alkhabeer.com", "www.alkhabeer.com")</f>
        <v>www.alkhabeer.com</v>
      </c>
      <c r="Y235" s="8" t="str">
        <f>HYPERLINK("http://www.linkedin.com/company/alkhabeercap", "http://www.linkedin.com/company/alkhabeercap")</f>
        <v>http://www.linkedin.com/company/alkhabeercap</v>
      </c>
      <c r="Z235" s="28" t="s">
        <v>60</v>
      </c>
      <c r="AA235" s="2" t="s">
        <v>60</v>
      </c>
      <c r="AB235" s="2" t="s">
        <v>74</v>
      </c>
      <c r="AC235" s="2" t="s">
        <v>3760</v>
      </c>
      <c r="AD235" s="40">
        <v>2004</v>
      </c>
      <c r="AE235" s="2" t="s">
        <v>60</v>
      </c>
      <c r="AF235" s="52">
        <v>38.42</v>
      </c>
      <c r="AG235" s="52" t="s">
        <v>60</v>
      </c>
      <c r="AH235" s="52">
        <v>7.91</v>
      </c>
      <c r="AI235" s="52">
        <v>388.55</v>
      </c>
      <c r="AJ235" s="52" t="s">
        <v>60</v>
      </c>
      <c r="AK235" s="52" t="s">
        <v>60</v>
      </c>
      <c r="AL235" s="52">
        <v>217.47</v>
      </c>
      <c r="AM235" s="52">
        <v>175.69</v>
      </c>
      <c r="AN235" s="64">
        <v>-16.940000000000001</v>
      </c>
      <c r="AO235" s="4" t="s">
        <v>76</v>
      </c>
      <c r="AP235" s="2" t="s">
        <v>3761</v>
      </c>
      <c r="AQ235" s="2" t="s">
        <v>3762</v>
      </c>
      <c r="AR235" s="2" t="s">
        <v>3763</v>
      </c>
      <c r="AS235" s="2" t="s">
        <v>60</v>
      </c>
      <c r="AT235" s="2" t="s">
        <v>1305</v>
      </c>
      <c r="AU235" s="2" t="s">
        <v>82</v>
      </c>
      <c r="AV235" s="2" t="s">
        <v>3764</v>
      </c>
      <c r="AW235" s="2" t="s">
        <v>60</v>
      </c>
      <c r="AX235" s="2" t="s">
        <v>85</v>
      </c>
      <c r="AY235" s="2" t="s">
        <v>60</v>
      </c>
      <c r="AZ235" s="4" t="s">
        <v>1304</v>
      </c>
      <c r="BA235" s="2" t="s">
        <v>87</v>
      </c>
      <c r="BB235" s="4" t="s">
        <v>1305</v>
      </c>
      <c r="BC235" s="4" t="s">
        <v>3765</v>
      </c>
      <c r="BD235" s="2" t="s">
        <v>3766</v>
      </c>
      <c r="BE235" s="2" t="s">
        <v>88</v>
      </c>
      <c r="BF235" s="2" t="s">
        <v>88</v>
      </c>
    </row>
    <row r="236" spans="1:58" x14ac:dyDescent="0.2">
      <c r="A236" s="3" t="s">
        <v>3767</v>
      </c>
      <c r="B236" s="3" t="s">
        <v>3768</v>
      </c>
      <c r="C236" s="3" t="s">
        <v>60</v>
      </c>
      <c r="D236" s="3" t="s">
        <v>60</v>
      </c>
      <c r="E236" s="3" t="s">
        <v>60</v>
      </c>
      <c r="F236" s="3" t="s">
        <v>3769</v>
      </c>
      <c r="G236" s="3" t="s">
        <v>3770</v>
      </c>
      <c r="H236" s="3" t="s">
        <v>60</v>
      </c>
      <c r="I236" s="3" t="s">
        <v>60</v>
      </c>
      <c r="J236" s="3" t="s">
        <v>60</v>
      </c>
      <c r="K236" s="3" t="s">
        <v>3767</v>
      </c>
      <c r="L236" s="3" t="s">
        <v>3771</v>
      </c>
      <c r="M236" s="3" t="s">
        <v>328</v>
      </c>
      <c r="N236" s="3" t="s">
        <v>401</v>
      </c>
      <c r="O236" s="3" t="s">
        <v>402</v>
      </c>
      <c r="P236" s="3" t="s">
        <v>1429</v>
      </c>
      <c r="Q236" s="3" t="s">
        <v>60</v>
      </c>
      <c r="R236" s="3" t="s">
        <v>3772</v>
      </c>
      <c r="S236" s="3" t="s">
        <v>96</v>
      </c>
      <c r="T236" s="17">
        <v>2048.56</v>
      </c>
      <c r="U236" s="3" t="s">
        <v>97</v>
      </c>
      <c r="V236" s="3" t="s">
        <v>71</v>
      </c>
      <c r="W236" s="3" t="s">
        <v>3773</v>
      </c>
      <c r="X236" s="9" t="str">
        <f>HYPERLINK("http://care.med.sa", "care.med.sa")</f>
        <v>care.med.sa</v>
      </c>
      <c r="Y236" s="9" t="str">
        <f>HYPERLINK("http://www.linkedin.com/company/national-medical-care", "http://www.linkedin.com/company/national-medical-care")</f>
        <v>http://www.linkedin.com/company/national-medical-care</v>
      </c>
      <c r="Z236" s="29" t="s">
        <v>60</v>
      </c>
      <c r="AA236" s="3" t="s">
        <v>60</v>
      </c>
      <c r="AB236" s="3" t="s">
        <v>74</v>
      </c>
      <c r="AC236" s="3" t="s">
        <v>3774</v>
      </c>
      <c r="AD236" s="41" t="s">
        <v>60</v>
      </c>
      <c r="AE236" s="3" t="s">
        <v>60</v>
      </c>
      <c r="AF236" s="53">
        <v>417.52</v>
      </c>
      <c r="AG236" s="53">
        <v>150.74</v>
      </c>
      <c r="AH236" s="53">
        <v>89.11</v>
      </c>
      <c r="AI236" s="53">
        <v>2092.13</v>
      </c>
      <c r="AJ236" s="53">
        <v>124.29</v>
      </c>
      <c r="AK236" s="53">
        <v>96.15</v>
      </c>
      <c r="AL236" s="53">
        <v>1887.9</v>
      </c>
      <c r="AM236" s="53">
        <v>13.81</v>
      </c>
      <c r="AN236" s="65">
        <v>28.43</v>
      </c>
      <c r="AO236" s="5" t="s">
        <v>179</v>
      </c>
      <c r="AP236" s="3" t="s">
        <v>3775</v>
      </c>
      <c r="AQ236" s="3" t="s">
        <v>3776</v>
      </c>
      <c r="AR236" s="3" t="s">
        <v>124</v>
      </c>
      <c r="AS236" s="3" t="s">
        <v>3777</v>
      </c>
      <c r="AT236" s="3" t="s">
        <v>3778</v>
      </c>
      <c r="AU236" s="3" t="s">
        <v>106</v>
      </c>
      <c r="AV236" s="3" t="s">
        <v>3779</v>
      </c>
      <c r="AW236" s="3" t="s">
        <v>3780</v>
      </c>
      <c r="AX236" s="3" t="s">
        <v>109</v>
      </c>
      <c r="AY236" s="3" t="s">
        <v>3781</v>
      </c>
      <c r="AZ236" s="5" t="s">
        <v>3782</v>
      </c>
      <c r="BA236" s="3" t="s">
        <v>87</v>
      </c>
      <c r="BB236" s="5" t="s">
        <v>3778</v>
      </c>
      <c r="BC236" s="5" t="s">
        <v>60</v>
      </c>
      <c r="BD236" s="3" t="s">
        <v>3783</v>
      </c>
      <c r="BE236" s="3" t="s">
        <v>88</v>
      </c>
      <c r="BF236" s="3" t="s">
        <v>88</v>
      </c>
    </row>
    <row r="237" spans="1:58" x14ac:dyDescent="0.2">
      <c r="A237" s="2" t="s">
        <v>3784</v>
      </c>
      <c r="B237" s="2" t="s">
        <v>3785</v>
      </c>
      <c r="C237" s="2" t="s">
        <v>60</v>
      </c>
      <c r="D237" s="2" t="s">
        <v>60</v>
      </c>
      <c r="E237" s="2" t="s">
        <v>60</v>
      </c>
      <c r="F237" s="2" t="s">
        <v>3786</v>
      </c>
      <c r="G237" s="2" t="s">
        <v>3787</v>
      </c>
      <c r="H237" s="2" t="s">
        <v>60</v>
      </c>
      <c r="I237" s="2" t="s">
        <v>60</v>
      </c>
      <c r="J237" s="2" t="s">
        <v>60</v>
      </c>
      <c r="K237" s="2" t="s">
        <v>3784</v>
      </c>
      <c r="L237" s="2" t="s">
        <v>3788</v>
      </c>
      <c r="M237" s="2" t="s">
        <v>63</v>
      </c>
      <c r="N237" s="2" t="s">
        <v>64</v>
      </c>
      <c r="O237" s="2" t="s">
        <v>530</v>
      </c>
      <c r="P237" s="2" t="s">
        <v>1371</v>
      </c>
      <c r="Q237" s="2" t="s">
        <v>1179</v>
      </c>
      <c r="R237" s="2" t="s">
        <v>3789</v>
      </c>
      <c r="S237" s="2" t="s">
        <v>174</v>
      </c>
      <c r="T237" s="16" t="s">
        <v>60</v>
      </c>
      <c r="U237" s="2" t="s">
        <v>97</v>
      </c>
      <c r="V237" s="2" t="s">
        <v>71</v>
      </c>
      <c r="W237" s="2" t="s">
        <v>175</v>
      </c>
      <c r="X237" s="8" t="str">
        <f>HYPERLINK("http://www.sspipe.com", "www.sspipe.com")</f>
        <v>www.sspipe.com</v>
      </c>
      <c r="Y237" s="8" t="str">
        <f>HYPERLINK("http://www.linkedin.com/company/saudi-steel-pipe-co.", "http://www.linkedin.com/company/saudi-steel-pipe-co.")</f>
        <v>http://www.linkedin.com/company/saudi-steel-pipe-co.</v>
      </c>
      <c r="Z237" s="28">
        <v>451</v>
      </c>
      <c r="AA237" s="2" t="s">
        <v>3790</v>
      </c>
      <c r="AB237" s="2" t="s">
        <v>74</v>
      </c>
      <c r="AC237" s="2" t="s">
        <v>3791</v>
      </c>
      <c r="AD237" s="40">
        <v>1980</v>
      </c>
      <c r="AE237" s="2" t="s">
        <v>60</v>
      </c>
      <c r="AF237" s="52">
        <v>344.29</v>
      </c>
      <c r="AG237" s="52">
        <v>83.77</v>
      </c>
      <c r="AH237" s="52">
        <v>45.26</v>
      </c>
      <c r="AI237" s="52">
        <v>833.08</v>
      </c>
      <c r="AJ237" s="52">
        <v>95.47</v>
      </c>
      <c r="AK237" s="52">
        <v>72.13</v>
      </c>
      <c r="AL237" s="52">
        <v>552.23</v>
      </c>
      <c r="AM237" s="52">
        <v>60.33</v>
      </c>
      <c r="AN237" s="64">
        <v>-30.37</v>
      </c>
      <c r="AO237" s="4" t="s">
        <v>179</v>
      </c>
      <c r="AP237" s="2" t="s">
        <v>3792</v>
      </c>
      <c r="AQ237" s="2" t="s">
        <v>3793</v>
      </c>
      <c r="AR237" s="2" t="s">
        <v>3794</v>
      </c>
      <c r="AS237" s="2" t="s">
        <v>3795</v>
      </c>
      <c r="AT237" s="2" t="s">
        <v>3796</v>
      </c>
      <c r="AU237" s="2" t="s">
        <v>847</v>
      </c>
      <c r="AV237" s="2" t="s">
        <v>3797</v>
      </c>
      <c r="AW237" s="2" t="s">
        <v>3798</v>
      </c>
      <c r="AX237" s="2" t="s">
        <v>849</v>
      </c>
      <c r="AY237" s="2" t="s">
        <v>60</v>
      </c>
      <c r="AZ237" s="4" t="s">
        <v>3799</v>
      </c>
      <c r="BA237" s="2" t="s">
        <v>87</v>
      </c>
      <c r="BB237" s="4" t="s">
        <v>3796</v>
      </c>
      <c r="BC237" s="4" t="s">
        <v>3800</v>
      </c>
      <c r="BD237" s="2" t="s">
        <v>3801</v>
      </c>
      <c r="BE237" s="2" t="s">
        <v>88</v>
      </c>
      <c r="BF237" s="2" t="s">
        <v>88</v>
      </c>
    </row>
    <row r="238" spans="1:58" x14ac:dyDescent="0.2">
      <c r="A238" s="3" t="s">
        <v>3802</v>
      </c>
      <c r="B238" s="3" t="s">
        <v>3803</v>
      </c>
      <c r="C238" s="3" t="s">
        <v>60</v>
      </c>
      <c r="D238" s="3" t="s">
        <v>60</v>
      </c>
      <c r="E238" s="3" t="s">
        <v>3804</v>
      </c>
      <c r="F238" s="3" t="s">
        <v>60</v>
      </c>
      <c r="G238" s="3" t="s">
        <v>3805</v>
      </c>
      <c r="H238" s="3" t="s">
        <v>60</v>
      </c>
      <c r="I238" s="3" t="s">
        <v>60</v>
      </c>
      <c r="J238" s="3" t="s">
        <v>60</v>
      </c>
      <c r="K238" s="3" t="s">
        <v>3802</v>
      </c>
      <c r="L238" s="3" t="s">
        <v>3806</v>
      </c>
      <c r="M238" s="3" t="s">
        <v>115</v>
      </c>
      <c r="N238" s="3" t="s">
        <v>116</v>
      </c>
      <c r="O238" s="3" t="s">
        <v>155</v>
      </c>
      <c r="P238" s="3" t="s">
        <v>156</v>
      </c>
      <c r="Q238" s="3" t="s">
        <v>60</v>
      </c>
      <c r="R238" s="3" t="s">
        <v>3807</v>
      </c>
      <c r="S238" s="3" t="s">
        <v>96</v>
      </c>
      <c r="T238" s="17">
        <v>65.78</v>
      </c>
      <c r="U238" s="3" t="s">
        <v>97</v>
      </c>
      <c r="V238" s="3" t="s">
        <v>71</v>
      </c>
      <c r="W238" s="3" t="s">
        <v>98</v>
      </c>
      <c r="X238" s="9" t="str">
        <f>HYPERLINK("http://www.edu.com.sa", "www.edu.com.sa")</f>
        <v>www.edu.com.sa</v>
      </c>
      <c r="Y238" s="9" t="str">
        <f>HYPERLINK("http://www.linkedin.com/company/national-company-for-education", "http://www.linkedin.com/company/national-company-for-education")</f>
        <v>http://www.linkedin.com/company/national-company-for-education</v>
      </c>
      <c r="Z238" s="29">
        <v>2300</v>
      </c>
      <c r="AA238" s="3" t="s">
        <v>3808</v>
      </c>
      <c r="AB238" s="3" t="s">
        <v>74</v>
      </c>
      <c r="AC238" s="3" t="s">
        <v>3809</v>
      </c>
      <c r="AD238" s="41">
        <v>1958</v>
      </c>
      <c r="AE238" s="3" t="s">
        <v>60</v>
      </c>
      <c r="AF238" s="53">
        <v>180.97</v>
      </c>
      <c r="AG238" s="53">
        <v>78.040000000000006</v>
      </c>
      <c r="AH238" s="53">
        <v>42.11</v>
      </c>
      <c r="AI238" s="53">
        <v>2091.4499999999998</v>
      </c>
      <c r="AJ238" s="53">
        <v>66.180000000000007</v>
      </c>
      <c r="AK238" s="53">
        <v>48.83</v>
      </c>
      <c r="AL238" s="53">
        <v>1506.12</v>
      </c>
      <c r="AM238" s="53">
        <v>79.94</v>
      </c>
      <c r="AN238" s="65" t="s">
        <v>60</v>
      </c>
      <c r="AO238" s="5" t="s">
        <v>3714</v>
      </c>
      <c r="AP238" s="3" t="s">
        <v>3810</v>
      </c>
      <c r="AQ238" s="3" t="s">
        <v>3811</v>
      </c>
      <c r="AR238" s="3" t="s">
        <v>3812</v>
      </c>
      <c r="AS238" s="3" t="s">
        <v>3813</v>
      </c>
      <c r="AT238" s="3" t="s">
        <v>3814</v>
      </c>
      <c r="AU238" s="3" t="s">
        <v>106</v>
      </c>
      <c r="AV238" s="3" t="s">
        <v>3815</v>
      </c>
      <c r="AW238" s="3" t="s">
        <v>3816</v>
      </c>
      <c r="AX238" s="3" t="s">
        <v>109</v>
      </c>
      <c r="AY238" s="3" t="s">
        <v>60</v>
      </c>
      <c r="AZ238" s="5" t="s">
        <v>60</v>
      </c>
      <c r="BA238" s="3" t="s">
        <v>87</v>
      </c>
      <c r="BB238" s="5" t="s">
        <v>3814</v>
      </c>
      <c r="BC238" s="5" t="s">
        <v>60</v>
      </c>
      <c r="BD238" s="3" t="s">
        <v>3817</v>
      </c>
      <c r="BE238" s="3" t="s">
        <v>88</v>
      </c>
      <c r="BF238" s="3" t="s">
        <v>88</v>
      </c>
    </row>
    <row r="239" spans="1:58" x14ac:dyDescent="0.2">
      <c r="A239" s="2" t="s">
        <v>3818</v>
      </c>
      <c r="B239" s="2" t="s">
        <v>3819</v>
      </c>
      <c r="C239" s="2" t="s">
        <v>60</v>
      </c>
      <c r="D239" s="2" t="s">
        <v>60</v>
      </c>
      <c r="E239" s="2" t="s">
        <v>60</v>
      </c>
      <c r="F239" s="2" t="s">
        <v>60</v>
      </c>
      <c r="G239" s="2" t="s">
        <v>3820</v>
      </c>
      <c r="H239" s="2" t="s">
        <v>60</v>
      </c>
      <c r="I239" s="2" t="s">
        <v>60</v>
      </c>
      <c r="J239" s="2" t="s">
        <v>60</v>
      </c>
      <c r="K239" s="2" t="s">
        <v>3818</v>
      </c>
      <c r="L239" s="2" t="s">
        <v>3821</v>
      </c>
      <c r="M239" s="2" t="s">
        <v>134</v>
      </c>
      <c r="N239" s="2" t="s">
        <v>638</v>
      </c>
      <c r="O239" s="2" t="s">
        <v>639</v>
      </c>
      <c r="P239" s="2" t="s">
        <v>3822</v>
      </c>
      <c r="Q239" s="2" t="s">
        <v>60</v>
      </c>
      <c r="R239" s="2" t="s">
        <v>3823</v>
      </c>
      <c r="S239" s="2" t="s">
        <v>174</v>
      </c>
      <c r="T239" s="16" t="s">
        <v>60</v>
      </c>
      <c r="U239" s="2" t="s">
        <v>97</v>
      </c>
      <c r="V239" s="2" t="s">
        <v>71</v>
      </c>
      <c r="W239" s="2" t="s">
        <v>175</v>
      </c>
      <c r="X239" s="8" t="str">
        <f>HYPERLINK("http://www.mefic.com.sa", "www.mefic.com.sa")</f>
        <v>www.mefic.com.sa</v>
      </c>
      <c r="Y239" s="8" t="str">
        <f>HYPERLINK("http://www.linkedin.com/company/middle-east-financial-investment-company", "http://www.linkedin.com/company/middle-east-financial-investment-company")</f>
        <v>http://www.linkedin.com/company/middle-east-financial-investment-company</v>
      </c>
      <c r="Z239" s="28">
        <v>68</v>
      </c>
      <c r="AA239" s="2" t="s">
        <v>3824</v>
      </c>
      <c r="AB239" s="2" t="s">
        <v>74</v>
      </c>
      <c r="AC239" s="2" t="s">
        <v>3825</v>
      </c>
      <c r="AD239" s="40">
        <v>2007</v>
      </c>
      <c r="AE239" s="2" t="s">
        <v>60</v>
      </c>
      <c r="AF239" s="52">
        <v>16.8</v>
      </c>
      <c r="AG239" s="52" t="s">
        <v>60</v>
      </c>
      <c r="AH239" s="52">
        <v>3.08</v>
      </c>
      <c r="AI239" s="52" t="s">
        <v>60</v>
      </c>
      <c r="AJ239" s="52" t="s">
        <v>60</v>
      </c>
      <c r="AK239" s="52" t="s">
        <v>60</v>
      </c>
      <c r="AL239" s="52">
        <v>70.260000000000005</v>
      </c>
      <c r="AM239" s="52">
        <v>119.38</v>
      </c>
      <c r="AN239" s="64">
        <v>4.47</v>
      </c>
      <c r="AO239" s="4" t="s">
        <v>3826</v>
      </c>
      <c r="AP239" s="2" t="s">
        <v>3827</v>
      </c>
      <c r="AQ239" s="2" t="s">
        <v>3828</v>
      </c>
      <c r="AR239" s="2" t="s">
        <v>3829</v>
      </c>
      <c r="AS239" s="2" t="s">
        <v>3830</v>
      </c>
      <c r="AT239" s="2" t="s">
        <v>3831</v>
      </c>
      <c r="AU239" s="2" t="s">
        <v>106</v>
      </c>
      <c r="AV239" s="2" t="s">
        <v>3832</v>
      </c>
      <c r="AW239" s="2" t="s">
        <v>3833</v>
      </c>
      <c r="AX239" s="2" t="s">
        <v>109</v>
      </c>
      <c r="AY239" s="2" t="s">
        <v>60</v>
      </c>
      <c r="AZ239" s="4" t="s">
        <v>3834</v>
      </c>
      <c r="BA239" s="2" t="s">
        <v>87</v>
      </c>
      <c r="BB239" s="4" t="s">
        <v>3831</v>
      </c>
      <c r="BC239" s="4" t="s">
        <v>3835</v>
      </c>
      <c r="BD239" s="2" t="s">
        <v>3836</v>
      </c>
      <c r="BE239" s="2" t="s">
        <v>88</v>
      </c>
      <c r="BF239" s="2" t="s">
        <v>88</v>
      </c>
    </row>
    <row r="240" spans="1:58" x14ac:dyDescent="0.2">
      <c r="A240" s="3" t="s">
        <v>3837</v>
      </c>
      <c r="B240" s="3" t="s">
        <v>3838</v>
      </c>
      <c r="C240" s="3" t="s">
        <v>60</v>
      </c>
      <c r="D240" s="3" t="s">
        <v>60</v>
      </c>
      <c r="E240" s="3" t="s">
        <v>60</v>
      </c>
      <c r="F240" s="3" t="s">
        <v>3839</v>
      </c>
      <c r="G240" s="3" t="s">
        <v>3840</v>
      </c>
      <c r="H240" s="3" t="s">
        <v>60</v>
      </c>
      <c r="I240" s="3" t="s">
        <v>60</v>
      </c>
      <c r="J240" s="3" t="s">
        <v>60</v>
      </c>
      <c r="K240" s="3" t="s">
        <v>3837</v>
      </c>
      <c r="L240" s="3" t="s">
        <v>3841</v>
      </c>
      <c r="M240" s="3" t="s">
        <v>115</v>
      </c>
      <c r="N240" s="3" t="s">
        <v>368</v>
      </c>
      <c r="O240" s="3" t="s">
        <v>369</v>
      </c>
      <c r="P240" s="3" t="s">
        <v>370</v>
      </c>
      <c r="Q240" s="3" t="s">
        <v>60</v>
      </c>
      <c r="R240" s="3" t="s">
        <v>3842</v>
      </c>
      <c r="S240" s="3" t="s">
        <v>372</v>
      </c>
      <c r="T240" s="17">
        <v>217.64</v>
      </c>
      <c r="U240" s="3" t="s">
        <v>97</v>
      </c>
      <c r="V240" s="3" t="s">
        <v>71</v>
      </c>
      <c r="W240" s="3" t="s">
        <v>373</v>
      </c>
      <c r="X240" s="9" t="str">
        <f>HYPERLINK("http://www.leejam.com.sa", "www.leejam.com.sa")</f>
        <v>www.leejam.com.sa</v>
      </c>
      <c r="Y240" s="9" t="str">
        <f>HYPERLINK("http://www.linkedin.com/company/leejam-sports-company", "http://www.linkedin.com/company/leejam-sports-company")</f>
        <v>http://www.linkedin.com/company/leejam-sports-company</v>
      </c>
      <c r="Z240" s="29">
        <v>3100</v>
      </c>
      <c r="AA240" s="3" t="s">
        <v>3843</v>
      </c>
      <c r="AB240" s="3" t="s">
        <v>74</v>
      </c>
      <c r="AC240" s="3" t="s">
        <v>3844</v>
      </c>
      <c r="AD240" s="41">
        <v>2005</v>
      </c>
      <c r="AE240" s="3" t="s">
        <v>60</v>
      </c>
      <c r="AF240" s="53">
        <v>426.94</v>
      </c>
      <c r="AG240" s="53">
        <v>163.41</v>
      </c>
      <c r="AH240" s="53">
        <v>87.46</v>
      </c>
      <c r="AI240" s="53">
        <v>2487.66</v>
      </c>
      <c r="AJ240" s="53">
        <v>193.45</v>
      </c>
      <c r="AK240" s="53">
        <v>106.05</v>
      </c>
      <c r="AL240" s="53">
        <v>1388.7</v>
      </c>
      <c r="AM240" s="53">
        <v>440.68</v>
      </c>
      <c r="AN240" s="65">
        <v>8.39</v>
      </c>
      <c r="AO240" s="5" t="s">
        <v>179</v>
      </c>
      <c r="AP240" s="3" t="s">
        <v>3845</v>
      </c>
      <c r="AQ240" s="3" t="s">
        <v>3846</v>
      </c>
      <c r="AR240" s="3" t="s">
        <v>124</v>
      </c>
      <c r="AS240" s="3" t="s">
        <v>60</v>
      </c>
      <c r="AT240" s="3" t="s">
        <v>3847</v>
      </c>
      <c r="AU240" s="3" t="s">
        <v>106</v>
      </c>
      <c r="AV240" s="3" t="s">
        <v>3848</v>
      </c>
      <c r="AW240" s="3" t="s">
        <v>3849</v>
      </c>
      <c r="AX240" s="3" t="s">
        <v>109</v>
      </c>
      <c r="AY240" s="3" t="s">
        <v>3850</v>
      </c>
      <c r="AZ240" s="5" t="s">
        <v>2807</v>
      </c>
      <c r="BA240" s="3" t="s">
        <v>87</v>
      </c>
      <c r="BB240" s="5" t="s">
        <v>3847</v>
      </c>
      <c r="BC240" s="5" t="s">
        <v>3851</v>
      </c>
      <c r="BD240" s="3" t="s">
        <v>3852</v>
      </c>
      <c r="BE240" s="3" t="s">
        <v>88</v>
      </c>
      <c r="BF240" s="3" t="s">
        <v>88</v>
      </c>
    </row>
    <row r="241" spans="1:58" x14ac:dyDescent="0.2">
      <c r="A241" s="2" t="s">
        <v>3853</v>
      </c>
      <c r="B241" s="2" t="s">
        <v>3854</v>
      </c>
      <c r="C241" s="2" t="s">
        <v>60</v>
      </c>
      <c r="D241" s="2" t="s">
        <v>60</v>
      </c>
      <c r="E241" s="2" t="s">
        <v>60</v>
      </c>
      <c r="F241" s="2" t="s">
        <v>60</v>
      </c>
      <c r="G241" s="2" t="s">
        <v>60</v>
      </c>
      <c r="H241" s="2" t="s">
        <v>60</v>
      </c>
      <c r="I241" s="2" t="s">
        <v>60</v>
      </c>
      <c r="J241" s="2" t="s">
        <v>60</v>
      </c>
      <c r="K241" s="2" t="s">
        <v>3853</v>
      </c>
      <c r="L241" s="2" t="s">
        <v>3855</v>
      </c>
      <c r="M241" s="2" t="s">
        <v>134</v>
      </c>
      <c r="N241" s="2" t="s">
        <v>135</v>
      </c>
      <c r="O241" s="2" t="s">
        <v>2275</v>
      </c>
      <c r="P241" s="2" t="s">
        <v>2276</v>
      </c>
      <c r="Q241" s="2" t="s">
        <v>60</v>
      </c>
      <c r="R241" s="2" t="s">
        <v>3856</v>
      </c>
      <c r="S241" s="2" t="s">
        <v>96</v>
      </c>
      <c r="T241" s="16">
        <v>173.54</v>
      </c>
      <c r="U241" s="2" t="s">
        <v>97</v>
      </c>
      <c r="V241" s="2" t="s">
        <v>71</v>
      </c>
      <c r="W241" s="2" t="s">
        <v>98</v>
      </c>
      <c r="X241" s="8" t="str">
        <f>HYPERLINK("http://www.bonyanreit.com", "www.bonyanreit.com")</f>
        <v>www.bonyanreit.com</v>
      </c>
      <c r="Y241" s="2" t="s">
        <v>60</v>
      </c>
      <c r="Z241" s="28" t="s">
        <v>60</v>
      </c>
      <c r="AA241" s="2" t="s">
        <v>60</v>
      </c>
      <c r="AB241" s="2" t="s">
        <v>74</v>
      </c>
      <c r="AC241" s="2" t="s">
        <v>3857</v>
      </c>
      <c r="AD241" s="40">
        <v>2018</v>
      </c>
      <c r="AE241" s="2" t="s">
        <v>60</v>
      </c>
      <c r="AF241" s="52">
        <v>66.78</v>
      </c>
      <c r="AG241" s="52">
        <v>45.76</v>
      </c>
      <c r="AH241" s="52">
        <v>22.92</v>
      </c>
      <c r="AI241" s="52">
        <v>547.6</v>
      </c>
      <c r="AJ241" s="52">
        <v>47.94</v>
      </c>
      <c r="AK241" s="52">
        <v>33.74</v>
      </c>
      <c r="AL241" s="52">
        <v>413.46</v>
      </c>
      <c r="AM241" s="52">
        <v>155.18</v>
      </c>
      <c r="AN241" s="64">
        <v>2.59</v>
      </c>
      <c r="AO241" s="4" t="s">
        <v>76</v>
      </c>
      <c r="AP241" s="2" t="s">
        <v>60</v>
      </c>
      <c r="AQ241" s="2" t="s">
        <v>60</v>
      </c>
      <c r="AR241" s="2" t="s">
        <v>60</v>
      </c>
      <c r="AS241" s="2" t="s">
        <v>60</v>
      </c>
      <c r="AT241" s="2" t="s">
        <v>60</v>
      </c>
      <c r="AU241" s="2" t="s">
        <v>106</v>
      </c>
      <c r="AV241" s="2" t="s">
        <v>3858</v>
      </c>
      <c r="AW241" s="2" t="s">
        <v>60</v>
      </c>
      <c r="AX241" s="2" t="s">
        <v>109</v>
      </c>
      <c r="AY241" s="2" t="s">
        <v>60</v>
      </c>
      <c r="AZ241" s="4" t="s">
        <v>3859</v>
      </c>
      <c r="BA241" s="2" t="s">
        <v>87</v>
      </c>
      <c r="BB241" s="4" t="s">
        <v>60</v>
      </c>
      <c r="BC241" s="4" t="s">
        <v>60</v>
      </c>
      <c r="BD241" s="2" t="s">
        <v>60</v>
      </c>
      <c r="BE241" s="2" t="s">
        <v>88</v>
      </c>
      <c r="BF241" s="2" t="s">
        <v>88</v>
      </c>
    </row>
    <row r="242" spans="1:58" x14ac:dyDescent="0.2">
      <c r="A242" s="3" t="s">
        <v>3860</v>
      </c>
      <c r="B242" s="3" t="s">
        <v>3861</v>
      </c>
      <c r="C242" s="3" t="s">
        <v>60</v>
      </c>
      <c r="D242" s="3" t="s">
        <v>60</v>
      </c>
      <c r="E242" s="3" t="s">
        <v>3862</v>
      </c>
      <c r="F242" s="3" t="s">
        <v>60</v>
      </c>
      <c r="G242" s="3" t="s">
        <v>60</v>
      </c>
      <c r="H242" s="3" t="s">
        <v>60</v>
      </c>
      <c r="I242" s="3" t="s">
        <v>60</v>
      </c>
      <c r="J242" s="3" t="s">
        <v>60</v>
      </c>
      <c r="K242" s="3" t="s">
        <v>3860</v>
      </c>
      <c r="L242" s="3" t="s">
        <v>3863</v>
      </c>
      <c r="M242" s="3" t="s">
        <v>328</v>
      </c>
      <c r="N242" s="3" t="s">
        <v>401</v>
      </c>
      <c r="O242" s="3" t="s">
        <v>402</v>
      </c>
      <c r="P242" s="3" t="s">
        <v>403</v>
      </c>
      <c r="Q242" s="3" t="s">
        <v>60</v>
      </c>
      <c r="R242" s="3" t="s">
        <v>3864</v>
      </c>
      <c r="S242" s="3" t="s">
        <v>372</v>
      </c>
      <c r="T242" s="17">
        <v>167.81</v>
      </c>
      <c r="U242" s="3" t="s">
        <v>97</v>
      </c>
      <c r="V242" s="3" t="s">
        <v>71</v>
      </c>
      <c r="W242" s="3" t="s">
        <v>72</v>
      </c>
      <c r="X242" s="9" t="str">
        <f>HYPERLINK("http://www.alhammadi.com", "www.alhammadi.com")</f>
        <v>www.alhammadi.com</v>
      </c>
      <c r="Y242" s="9" t="str">
        <f>HYPERLINK("http://www.linkedin.com/company/Al Hammadi Hospitals", "http://www.linkedin.com/company/Al Hammadi Hospitals")</f>
        <v>http://www.linkedin.com/company/Al Hammadi Hospitals</v>
      </c>
      <c r="Z242" s="29">
        <v>1585</v>
      </c>
      <c r="AA242" s="3" t="s">
        <v>3865</v>
      </c>
      <c r="AB242" s="3" t="s">
        <v>74</v>
      </c>
      <c r="AC242" s="3" t="s">
        <v>3866</v>
      </c>
      <c r="AD242" s="41">
        <v>1985</v>
      </c>
      <c r="AE242" s="3" t="s">
        <v>60</v>
      </c>
      <c r="AF242" s="53">
        <v>324.24</v>
      </c>
      <c r="AG242" s="53">
        <v>101.74</v>
      </c>
      <c r="AH242" s="53">
        <v>70.7</v>
      </c>
      <c r="AI242" s="53">
        <v>1491.83</v>
      </c>
      <c r="AJ242" s="53">
        <v>103.55</v>
      </c>
      <c r="AK242" s="53">
        <v>78.709999999999994</v>
      </c>
      <c r="AL242" s="53">
        <v>1148.96</v>
      </c>
      <c r="AM242" s="53">
        <v>43.91</v>
      </c>
      <c r="AN242" s="65">
        <v>7.32</v>
      </c>
      <c r="AO242" s="5" t="s">
        <v>179</v>
      </c>
      <c r="AP242" s="3" t="s">
        <v>3867</v>
      </c>
      <c r="AQ242" s="3" t="s">
        <v>3868</v>
      </c>
      <c r="AR242" s="3" t="s">
        <v>215</v>
      </c>
      <c r="AS242" s="3" t="s">
        <v>3869</v>
      </c>
      <c r="AT242" s="3" t="s">
        <v>3870</v>
      </c>
      <c r="AU242" s="3" t="s">
        <v>106</v>
      </c>
      <c r="AV242" s="3" t="s">
        <v>3871</v>
      </c>
      <c r="AW242" s="3" t="s">
        <v>3872</v>
      </c>
      <c r="AX242" s="3" t="s">
        <v>109</v>
      </c>
      <c r="AY242" s="3" t="s">
        <v>2730</v>
      </c>
      <c r="AZ242" s="5" t="s">
        <v>2184</v>
      </c>
      <c r="BA242" s="3" t="s">
        <v>87</v>
      </c>
      <c r="BB242" s="5" t="s">
        <v>3870</v>
      </c>
      <c r="BC242" s="5" t="s">
        <v>3873</v>
      </c>
      <c r="BD242" s="3" t="s">
        <v>3874</v>
      </c>
      <c r="BE242" s="3" t="s">
        <v>88</v>
      </c>
      <c r="BF242" s="3" t="s">
        <v>88</v>
      </c>
    </row>
    <row r="243" spans="1:58" x14ac:dyDescent="0.2">
      <c r="A243" s="2" t="s">
        <v>3875</v>
      </c>
      <c r="B243" s="2" t="s">
        <v>3876</v>
      </c>
      <c r="C243" s="2" t="s">
        <v>60</v>
      </c>
      <c r="D243" s="2" t="s">
        <v>60</v>
      </c>
      <c r="E243" s="2" t="s">
        <v>60</v>
      </c>
      <c r="F243" s="2" t="s">
        <v>3877</v>
      </c>
      <c r="G243" s="2" t="s">
        <v>60</v>
      </c>
      <c r="H243" s="2" t="s">
        <v>60</v>
      </c>
      <c r="I243" s="2" t="s">
        <v>60</v>
      </c>
      <c r="J243" s="2" t="s">
        <v>3878</v>
      </c>
      <c r="K243" s="2" t="s">
        <v>3875</v>
      </c>
      <c r="L243" s="2" t="s">
        <v>3879</v>
      </c>
      <c r="M243" s="2" t="s">
        <v>134</v>
      </c>
      <c r="N243" s="2" t="s">
        <v>638</v>
      </c>
      <c r="O243" s="2" t="s">
        <v>639</v>
      </c>
      <c r="P243" s="2" t="s">
        <v>640</v>
      </c>
      <c r="Q243" s="2" t="s">
        <v>60</v>
      </c>
      <c r="R243" s="2" t="s">
        <v>3880</v>
      </c>
      <c r="S243" s="2" t="s">
        <v>96</v>
      </c>
      <c r="T243" s="16" t="s">
        <v>60</v>
      </c>
      <c r="U243" s="2" t="s">
        <v>97</v>
      </c>
      <c r="V243" s="2" t="s">
        <v>71</v>
      </c>
      <c r="W243" s="2" t="s">
        <v>98</v>
      </c>
      <c r="X243" s="2" t="s">
        <v>60</v>
      </c>
      <c r="Y243" s="2" t="s">
        <v>60</v>
      </c>
      <c r="Z243" s="28" t="s">
        <v>60</v>
      </c>
      <c r="AA243" s="2" t="s">
        <v>60</v>
      </c>
      <c r="AB243" s="2" t="s">
        <v>74</v>
      </c>
      <c r="AC243" s="2" t="s">
        <v>3881</v>
      </c>
      <c r="AD243" s="40">
        <v>2009</v>
      </c>
      <c r="AE243" s="2" t="s">
        <v>3882</v>
      </c>
      <c r="AF243" s="52">
        <v>46.47</v>
      </c>
      <c r="AG243" s="52" t="s">
        <v>60</v>
      </c>
      <c r="AH243" s="52">
        <v>-2.06</v>
      </c>
      <c r="AI243" s="52">
        <v>557.76</v>
      </c>
      <c r="AJ243" s="52">
        <v>7.12</v>
      </c>
      <c r="AK243" s="52">
        <v>-2.06</v>
      </c>
      <c r="AL243" s="52">
        <v>353.04</v>
      </c>
      <c r="AM243" s="52">
        <v>416.86</v>
      </c>
      <c r="AN243" s="64">
        <v>-0.96</v>
      </c>
      <c r="AO243" s="4" t="s">
        <v>76</v>
      </c>
      <c r="AP243" s="2" t="s">
        <v>3883</v>
      </c>
      <c r="AQ243" s="2" t="s">
        <v>3884</v>
      </c>
      <c r="AR243" s="2" t="s">
        <v>3885</v>
      </c>
      <c r="AS243" s="2" t="s">
        <v>3886</v>
      </c>
      <c r="AT243" s="2" t="s">
        <v>1294</v>
      </c>
      <c r="AU243" s="2" t="s">
        <v>82</v>
      </c>
      <c r="AV243" s="2" t="s">
        <v>3887</v>
      </c>
      <c r="AW243" s="2" t="s">
        <v>60</v>
      </c>
      <c r="AX243" s="2" t="s">
        <v>85</v>
      </c>
      <c r="AY243" s="2" t="s">
        <v>60</v>
      </c>
      <c r="AZ243" s="4" t="s">
        <v>1297</v>
      </c>
      <c r="BA243" s="2" t="s">
        <v>87</v>
      </c>
      <c r="BB243" s="4" t="s">
        <v>1294</v>
      </c>
      <c r="BC243" s="4" t="s">
        <v>60</v>
      </c>
      <c r="BD243" s="2" t="s">
        <v>3888</v>
      </c>
      <c r="BE243" s="2" t="s">
        <v>88</v>
      </c>
      <c r="BF243" s="2" t="s">
        <v>88</v>
      </c>
    </row>
    <row r="244" spans="1:58" x14ac:dyDescent="0.2">
      <c r="A244" s="3" t="s">
        <v>3889</v>
      </c>
      <c r="B244" s="3" t="s">
        <v>3890</v>
      </c>
      <c r="C244" s="3" t="s">
        <v>60</v>
      </c>
      <c r="D244" s="3" t="s">
        <v>60</v>
      </c>
      <c r="E244" s="3" t="s">
        <v>60</v>
      </c>
      <c r="F244" s="3" t="s">
        <v>60</v>
      </c>
      <c r="G244" s="3" t="s">
        <v>3891</v>
      </c>
      <c r="H244" s="3" t="s">
        <v>60</v>
      </c>
      <c r="I244" s="3" t="s">
        <v>60</v>
      </c>
      <c r="J244" s="3" t="s">
        <v>60</v>
      </c>
      <c r="K244" s="3" t="s">
        <v>3889</v>
      </c>
      <c r="L244" s="3" t="s">
        <v>3892</v>
      </c>
      <c r="M244" s="3" t="s">
        <v>63</v>
      </c>
      <c r="N244" s="3" t="s">
        <v>64</v>
      </c>
      <c r="O244" s="3" t="s">
        <v>65</v>
      </c>
      <c r="P244" s="3" t="s">
        <v>3893</v>
      </c>
      <c r="Q244" s="3" t="s">
        <v>67</v>
      </c>
      <c r="R244" s="3" t="s">
        <v>3894</v>
      </c>
      <c r="S244" s="3" t="s">
        <v>96</v>
      </c>
      <c r="T244" s="17">
        <v>8.6300000000000008</v>
      </c>
      <c r="U244" s="3" t="s">
        <v>97</v>
      </c>
      <c r="V244" s="3" t="s">
        <v>71</v>
      </c>
      <c r="W244" s="3" t="s">
        <v>98</v>
      </c>
      <c r="X244" s="9" t="str">
        <f>HYPERLINK("http://www.nbm.com.sa", "www.nbm.com.sa")</f>
        <v>www.nbm.com.sa</v>
      </c>
      <c r="Y244" s="9" t="str">
        <f>HYPERLINK("http://www.linkedin.com/company/national-building-and-marketing-company", "http://www.linkedin.com/company/national-building-and-marketing-company")</f>
        <v>http://www.linkedin.com/company/national-building-and-marketing-company</v>
      </c>
      <c r="Z244" s="29">
        <v>350</v>
      </c>
      <c r="AA244" s="3" t="s">
        <v>3895</v>
      </c>
      <c r="AB244" s="3" t="s">
        <v>74</v>
      </c>
      <c r="AC244" s="3" t="s">
        <v>3896</v>
      </c>
      <c r="AD244" s="41">
        <v>1999</v>
      </c>
      <c r="AE244" s="3" t="s">
        <v>60</v>
      </c>
      <c r="AF244" s="53">
        <v>235.55</v>
      </c>
      <c r="AG244" s="53">
        <v>30.45</v>
      </c>
      <c r="AH244" s="53">
        <v>9.85</v>
      </c>
      <c r="AI244" s="53">
        <v>653.66</v>
      </c>
      <c r="AJ244" s="53">
        <v>46.24</v>
      </c>
      <c r="AK244" s="53">
        <v>25.62</v>
      </c>
      <c r="AL244" s="53">
        <v>213.03</v>
      </c>
      <c r="AM244" s="53">
        <v>171.75</v>
      </c>
      <c r="AN244" s="65">
        <v>21.22</v>
      </c>
      <c r="AO244" s="5" t="s">
        <v>76</v>
      </c>
      <c r="AP244" s="3" t="s">
        <v>3897</v>
      </c>
      <c r="AQ244" s="3" t="s">
        <v>3898</v>
      </c>
      <c r="AR244" s="3" t="s">
        <v>124</v>
      </c>
      <c r="AS244" s="3" t="s">
        <v>3899</v>
      </c>
      <c r="AT244" s="3" t="s">
        <v>3900</v>
      </c>
      <c r="AU244" s="3" t="s">
        <v>106</v>
      </c>
      <c r="AV244" s="3" t="s">
        <v>3657</v>
      </c>
      <c r="AW244" s="3" t="s">
        <v>3901</v>
      </c>
      <c r="AX244" s="3" t="s">
        <v>109</v>
      </c>
      <c r="AY244" s="3" t="s">
        <v>60</v>
      </c>
      <c r="AZ244" s="5" t="s">
        <v>3902</v>
      </c>
      <c r="BA244" s="3" t="s">
        <v>87</v>
      </c>
      <c r="BB244" s="5" t="s">
        <v>3900</v>
      </c>
      <c r="BC244" s="5" t="s">
        <v>3903</v>
      </c>
      <c r="BD244" s="3" t="s">
        <v>3904</v>
      </c>
      <c r="BE244" s="3" t="s">
        <v>88</v>
      </c>
      <c r="BF244" s="3" t="s">
        <v>88</v>
      </c>
    </row>
    <row r="245" spans="1:58" x14ac:dyDescent="0.2">
      <c r="A245" s="2" t="s">
        <v>3905</v>
      </c>
      <c r="B245" s="2" t="s">
        <v>3906</v>
      </c>
      <c r="C245" s="2" t="s">
        <v>60</v>
      </c>
      <c r="D245" s="2" t="s">
        <v>60</v>
      </c>
      <c r="E245" s="2" t="s">
        <v>60</v>
      </c>
      <c r="F245" s="2" t="s">
        <v>60</v>
      </c>
      <c r="G245" s="2" t="s">
        <v>3907</v>
      </c>
      <c r="H245" s="2" t="s">
        <v>60</v>
      </c>
      <c r="I245" s="2" t="s">
        <v>60</v>
      </c>
      <c r="J245" s="2" t="s">
        <v>60</v>
      </c>
      <c r="K245" s="2" t="s">
        <v>3905</v>
      </c>
      <c r="L245" s="2" t="s">
        <v>3908</v>
      </c>
      <c r="M245" s="2" t="s">
        <v>134</v>
      </c>
      <c r="N245" s="2" t="s">
        <v>135</v>
      </c>
      <c r="O245" s="2" t="s">
        <v>2275</v>
      </c>
      <c r="P245" s="2" t="s">
        <v>2276</v>
      </c>
      <c r="Q245" s="2" t="s">
        <v>60</v>
      </c>
      <c r="R245" s="2" t="s">
        <v>3909</v>
      </c>
      <c r="S245" s="2" t="s">
        <v>96</v>
      </c>
      <c r="T245" s="16" t="s">
        <v>60</v>
      </c>
      <c r="U245" s="2" t="s">
        <v>97</v>
      </c>
      <c r="V245" s="2" t="s">
        <v>71</v>
      </c>
      <c r="W245" s="2" t="s">
        <v>98</v>
      </c>
      <c r="X245" s="8" t="str">
        <f>HYPERLINK("http://reit.derayah.com", "reit.derayah.com")</f>
        <v>reit.derayah.com</v>
      </c>
      <c r="Y245" s="2" t="s">
        <v>60</v>
      </c>
      <c r="Z245" s="28" t="s">
        <v>60</v>
      </c>
      <c r="AA245" s="2" t="s">
        <v>60</v>
      </c>
      <c r="AB245" s="2" t="s">
        <v>74</v>
      </c>
      <c r="AC245" s="2" t="s">
        <v>3910</v>
      </c>
      <c r="AD245" s="40">
        <v>2017</v>
      </c>
      <c r="AE245" s="2" t="s">
        <v>3911</v>
      </c>
      <c r="AF245" s="52">
        <v>26.27</v>
      </c>
      <c r="AG245" s="52">
        <v>22.7</v>
      </c>
      <c r="AH245" s="52">
        <v>2.6</v>
      </c>
      <c r="AI245" s="52">
        <v>312.17</v>
      </c>
      <c r="AJ245" s="52">
        <v>19.91</v>
      </c>
      <c r="AK245" s="52">
        <v>14.07</v>
      </c>
      <c r="AL245" s="52">
        <v>149.19</v>
      </c>
      <c r="AM245" s="52">
        <v>158.94999999999999</v>
      </c>
      <c r="AN245" s="64">
        <v>-4.8899999999999997</v>
      </c>
      <c r="AO245" s="4" t="s">
        <v>76</v>
      </c>
      <c r="AP245" s="2" t="s">
        <v>60</v>
      </c>
      <c r="AQ245" s="2" t="s">
        <v>60</v>
      </c>
      <c r="AR245" s="2" t="s">
        <v>60</v>
      </c>
      <c r="AS245" s="2" t="s">
        <v>60</v>
      </c>
      <c r="AT245" s="2" t="s">
        <v>60</v>
      </c>
      <c r="AU245" s="2" t="s">
        <v>82</v>
      </c>
      <c r="AV245" s="2" t="s">
        <v>3912</v>
      </c>
      <c r="AW245" s="2" t="s">
        <v>3913</v>
      </c>
      <c r="AX245" s="2" t="s">
        <v>85</v>
      </c>
      <c r="AY245" s="2" t="s">
        <v>60</v>
      </c>
      <c r="AZ245" s="4" t="s">
        <v>60</v>
      </c>
      <c r="BA245" s="2" t="s">
        <v>87</v>
      </c>
      <c r="BB245" s="4" t="s">
        <v>60</v>
      </c>
      <c r="BC245" s="4" t="s">
        <v>60</v>
      </c>
      <c r="BD245" s="2" t="s">
        <v>60</v>
      </c>
      <c r="BE245" s="2" t="s">
        <v>88</v>
      </c>
      <c r="BF245" s="2" t="s">
        <v>88</v>
      </c>
    </row>
    <row r="246" spans="1:58" x14ac:dyDescent="0.2">
      <c r="A246" s="3" t="s">
        <v>3914</v>
      </c>
      <c r="B246" s="3" t="s">
        <v>3915</v>
      </c>
      <c r="C246" s="3" t="s">
        <v>60</v>
      </c>
      <c r="D246" s="3" t="s">
        <v>60</v>
      </c>
      <c r="E246" s="3" t="s">
        <v>60</v>
      </c>
      <c r="F246" s="3" t="s">
        <v>60</v>
      </c>
      <c r="G246" s="3" t="s">
        <v>3916</v>
      </c>
      <c r="H246" s="3" t="s">
        <v>60</v>
      </c>
      <c r="I246" s="3" t="s">
        <v>60</v>
      </c>
      <c r="J246" s="3" t="s">
        <v>60</v>
      </c>
      <c r="K246" s="3" t="s">
        <v>3914</v>
      </c>
      <c r="L246" s="3" t="s">
        <v>3917</v>
      </c>
      <c r="M246" s="3" t="s">
        <v>134</v>
      </c>
      <c r="N246" s="3" t="s">
        <v>135</v>
      </c>
      <c r="O246" s="3" t="s">
        <v>2275</v>
      </c>
      <c r="P246" s="3" t="s">
        <v>2276</v>
      </c>
      <c r="Q246" s="3" t="s">
        <v>60</v>
      </c>
      <c r="R246" s="3" t="s">
        <v>3918</v>
      </c>
      <c r="S246" s="3" t="s">
        <v>96</v>
      </c>
      <c r="T246" s="17">
        <v>113.75</v>
      </c>
      <c r="U246" s="3" t="s">
        <v>97</v>
      </c>
      <c r="V246" s="3" t="s">
        <v>71</v>
      </c>
      <c r="W246" s="3" t="s">
        <v>98</v>
      </c>
      <c r="X246" s="3" t="s">
        <v>60</v>
      </c>
      <c r="Y246" s="3" t="s">
        <v>60</v>
      </c>
      <c r="Z246" s="29" t="s">
        <v>60</v>
      </c>
      <c r="AA246" s="3" t="s">
        <v>60</v>
      </c>
      <c r="AB246" s="3" t="s">
        <v>74</v>
      </c>
      <c r="AC246" s="3" t="s">
        <v>3919</v>
      </c>
      <c r="AD246" s="41">
        <v>2017</v>
      </c>
      <c r="AE246" s="3" t="s">
        <v>60</v>
      </c>
      <c r="AF246" s="53">
        <v>62.6</v>
      </c>
      <c r="AG246" s="53">
        <v>61.06</v>
      </c>
      <c r="AH246" s="53">
        <v>49.74</v>
      </c>
      <c r="AI246" s="53">
        <v>816.62</v>
      </c>
      <c r="AJ246" s="53">
        <v>76.540000000000006</v>
      </c>
      <c r="AK246" s="53">
        <v>63.72</v>
      </c>
      <c r="AL246" s="53">
        <v>600.5</v>
      </c>
      <c r="AM246" s="53">
        <v>214.71</v>
      </c>
      <c r="AN246" s="65">
        <v>2.34</v>
      </c>
      <c r="AO246" s="5" t="s">
        <v>76</v>
      </c>
      <c r="AP246" s="3" t="s">
        <v>3920</v>
      </c>
      <c r="AQ246" s="3" t="s">
        <v>3921</v>
      </c>
      <c r="AR246" s="3" t="s">
        <v>266</v>
      </c>
      <c r="AS246" s="3" t="s">
        <v>60</v>
      </c>
      <c r="AT246" s="3" t="s">
        <v>3922</v>
      </c>
      <c r="AU246" s="3" t="s">
        <v>106</v>
      </c>
      <c r="AV246" s="3" t="s">
        <v>3923</v>
      </c>
      <c r="AW246" s="3" t="s">
        <v>2684</v>
      </c>
      <c r="AX246" s="3" t="s">
        <v>109</v>
      </c>
      <c r="AY246" s="3" t="s">
        <v>60</v>
      </c>
      <c r="AZ246" s="5" t="s">
        <v>3924</v>
      </c>
      <c r="BA246" s="3" t="s">
        <v>87</v>
      </c>
      <c r="BB246" s="5" t="s">
        <v>3922</v>
      </c>
      <c r="BC246" s="5" t="s">
        <v>60</v>
      </c>
      <c r="BD246" s="3" t="s">
        <v>60</v>
      </c>
      <c r="BE246" s="3" t="s">
        <v>88</v>
      </c>
      <c r="BF246" s="3" t="s">
        <v>88</v>
      </c>
    </row>
    <row r="247" spans="1:58" x14ac:dyDescent="0.2">
      <c r="A247" s="2" t="s">
        <v>3925</v>
      </c>
      <c r="B247" s="2" t="s">
        <v>3926</v>
      </c>
      <c r="C247" s="2" t="s">
        <v>60</v>
      </c>
      <c r="D247" s="2" t="s">
        <v>60</v>
      </c>
      <c r="E247" s="2" t="s">
        <v>60</v>
      </c>
      <c r="F247" s="2" t="s">
        <v>60</v>
      </c>
      <c r="G247" s="2" t="s">
        <v>3927</v>
      </c>
      <c r="H247" s="2" t="s">
        <v>60</v>
      </c>
      <c r="I247" s="2" t="s">
        <v>60</v>
      </c>
      <c r="J247" s="2" t="s">
        <v>60</v>
      </c>
      <c r="K247" s="2" t="s">
        <v>3925</v>
      </c>
      <c r="L247" s="2" t="s">
        <v>3928</v>
      </c>
      <c r="M247" s="2" t="s">
        <v>134</v>
      </c>
      <c r="N247" s="2" t="s">
        <v>135</v>
      </c>
      <c r="O247" s="2" t="s">
        <v>2275</v>
      </c>
      <c r="P247" s="2" t="s">
        <v>2276</v>
      </c>
      <c r="Q247" s="2" t="s">
        <v>60</v>
      </c>
      <c r="R247" s="2" t="s">
        <v>3929</v>
      </c>
      <c r="S247" s="2" t="s">
        <v>96</v>
      </c>
      <c r="T247" s="16" t="s">
        <v>60</v>
      </c>
      <c r="U247" s="2" t="s">
        <v>97</v>
      </c>
      <c r="V247" s="2" t="s">
        <v>71</v>
      </c>
      <c r="W247" s="2" t="s">
        <v>98</v>
      </c>
      <c r="X247" s="8" t="str">
        <f>HYPERLINK("http://www.reit.jadwa.com", "www.reit.jadwa.com")</f>
        <v>www.reit.jadwa.com</v>
      </c>
      <c r="Y247" s="2" t="s">
        <v>60</v>
      </c>
      <c r="Z247" s="28" t="s">
        <v>60</v>
      </c>
      <c r="AA247" s="2" t="s">
        <v>60</v>
      </c>
      <c r="AB247" s="2" t="s">
        <v>74</v>
      </c>
      <c r="AC247" s="2" t="s">
        <v>3930</v>
      </c>
      <c r="AD247" s="40">
        <v>2017</v>
      </c>
      <c r="AE247" s="2" t="s">
        <v>60</v>
      </c>
      <c r="AF247" s="52">
        <v>47.32</v>
      </c>
      <c r="AG247" s="52">
        <v>41.38</v>
      </c>
      <c r="AH247" s="52">
        <v>14.83</v>
      </c>
      <c r="AI247" s="52">
        <v>639.17999999999995</v>
      </c>
      <c r="AJ247" s="52">
        <v>34.71</v>
      </c>
      <c r="AK247" s="52">
        <v>24.63</v>
      </c>
      <c r="AL247" s="52">
        <v>562.86</v>
      </c>
      <c r="AM247" s="52">
        <v>128.87</v>
      </c>
      <c r="AN247" s="64">
        <v>25.99</v>
      </c>
      <c r="AO247" s="4" t="s">
        <v>100</v>
      </c>
      <c r="AP247" s="2" t="s">
        <v>3931</v>
      </c>
      <c r="AQ247" s="2" t="s">
        <v>3932</v>
      </c>
      <c r="AR247" s="2" t="s">
        <v>266</v>
      </c>
      <c r="AS247" s="2" t="s">
        <v>3933</v>
      </c>
      <c r="AT247" s="2" t="s">
        <v>3934</v>
      </c>
      <c r="AU247" s="2" t="s">
        <v>106</v>
      </c>
      <c r="AV247" s="2" t="s">
        <v>3935</v>
      </c>
      <c r="AW247" s="2" t="s">
        <v>60</v>
      </c>
      <c r="AX247" s="2" t="s">
        <v>109</v>
      </c>
      <c r="AY247" s="2" t="s">
        <v>60</v>
      </c>
      <c r="AZ247" s="4" t="s">
        <v>3936</v>
      </c>
      <c r="BA247" s="2" t="s">
        <v>87</v>
      </c>
      <c r="BB247" s="4" t="s">
        <v>3934</v>
      </c>
      <c r="BC247" s="4" t="s">
        <v>3937</v>
      </c>
      <c r="BD247" s="2" t="s">
        <v>60</v>
      </c>
      <c r="BE247" s="2" t="s">
        <v>88</v>
      </c>
      <c r="BF247" s="2" t="s">
        <v>88</v>
      </c>
    </row>
    <row r="248" spans="1:58" x14ac:dyDescent="0.2">
      <c r="A248" s="3" t="s">
        <v>3938</v>
      </c>
      <c r="B248" s="3" t="s">
        <v>3939</v>
      </c>
      <c r="C248" s="3" t="s">
        <v>60</v>
      </c>
      <c r="D248" s="3" t="s">
        <v>60</v>
      </c>
      <c r="E248" s="3" t="s">
        <v>60</v>
      </c>
      <c r="F248" s="3" t="s">
        <v>60</v>
      </c>
      <c r="G248" s="3" t="s">
        <v>3940</v>
      </c>
      <c r="H248" s="3" t="s">
        <v>60</v>
      </c>
      <c r="I248" s="3" t="s">
        <v>60</v>
      </c>
      <c r="J248" s="3" t="s">
        <v>60</v>
      </c>
      <c r="K248" s="3" t="s">
        <v>3938</v>
      </c>
      <c r="L248" s="3" t="s">
        <v>3941</v>
      </c>
      <c r="M248" s="3" t="s">
        <v>134</v>
      </c>
      <c r="N248" s="3" t="s">
        <v>135</v>
      </c>
      <c r="O248" s="3" t="s">
        <v>2275</v>
      </c>
      <c r="P248" s="3" t="s">
        <v>2276</v>
      </c>
      <c r="Q248" s="3" t="s">
        <v>60</v>
      </c>
      <c r="R248" s="3" t="s">
        <v>3942</v>
      </c>
      <c r="S248" s="3" t="s">
        <v>96</v>
      </c>
      <c r="T248" s="17" t="s">
        <v>60</v>
      </c>
      <c r="U248" s="3" t="s">
        <v>1516</v>
      </c>
      <c r="V248" s="3" t="s">
        <v>71</v>
      </c>
      <c r="W248" s="3" t="s">
        <v>98</v>
      </c>
      <c r="X248" s="3" t="s">
        <v>60</v>
      </c>
      <c r="Y248" s="3" t="s">
        <v>60</v>
      </c>
      <c r="Z248" s="29" t="s">
        <v>60</v>
      </c>
      <c r="AA248" s="3" t="s">
        <v>60</v>
      </c>
      <c r="AB248" s="3" t="s">
        <v>74</v>
      </c>
      <c r="AC248" s="3" t="s">
        <v>3943</v>
      </c>
      <c r="AD248" s="41">
        <v>2017</v>
      </c>
      <c r="AE248" s="3" t="s">
        <v>60</v>
      </c>
      <c r="AF248" s="53">
        <v>4.76</v>
      </c>
      <c r="AG248" s="53" t="s">
        <v>60</v>
      </c>
      <c r="AH248" s="53">
        <v>-3.27</v>
      </c>
      <c r="AI248" s="53">
        <v>104.65</v>
      </c>
      <c r="AJ248" s="53">
        <v>2.38</v>
      </c>
      <c r="AK248" s="53">
        <v>-0.2</v>
      </c>
      <c r="AL248" s="53">
        <v>65.25</v>
      </c>
      <c r="AM248" s="53">
        <v>38.409999999999997</v>
      </c>
      <c r="AN248" s="65">
        <v>-16.21</v>
      </c>
      <c r="AO248" s="5" t="s">
        <v>76</v>
      </c>
      <c r="AP248" s="3" t="s">
        <v>60</v>
      </c>
      <c r="AQ248" s="3" t="s">
        <v>60</v>
      </c>
      <c r="AR248" s="3" t="s">
        <v>60</v>
      </c>
      <c r="AS248" s="3" t="s">
        <v>60</v>
      </c>
      <c r="AT248" s="3" t="s">
        <v>60</v>
      </c>
      <c r="AU248" s="3" t="s">
        <v>106</v>
      </c>
      <c r="AV248" s="3" t="s">
        <v>3944</v>
      </c>
      <c r="AW248" s="3" t="s">
        <v>3945</v>
      </c>
      <c r="AX248" s="3" t="s">
        <v>109</v>
      </c>
      <c r="AY248" s="3" t="s">
        <v>60</v>
      </c>
      <c r="AZ248" s="5" t="s">
        <v>3946</v>
      </c>
      <c r="BA248" s="3" t="s">
        <v>87</v>
      </c>
      <c r="BB248" s="5" t="s">
        <v>3947</v>
      </c>
      <c r="BC248" s="5" t="s">
        <v>60</v>
      </c>
      <c r="BD248" s="3" t="s">
        <v>60</v>
      </c>
      <c r="BE248" s="3" t="s">
        <v>88</v>
      </c>
      <c r="BF248" s="3" t="s">
        <v>88</v>
      </c>
    </row>
    <row r="249" spans="1:58" x14ac:dyDescent="0.2">
      <c r="A249" s="2" t="s">
        <v>3948</v>
      </c>
      <c r="B249" s="2" t="s">
        <v>3949</v>
      </c>
      <c r="C249" s="2" t="s">
        <v>60</v>
      </c>
      <c r="D249" s="2" t="s">
        <v>60</v>
      </c>
      <c r="E249" s="2" t="s">
        <v>60</v>
      </c>
      <c r="F249" s="2" t="s">
        <v>60</v>
      </c>
      <c r="G249" s="2" t="s">
        <v>3950</v>
      </c>
      <c r="H249" s="2" t="s">
        <v>60</v>
      </c>
      <c r="I249" s="2" t="s">
        <v>60</v>
      </c>
      <c r="J249" s="2" t="s">
        <v>60</v>
      </c>
      <c r="K249" s="2" t="s">
        <v>3948</v>
      </c>
      <c r="L249" s="2" t="s">
        <v>3951</v>
      </c>
      <c r="M249" s="2" t="s">
        <v>134</v>
      </c>
      <c r="N249" s="2" t="s">
        <v>135</v>
      </c>
      <c r="O249" s="2" t="s">
        <v>2275</v>
      </c>
      <c r="P249" s="2" t="s">
        <v>2276</v>
      </c>
      <c r="Q249" s="2" t="s">
        <v>60</v>
      </c>
      <c r="R249" s="2" t="s">
        <v>3952</v>
      </c>
      <c r="S249" s="2" t="s">
        <v>96</v>
      </c>
      <c r="T249" s="16" t="s">
        <v>60</v>
      </c>
      <c r="U249" s="2" t="s">
        <v>97</v>
      </c>
      <c r="V249" s="2" t="s">
        <v>71</v>
      </c>
      <c r="W249" s="2" t="s">
        <v>98</v>
      </c>
      <c r="X249" s="8" t="str">
        <f>HYPERLINK("http://www.alahlireit.com", "www.alahlireit.com")</f>
        <v>www.alahlireit.com</v>
      </c>
      <c r="Y249" s="2" t="s">
        <v>60</v>
      </c>
      <c r="Z249" s="28" t="s">
        <v>60</v>
      </c>
      <c r="AA249" s="2" t="s">
        <v>60</v>
      </c>
      <c r="AB249" s="2" t="s">
        <v>74</v>
      </c>
      <c r="AC249" s="2" t="s">
        <v>3953</v>
      </c>
      <c r="AD249" s="40">
        <v>2017</v>
      </c>
      <c r="AE249" s="2" t="s">
        <v>60</v>
      </c>
      <c r="AF249" s="52">
        <v>49.59</v>
      </c>
      <c r="AG249" s="52">
        <v>28.19</v>
      </c>
      <c r="AH249" s="52">
        <v>5.6</v>
      </c>
      <c r="AI249" s="52">
        <v>441.04</v>
      </c>
      <c r="AJ249" s="52">
        <v>26.52</v>
      </c>
      <c r="AK249" s="52">
        <v>18.97</v>
      </c>
      <c r="AL249" s="52">
        <v>238.42</v>
      </c>
      <c r="AM249" s="52">
        <v>192.7</v>
      </c>
      <c r="AN249" s="64">
        <v>2.31</v>
      </c>
      <c r="AO249" s="4" t="s">
        <v>76</v>
      </c>
      <c r="AP249" s="2" t="s">
        <v>3954</v>
      </c>
      <c r="AQ249" s="2" t="s">
        <v>3955</v>
      </c>
      <c r="AR249" s="2" t="s">
        <v>3956</v>
      </c>
      <c r="AS249" s="2" t="s">
        <v>60</v>
      </c>
      <c r="AT249" s="2" t="s">
        <v>3957</v>
      </c>
      <c r="AU249" s="2" t="s">
        <v>106</v>
      </c>
      <c r="AV249" s="2" t="s">
        <v>3958</v>
      </c>
      <c r="AW249" s="2" t="s">
        <v>3959</v>
      </c>
      <c r="AX249" s="2" t="s">
        <v>109</v>
      </c>
      <c r="AY249" s="2" t="s">
        <v>60</v>
      </c>
      <c r="AZ249" s="4" t="s">
        <v>3960</v>
      </c>
      <c r="BA249" s="2" t="s">
        <v>87</v>
      </c>
      <c r="BB249" s="4" t="s">
        <v>3957</v>
      </c>
      <c r="BC249" s="4" t="s">
        <v>60</v>
      </c>
      <c r="BD249" s="2" t="s">
        <v>3961</v>
      </c>
      <c r="BE249" s="2" t="s">
        <v>88</v>
      </c>
      <c r="BF249" s="2" t="s">
        <v>88</v>
      </c>
    </row>
    <row r="250" spans="1:58" x14ac:dyDescent="0.2">
      <c r="A250" s="3" t="s">
        <v>3962</v>
      </c>
      <c r="B250" s="3" t="s">
        <v>3963</v>
      </c>
      <c r="C250" s="3" t="s">
        <v>60</v>
      </c>
      <c r="D250" s="3" t="s">
        <v>60</v>
      </c>
      <c r="E250" s="3" t="s">
        <v>60</v>
      </c>
      <c r="F250" s="3" t="s">
        <v>60</v>
      </c>
      <c r="G250" s="3" t="s">
        <v>3964</v>
      </c>
      <c r="H250" s="3" t="s">
        <v>60</v>
      </c>
      <c r="I250" s="3" t="s">
        <v>60</v>
      </c>
      <c r="J250" s="3" t="s">
        <v>60</v>
      </c>
      <c r="K250" s="3" t="s">
        <v>3962</v>
      </c>
      <c r="L250" s="3" t="s">
        <v>3965</v>
      </c>
      <c r="M250" s="3" t="s">
        <v>134</v>
      </c>
      <c r="N250" s="3" t="s">
        <v>638</v>
      </c>
      <c r="O250" s="3" t="s">
        <v>639</v>
      </c>
      <c r="P250" s="3" t="s">
        <v>1286</v>
      </c>
      <c r="Q250" s="3" t="s">
        <v>60</v>
      </c>
      <c r="R250" s="3" t="s">
        <v>3966</v>
      </c>
      <c r="S250" s="3" t="s">
        <v>96</v>
      </c>
      <c r="T250" s="17" t="s">
        <v>60</v>
      </c>
      <c r="U250" s="3" t="s">
        <v>97</v>
      </c>
      <c r="V250" s="3" t="s">
        <v>71</v>
      </c>
      <c r="W250" s="3" t="s">
        <v>98</v>
      </c>
      <c r="X250" s="3" t="s">
        <v>60</v>
      </c>
      <c r="Y250" s="3" t="s">
        <v>60</v>
      </c>
      <c r="Z250" s="29" t="s">
        <v>60</v>
      </c>
      <c r="AA250" s="3" t="s">
        <v>60</v>
      </c>
      <c r="AB250" s="3" t="s">
        <v>74</v>
      </c>
      <c r="AC250" s="3" t="s">
        <v>3967</v>
      </c>
      <c r="AD250" s="41">
        <v>2017</v>
      </c>
      <c r="AE250" s="3" t="s">
        <v>60</v>
      </c>
      <c r="AF250" s="53">
        <v>33.06</v>
      </c>
      <c r="AG250" s="53">
        <v>21.64</v>
      </c>
      <c r="AH250" s="53">
        <v>-0.42</v>
      </c>
      <c r="AI250" s="53">
        <v>312.51</v>
      </c>
      <c r="AJ250" s="53">
        <v>17.78</v>
      </c>
      <c r="AK250" s="53">
        <v>11.78</v>
      </c>
      <c r="AL250" s="53">
        <v>127.14</v>
      </c>
      <c r="AM250" s="53">
        <v>174.95</v>
      </c>
      <c r="AN250" s="65">
        <v>8.8699999999999992</v>
      </c>
      <c r="AO250" s="5" t="s">
        <v>76</v>
      </c>
      <c r="AP250" s="3" t="s">
        <v>60</v>
      </c>
      <c r="AQ250" s="3" t="s">
        <v>60</v>
      </c>
      <c r="AR250" s="3" t="s">
        <v>60</v>
      </c>
      <c r="AS250" s="3" t="s">
        <v>60</v>
      </c>
      <c r="AT250" s="3" t="s">
        <v>60</v>
      </c>
      <c r="AU250" s="3" t="s">
        <v>106</v>
      </c>
      <c r="AV250" s="3" t="s">
        <v>3968</v>
      </c>
      <c r="AW250" s="3" t="s">
        <v>3969</v>
      </c>
      <c r="AX250" s="3" t="s">
        <v>109</v>
      </c>
      <c r="AY250" s="3" t="s">
        <v>3970</v>
      </c>
      <c r="AZ250" s="5" t="s">
        <v>3971</v>
      </c>
      <c r="BA250" s="3" t="s">
        <v>87</v>
      </c>
      <c r="BB250" s="5" t="s">
        <v>1798</v>
      </c>
      <c r="BC250" s="5" t="s">
        <v>1802</v>
      </c>
      <c r="BD250" s="3" t="s">
        <v>1803</v>
      </c>
      <c r="BE250" s="3" t="s">
        <v>88</v>
      </c>
      <c r="BF250" s="3" t="s">
        <v>88</v>
      </c>
    </row>
    <row r="251" spans="1:58" x14ac:dyDescent="0.2">
      <c r="A251" s="2" t="s">
        <v>3972</v>
      </c>
      <c r="B251" s="2" t="s">
        <v>3973</v>
      </c>
      <c r="C251" s="2" t="s">
        <v>60</v>
      </c>
      <c r="D251" s="2" t="s">
        <v>60</v>
      </c>
      <c r="E251" s="2" t="s">
        <v>60</v>
      </c>
      <c r="F251" s="2" t="s">
        <v>3974</v>
      </c>
      <c r="G251" s="2" t="s">
        <v>3975</v>
      </c>
      <c r="H251" s="2" t="s">
        <v>60</v>
      </c>
      <c r="I251" s="2" t="s">
        <v>60</v>
      </c>
      <c r="J251" s="2" t="s">
        <v>3976</v>
      </c>
      <c r="K251" s="2" t="s">
        <v>3972</v>
      </c>
      <c r="L251" s="2" t="s">
        <v>3977</v>
      </c>
      <c r="M251" s="2" t="s">
        <v>1175</v>
      </c>
      <c r="N251" s="2" t="s">
        <v>2467</v>
      </c>
      <c r="O251" s="2" t="s">
        <v>2468</v>
      </c>
      <c r="P251" s="2" t="s">
        <v>2469</v>
      </c>
      <c r="Q251" s="2" t="s">
        <v>3978</v>
      </c>
      <c r="R251" s="2" t="s">
        <v>3979</v>
      </c>
      <c r="S251" s="2" t="s">
        <v>96</v>
      </c>
      <c r="T251" s="16" t="s">
        <v>60</v>
      </c>
      <c r="U251" s="2" t="s">
        <v>97</v>
      </c>
      <c r="V251" s="2" t="s">
        <v>71</v>
      </c>
      <c r="W251" s="2" t="s">
        <v>72</v>
      </c>
      <c r="X251" s="8" t="str">
        <f>HYPERLINK("http://www.se.com.sa", "www.se.com.sa")</f>
        <v>www.se.com.sa</v>
      </c>
      <c r="Y251" s="8" t="str">
        <f>HYPERLINK("http://www.linkedin.com/company/saudielectricity", "http://www.linkedin.com/company/saudielectricity")</f>
        <v>http://www.linkedin.com/company/saudielectricity</v>
      </c>
      <c r="Z251" s="28">
        <v>36432</v>
      </c>
      <c r="AA251" s="2" t="s">
        <v>3980</v>
      </c>
      <c r="AB251" s="2" t="s">
        <v>74</v>
      </c>
      <c r="AC251" s="2" t="s">
        <v>3981</v>
      </c>
      <c r="AD251" s="40">
        <v>2000</v>
      </c>
      <c r="AE251" s="2" t="s">
        <v>60</v>
      </c>
      <c r="AF251" s="52">
        <v>26726.44</v>
      </c>
      <c r="AG251" s="52">
        <v>5086.3500000000004</v>
      </c>
      <c r="AH251" s="52">
        <v>1680.35</v>
      </c>
      <c r="AI251" s="52">
        <v>64338.91</v>
      </c>
      <c r="AJ251" s="52">
        <v>9138.5300000000007</v>
      </c>
      <c r="AK251" s="52">
        <v>3217.33</v>
      </c>
      <c r="AL251" s="52">
        <v>15959.03</v>
      </c>
      <c r="AM251" s="52">
        <v>51893.4</v>
      </c>
      <c r="AN251" s="64">
        <v>18.11</v>
      </c>
      <c r="AO251" s="4" t="s">
        <v>179</v>
      </c>
      <c r="AP251" s="2" t="s">
        <v>3982</v>
      </c>
      <c r="AQ251" s="2" t="s">
        <v>3983</v>
      </c>
      <c r="AR251" s="2" t="s">
        <v>3984</v>
      </c>
      <c r="AS251" s="2" t="s">
        <v>3985</v>
      </c>
      <c r="AT251" s="2" t="s">
        <v>3986</v>
      </c>
      <c r="AU251" s="2" t="s">
        <v>106</v>
      </c>
      <c r="AV251" s="2" t="s">
        <v>3987</v>
      </c>
      <c r="AW251" s="2" t="s">
        <v>3988</v>
      </c>
      <c r="AX251" s="2" t="s">
        <v>109</v>
      </c>
      <c r="AY251" s="2" t="s">
        <v>60</v>
      </c>
      <c r="AZ251" s="4" t="s">
        <v>1573</v>
      </c>
      <c r="BA251" s="2" t="s">
        <v>87</v>
      </c>
      <c r="BB251" s="4" t="s">
        <v>3986</v>
      </c>
      <c r="BC251" s="4" t="s">
        <v>3989</v>
      </c>
      <c r="BD251" s="2" t="s">
        <v>3990</v>
      </c>
      <c r="BE251" s="2" t="s">
        <v>88</v>
      </c>
      <c r="BF251" s="2" t="s">
        <v>88</v>
      </c>
    </row>
    <row r="252" spans="1:58" x14ac:dyDescent="0.2">
      <c r="A252" s="3" t="s">
        <v>3991</v>
      </c>
      <c r="B252" s="3" t="s">
        <v>3992</v>
      </c>
      <c r="C252" s="3" t="s">
        <v>60</v>
      </c>
      <c r="D252" s="3" t="s">
        <v>60</v>
      </c>
      <c r="E252" s="3" t="s">
        <v>60</v>
      </c>
      <c r="F252" s="3" t="s">
        <v>60</v>
      </c>
      <c r="G252" s="3" t="s">
        <v>60</v>
      </c>
      <c r="H252" s="3" t="s">
        <v>60</v>
      </c>
      <c r="I252" s="3" t="s">
        <v>60</v>
      </c>
      <c r="J252" s="3" t="s">
        <v>60</v>
      </c>
      <c r="K252" s="3" t="s">
        <v>3991</v>
      </c>
      <c r="L252" s="3" t="s">
        <v>3993</v>
      </c>
      <c r="M252" s="3" t="s">
        <v>134</v>
      </c>
      <c r="N252" s="3" t="s">
        <v>638</v>
      </c>
      <c r="O252" s="3" t="s">
        <v>639</v>
      </c>
      <c r="P252" s="3" t="s">
        <v>1286</v>
      </c>
      <c r="Q252" s="3" t="s">
        <v>60</v>
      </c>
      <c r="R252" s="3" t="s">
        <v>3994</v>
      </c>
      <c r="S252" s="3" t="s">
        <v>96</v>
      </c>
      <c r="T252" s="17" t="s">
        <v>60</v>
      </c>
      <c r="U252" s="3" t="s">
        <v>1516</v>
      </c>
      <c r="V252" s="3" t="s">
        <v>71</v>
      </c>
      <c r="W252" s="3" t="s">
        <v>98</v>
      </c>
      <c r="X252" s="3" t="s">
        <v>60</v>
      </c>
      <c r="Y252" s="3" t="s">
        <v>60</v>
      </c>
      <c r="Z252" s="29" t="s">
        <v>60</v>
      </c>
      <c r="AA252" s="3" t="s">
        <v>60</v>
      </c>
      <c r="AB252" s="3" t="s">
        <v>74</v>
      </c>
      <c r="AC252" s="3" t="s">
        <v>3995</v>
      </c>
      <c r="AD252" s="41" t="s">
        <v>60</v>
      </c>
      <c r="AE252" s="3" t="s">
        <v>60</v>
      </c>
      <c r="AF252" s="53">
        <v>24.48</v>
      </c>
      <c r="AG252" s="53">
        <v>16.079999999999998</v>
      </c>
      <c r="AH252" s="53">
        <v>-5.46</v>
      </c>
      <c r="AI252" s="53">
        <v>293.41000000000003</v>
      </c>
      <c r="AJ252" s="53">
        <v>13.22</v>
      </c>
      <c r="AK252" s="53">
        <v>4.9000000000000004</v>
      </c>
      <c r="AL252" s="53">
        <v>100.56</v>
      </c>
      <c r="AM252" s="53">
        <v>202.94</v>
      </c>
      <c r="AN252" s="65">
        <v>-6.09</v>
      </c>
      <c r="AO252" s="5" t="s">
        <v>76</v>
      </c>
      <c r="AP252" s="3" t="s">
        <v>3996</v>
      </c>
      <c r="AQ252" s="3" t="s">
        <v>3997</v>
      </c>
      <c r="AR252" s="3" t="s">
        <v>3998</v>
      </c>
      <c r="AS252" s="3" t="s">
        <v>60</v>
      </c>
      <c r="AT252" s="3" t="s">
        <v>3999</v>
      </c>
      <c r="AU252" s="3" t="s">
        <v>522</v>
      </c>
      <c r="AV252" s="3" t="s">
        <v>4000</v>
      </c>
      <c r="AW252" s="3" t="s">
        <v>4001</v>
      </c>
      <c r="AX252" s="3" t="s">
        <v>524</v>
      </c>
      <c r="AY252" s="3" t="s">
        <v>60</v>
      </c>
      <c r="AZ252" s="5" t="s">
        <v>917</v>
      </c>
      <c r="BA252" s="3" t="s">
        <v>87</v>
      </c>
      <c r="BB252" s="5" t="s">
        <v>3999</v>
      </c>
      <c r="BC252" s="5" t="s">
        <v>4002</v>
      </c>
      <c r="BD252" s="3" t="s">
        <v>60</v>
      </c>
      <c r="BE252" s="3" t="s">
        <v>88</v>
      </c>
      <c r="BF252" s="3" t="s">
        <v>88</v>
      </c>
    </row>
    <row r="253" spans="1:58" x14ac:dyDescent="0.2">
      <c r="A253" s="2" t="s">
        <v>4003</v>
      </c>
      <c r="B253" s="2" t="s">
        <v>4004</v>
      </c>
      <c r="C253" s="2" t="s">
        <v>60</v>
      </c>
      <c r="D253" s="2" t="s">
        <v>60</v>
      </c>
      <c r="E253" s="2" t="s">
        <v>60</v>
      </c>
      <c r="F253" s="2" t="s">
        <v>60</v>
      </c>
      <c r="G253" s="2" t="s">
        <v>4005</v>
      </c>
      <c r="H253" s="2" t="s">
        <v>60</v>
      </c>
      <c r="I253" s="2" t="s">
        <v>60</v>
      </c>
      <c r="J253" s="2" t="s">
        <v>60</v>
      </c>
      <c r="K253" s="2" t="s">
        <v>4003</v>
      </c>
      <c r="L253" s="2" t="s">
        <v>4006</v>
      </c>
      <c r="M253" s="2" t="s">
        <v>63</v>
      </c>
      <c r="N253" s="2" t="s">
        <v>64</v>
      </c>
      <c r="O253" s="2" t="s">
        <v>1500</v>
      </c>
      <c r="P253" s="2" t="s">
        <v>1501</v>
      </c>
      <c r="Q253" s="2" t="s">
        <v>67</v>
      </c>
      <c r="R253" s="2" t="s">
        <v>4007</v>
      </c>
      <c r="S253" s="2" t="s">
        <v>96</v>
      </c>
      <c r="T253" s="16">
        <v>61.16</v>
      </c>
      <c r="U253" s="2" t="s">
        <v>97</v>
      </c>
      <c r="V253" s="2" t="s">
        <v>71</v>
      </c>
      <c r="W253" s="2" t="s">
        <v>98</v>
      </c>
      <c r="X253" s="8" t="str">
        <f>HYPERLINK("http://zaoasis.com", "zaoasis.com")</f>
        <v>zaoasis.com</v>
      </c>
      <c r="Y253" s="2" t="s">
        <v>60</v>
      </c>
      <c r="Z253" s="28" t="s">
        <v>60</v>
      </c>
      <c r="AA253" s="2" t="s">
        <v>60</v>
      </c>
      <c r="AB253" s="2" t="s">
        <v>74</v>
      </c>
      <c r="AC253" s="2" t="s">
        <v>4008</v>
      </c>
      <c r="AD253" s="40">
        <v>2003</v>
      </c>
      <c r="AE253" s="2" t="s">
        <v>60</v>
      </c>
      <c r="AF253" s="52">
        <v>131.82</v>
      </c>
      <c r="AG253" s="52">
        <v>13.53</v>
      </c>
      <c r="AH253" s="52">
        <v>1.06</v>
      </c>
      <c r="AI253" s="52">
        <v>199.65</v>
      </c>
      <c r="AJ253" s="52">
        <v>14.05</v>
      </c>
      <c r="AK253" s="52">
        <v>5.44</v>
      </c>
      <c r="AL253" s="52">
        <v>151.03</v>
      </c>
      <c r="AM253" s="52">
        <v>47.27</v>
      </c>
      <c r="AN253" s="64">
        <v>-7.92</v>
      </c>
      <c r="AO253" s="4" t="s">
        <v>179</v>
      </c>
      <c r="AP253" s="2" t="s">
        <v>4009</v>
      </c>
      <c r="AQ253" s="2" t="s">
        <v>4010</v>
      </c>
      <c r="AR253" s="2" t="s">
        <v>299</v>
      </c>
      <c r="AS253" s="2" t="s">
        <v>60</v>
      </c>
      <c r="AT253" s="2" t="s">
        <v>4011</v>
      </c>
      <c r="AU253" s="2" t="s">
        <v>106</v>
      </c>
      <c r="AV253" s="2" t="s">
        <v>4012</v>
      </c>
      <c r="AW253" s="2" t="s">
        <v>4013</v>
      </c>
      <c r="AX253" s="2" t="s">
        <v>109</v>
      </c>
      <c r="AY253" s="2" t="s">
        <v>60</v>
      </c>
      <c r="AZ253" s="4" t="s">
        <v>4014</v>
      </c>
      <c r="BA253" s="2" t="s">
        <v>87</v>
      </c>
      <c r="BB253" s="4" t="s">
        <v>4011</v>
      </c>
      <c r="BC253" s="4" t="s">
        <v>4015</v>
      </c>
      <c r="BD253" s="2" t="s">
        <v>60</v>
      </c>
      <c r="BE253" s="2" t="s">
        <v>88</v>
      </c>
      <c r="BF253" s="2" t="s">
        <v>88</v>
      </c>
    </row>
    <row r="254" spans="1:58" x14ac:dyDescent="0.2">
      <c r="A254" s="3" t="s">
        <v>4016</v>
      </c>
      <c r="B254" s="3" t="s">
        <v>4017</v>
      </c>
      <c r="C254" s="3" t="s">
        <v>60</v>
      </c>
      <c r="D254" s="3" t="s">
        <v>60</v>
      </c>
      <c r="E254" s="3" t="s">
        <v>4018</v>
      </c>
      <c r="F254" s="3" t="s">
        <v>60</v>
      </c>
      <c r="G254" s="3" t="s">
        <v>4019</v>
      </c>
      <c r="H254" s="3" t="s">
        <v>60</v>
      </c>
      <c r="I254" s="3" t="s">
        <v>60</v>
      </c>
      <c r="J254" s="3" t="s">
        <v>60</v>
      </c>
      <c r="K254" s="3" t="s">
        <v>4016</v>
      </c>
      <c r="L254" s="3" t="s">
        <v>4020</v>
      </c>
      <c r="M254" s="3" t="s">
        <v>134</v>
      </c>
      <c r="N254" s="3" t="s">
        <v>135</v>
      </c>
      <c r="O254" s="3" t="s">
        <v>2275</v>
      </c>
      <c r="P254" s="3" t="s">
        <v>2276</v>
      </c>
      <c r="Q254" s="3" t="s">
        <v>60</v>
      </c>
      <c r="R254" s="3" t="s">
        <v>4021</v>
      </c>
      <c r="S254" s="3" t="s">
        <v>96</v>
      </c>
      <c r="T254" s="17">
        <v>746.08</v>
      </c>
      <c r="U254" s="3" t="s">
        <v>97</v>
      </c>
      <c r="V254" s="3" t="s">
        <v>71</v>
      </c>
      <c r="W254" s="3" t="s">
        <v>98</v>
      </c>
      <c r="X254" s="3" t="s">
        <v>60</v>
      </c>
      <c r="Y254" s="3" t="s">
        <v>60</v>
      </c>
      <c r="Z254" s="29" t="s">
        <v>60</v>
      </c>
      <c r="AA254" s="3" t="s">
        <v>60</v>
      </c>
      <c r="AB254" s="3" t="s">
        <v>74</v>
      </c>
      <c r="AC254" s="3" t="s">
        <v>4022</v>
      </c>
      <c r="AD254" s="41">
        <v>2017</v>
      </c>
      <c r="AE254" s="3" t="s">
        <v>60</v>
      </c>
      <c r="AF254" s="53">
        <v>17.399999999999999</v>
      </c>
      <c r="AG254" s="53">
        <v>14.57</v>
      </c>
      <c r="AH254" s="53">
        <v>10.210000000000001</v>
      </c>
      <c r="AI254" s="53">
        <v>190.72</v>
      </c>
      <c r="AJ254" s="53">
        <v>16.71</v>
      </c>
      <c r="AK254" s="53">
        <v>12.12</v>
      </c>
      <c r="AL254" s="53">
        <v>151.19999999999999</v>
      </c>
      <c r="AM254" s="53">
        <v>44.02</v>
      </c>
      <c r="AN254" s="65">
        <v>2.2599999999999998</v>
      </c>
      <c r="AO254" s="5" t="s">
        <v>76</v>
      </c>
      <c r="AP254" s="3" t="s">
        <v>4023</v>
      </c>
      <c r="AQ254" s="3" t="s">
        <v>4024</v>
      </c>
      <c r="AR254" s="3" t="s">
        <v>1874</v>
      </c>
      <c r="AS254" s="3" t="s">
        <v>4025</v>
      </c>
      <c r="AT254" s="3" t="s">
        <v>1815</v>
      </c>
      <c r="AU254" s="3" t="s">
        <v>106</v>
      </c>
      <c r="AV254" s="3" t="s">
        <v>4026</v>
      </c>
      <c r="AW254" s="3" t="s">
        <v>2684</v>
      </c>
      <c r="AX254" s="3" t="s">
        <v>109</v>
      </c>
      <c r="AY254" s="3" t="s">
        <v>60</v>
      </c>
      <c r="AZ254" s="5" t="s">
        <v>1818</v>
      </c>
      <c r="BA254" s="3" t="s">
        <v>87</v>
      </c>
      <c r="BB254" s="5" t="s">
        <v>1815</v>
      </c>
      <c r="BC254" s="5" t="s">
        <v>4027</v>
      </c>
      <c r="BD254" s="3" t="s">
        <v>1820</v>
      </c>
      <c r="BE254" s="3" t="s">
        <v>88</v>
      </c>
      <c r="BF254" s="3" t="s">
        <v>88</v>
      </c>
    </row>
    <row r="255" spans="1:58" x14ac:dyDescent="0.2">
      <c r="A255" s="2" t="s">
        <v>4028</v>
      </c>
      <c r="B255" s="2" t="s">
        <v>4029</v>
      </c>
      <c r="C255" s="2" t="s">
        <v>60</v>
      </c>
      <c r="D255" s="2" t="s">
        <v>60</v>
      </c>
      <c r="E255" s="2" t="s">
        <v>60</v>
      </c>
      <c r="F255" s="2" t="s">
        <v>60</v>
      </c>
      <c r="G255" s="2" t="s">
        <v>4030</v>
      </c>
      <c r="H255" s="2" t="s">
        <v>60</v>
      </c>
      <c r="I255" s="2" t="s">
        <v>60</v>
      </c>
      <c r="J255" s="2" t="s">
        <v>60</v>
      </c>
      <c r="K255" s="2" t="s">
        <v>4028</v>
      </c>
      <c r="L255" s="2" t="s">
        <v>4031</v>
      </c>
      <c r="M255" s="2" t="s">
        <v>241</v>
      </c>
      <c r="N255" s="2" t="s">
        <v>242</v>
      </c>
      <c r="O255" s="2" t="s">
        <v>243</v>
      </c>
      <c r="P255" s="2" t="s">
        <v>244</v>
      </c>
      <c r="Q255" s="2" t="s">
        <v>60</v>
      </c>
      <c r="R255" s="2" t="s">
        <v>4032</v>
      </c>
      <c r="S255" s="2" t="s">
        <v>96</v>
      </c>
      <c r="T255" s="16" t="s">
        <v>60</v>
      </c>
      <c r="U255" s="2" t="s">
        <v>1516</v>
      </c>
      <c r="V255" s="2" t="s">
        <v>71</v>
      </c>
      <c r="W255" s="2" t="s">
        <v>98</v>
      </c>
      <c r="X255" s="8" t="str">
        <f>HYPERLINK("http://alkathiriholding.com", "alkathiriholding.com")</f>
        <v>alkathiriholding.com</v>
      </c>
      <c r="Y255" s="8" t="str">
        <f>HYPERLINK("http://www.linkedin.com/company/alkathiri-holding", "http://www.linkedin.com/company/alkathiri-holding")</f>
        <v>http://www.linkedin.com/company/alkathiri-holding</v>
      </c>
      <c r="Z255" s="28">
        <v>78</v>
      </c>
      <c r="AA255" s="2" t="s">
        <v>4033</v>
      </c>
      <c r="AB255" s="2" t="s">
        <v>74</v>
      </c>
      <c r="AC255" s="2" t="s">
        <v>4034</v>
      </c>
      <c r="AD255" s="40">
        <v>2008</v>
      </c>
      <c r="AE255" s="2" t="s">
        <v>60</v>
      </c>
      <c r="AF255" s="52">
        <v>63.7</v>
      </c>
      <c r="AG255" s="52">
        <v>4.42</v>
      </c>
      <c r="AH255" s="52">
        <v>-7.74</v>
      </c>
      <c r="AI255" s="52">
        <v>168.24</v>
      </c>
      <c r="AJ255" s="52">
        <v>-1.1200000000000001</v>
      </c>
      <c r="AK255" s="52">
        <v>-4.9000000000000004</v>
      </c>
      <c r="AL255" s="52">
        <v>127.04</v>
      </c>
      <c r="AM255" s="52">
        <v>38.31</v>
      </c>
      <c r="AN255" s="64">
        <v>35.04</v>
      </c>
      <c r="AO255" s="4" t="s">
        <v>179</v>
      </c>
      <c r="AP255" s="2" t="s">
        <v>4035</v>
      </c>
      <c r="AQ255" s="2" t="s">
        <v>4036</v>
      </c>
      <c r="AR255" s="2" t="s">
        <v>124</v>
      </c>
      <c r="AS255" s="2" t="s">
        <v>4037</v>
      </c>
      <c r="AT255" s="2" t="s">
        <v>4038</v>
      </c>
      <c r="AU255" s="2" t="s">
        <v>106</v>
      </c>
      <c r="AV255" s="2" t="s">
        <v>4039</v>
      </c>
      <c r="AW255" s="2" t="s">
        <v>4040</v>
      </c>
      <c r="AX255" s="2" t="s">
        <v>109</v>
      </c>
      <c r="AY255" s="2" t="s">
        <v>60</v>
      </c>
      <c r="AZ255" s="4" t="s">
        <v>4041</v>
      </c>
      <c r="BA255" s="2" t="s">
        <v>87</v>
      </c>
      <c r="BB255" s="4" t="s">
        <v>4038</v>
      </c>
      <c r="BC255" s="4" t="s">
        <v>60</v>
      </c>
      <c r="BD255" s="2" t="s">
        <v>4042</v>
      </c>
      <c r="BE255" s="2" t="s">
        <v>88</v>
      </c>
      <c r="BF255" s="2" t="s">
        <v>88</v>
      </c>
    </row>
    <row r="256" spans="1:58" x14ac:dyDescent="0.2">
      <c r="A256" s="3" t="s">
        <v>4043</v>
      </c>
      <c r="B256" s="3" t="s">
        <v>4044</v>
      </c>
      <c r="C256" s="3" t="s">
        <v>60</v>
      </c>
      <c r="D256" s="3" t="s">
        <v>60</v>
      </c>
      <c r="E256" s="3" t="s">
        <v>60</v>
      </c>
      <c r="F256" s="3" t="s">
        <v>60</v>
      </c>
      <c r="G256" s="3" t="s">
        <v>4045</v>
      </c>
      <c r="H256" s="3" t="s">
        <v>60</v>
      </c>
      <c r="I256" s="3" t="s">
        <v>60</v>
      </c>
      <c r="J256" s="3" t="s">
        <v>60</v>
      </c>
      <c r="K256" s="3" t="s">
        <v>4043</v>
      </c>
      <c r="L256" s="3" t="s">
        <v>4046</v>
      </c>
      <c r="M256" s="3" t="s">
        <v>115</v>
      </c>
      <c r="N256" s="3" t="s">
        <v>308</v>
      </c>
      <c r="O256" s="3" t="s">
        <v>309</v>
      </c>
      <c r="P256" s="3" t="s">
        <v>958</v>
      </c>
      <c r="Q256" s="3" t="s">
        <v>67</v>
      </c>
      <c r="R256" s="3" t="s">
        <v>4047</v>
      </c>
      <c r="S256" s="3" t="s">
        <v>96</v>
      </c>
      <c r="T256" s="17" t="s">
        <v>60</v>
      </c>
      <c r="U256" s="3" t="s">
        <v>97</v>
      </c>
      <c r="V256" s="3" t="s">
        <v>71</v>
      </c>
      <c r="W256" s="3" t="s">
        <v>98</v>
      </c>
      <c r="X256" s="9" t="str">
        <f>HYPERLINK("http://www.alaseel.com", "www.alaseel.com")</f>
        <v>www.alaseel.com</v>
      </c>
      <c r="Y256" s="3" t="s">
        <v>60</v>
      </c>
      <c r="Z256" s="29">
        <v>247</v>
      </c>
      <c r="AA256" s="3" t="s">
        <v>4048</v>
      </c>
      <c r="AB256" s="3" t="s">
        <v>74</v>
      </c>
      <c r="AC256" s="3" t="s">
        <v>4049</v>
      </c>
      <c r="AD256" s="41">
        <v>1989</v>
      </c>
      <c r="AE256" s="3" t="s">
        <v>60</v>
      </c>
      <c r="AF256" s="53">
        <v>135.82</v>
      </c>
      <c r="AG256" s="53">
        <v>59.02</v>
      </c>
      <c r="AH256" s="53">
        <v>23.92</v>
      </c>
      <c r="AI256" s="53">
        <v>341.56</v>
      </c>
      <c r="AJ256" s="53">
        <v>34.04</v>
      </c>
      <c r="AK256" s="53">
        <v>28.68</v>
      </c>
      <c r="AL256" s="53">
        <v>401.67</v>
      </c>
      <c r="AM256" s="53">
        <v>-52.07</v>
      </c>
      <c r="AN256" s="65">
        <v>-0.3</v>
      </c>
      <c r="AO256" s="5" t="s">
        <v>179</v>
      </c>
      <c r="AP256" s="3" t="s">
        <v>4050</v>
      </c>
      <c r="AQ256" s="3" t="s">
        <v>4051</v>
      </c>
      <c r="AR256" s="3" t="s">
        <v>124</v>
      </c>
      <c r="AS256" s="3" t="s">
        <v>4052</v>
      </c>
      <c r="AT256" s="3" t="s">
        <v>4053</v>
      </c>
      <c r="AU256" s="3" t="s">
        <v>106</v>
      </c>
      <c r="AV256" s="3" t="s">
        <v>4054</v>
      </c>
      <c r="AW256" s="3" t="s">
        <v>60</v>
      </c>
      <c r="AX256" s="3" t="s">
        <v>109</v>
      </c>
      <c r="AY256" s="3" t="s">
        <v>60</v>
      </c>
      <c r="AZ256" s="5" t="s">
        <v>4055</v>
      </c>
      <c r="BA256" s="3" t="s">
        <v>87</v>
      </c>
      <c r="BB256" s="5" t="s">
        <v>4053</v>
      </c>
      <c r="BC256" s="5" t="s">
        <v>4056</v>
      </c>
      <c r="BD256" s="3" t="s">
        <v>4057</v>
      </c>
      <c r="BE256" s="3" t="s">
        <v>88</v>
      </c>
      <c r="BF256" s="3" t="s">
        <v>88</v>
      </c>
    </row>
    <row r="257" spans="1:58" x14ac:dyDescent="0.2">
      <c r="A257" s="2" t="s">
        <v>4058</v>
      </c>
      <c r="B257" s="2" t="s">
        <v>4059</v>
      </c>
      <c r="C257" s="2" t="s">
        <v>60</v>
      </c>
      <c r="D257" s="2" t="s">
        <v>60</v>
      </c>
      <c r="E257" s="2" t="s">
        <v>60</v>
      </c>
      <c r="F257" s="2" t="s">
        <v>60</v>
      </c>
      <c r="G257" s="2" t="s">
        <v>60</v>
      </c>
      <c r="H257" s="2" t="s">
        <v>60</v>
      </c>
      <c r="I257" s="2" t="s">
        <v>60</v>
      </c>
      <c r="J257" s="2" t="s">
        <v>60</v>
      </c>
      <c r="K257" s="2" t="s">
        <v>4058</v>
      </c>
      <c r="L257" s="2" t="s">
        <v>4060</v>
      </c>
      <c r="M257" s="2" t="s">
        <v>134</v>
      </c>
      <c r="N257" s="2" t="s">
        <v>135</v>
      </c>
      <c r="O257" s="2" t="s">
        <v>2275</v>
      </c>
      <c r="P257" s="2" t="s">
        <v>2276</v>
      </c>
      <c r="Q257" s="2" t="s">
        <v>60</v>
      </c>
      <c r="R257" s="2" t="s">
        <v>4061</v>
      </c>
      <c r="S257" s="2" t="s">
        <v>96</v>
      </c>
      <c r="T257" s="16" t="s">
        <v>60</v>
      </c>
      <c r="U257" s="2" t="s">
        <v>97</v>
      </c>
      <c r="V257" s="2" t="s">
        <v>71</v>
      </c>
      <c r="W257" s="2" t="s">
        <v>98</v>
      </c>
      <c r="X257" s="2" t="s">
        <v>60</v>
      </c>
      <c r="Y257" s="2" t="s">
        <v>60</v>
      </c>
      <c r="Z257" s="28" t="s">
        <v>60</v>
      </c>
      <c r="AA257" s="2" t="s">
        <v>60</v>
      </c>
      <c r="AB257" s="2" t="s">
        <v>74</v>
      </c>
      <c r="AC257" s="2" t="s">
        <v>4062</v>
      </c>
      <c r="AD257" s="40">
        <v>2017</v>
      </c>
      <c r="AE257" s="2" t="s">
        <v>60</v>
      </c>
      <c r="AF257" s="52">
        <v>17.940000000000001</v>
      </c>
      <c r="AG257" s="52">
        <v>16.86</v>
      </c>
      <c r="AH257" s="52">
        <v>9.09</v>
      </c>
      <c r="AI257" s="52">
        <v>208.9</v>
      </c>
      <c r="AJ257" s="52">
        <v>16.61</v>
      </c>
      <c r="AK257" s="52">
        <v>14.95</v>
      </c>
      <c r="AL257" s="52">
        <v>139.91999999999999</v>
      </c>
      <c r="AM257" s="52">
        <v>78.040000000000006</v>
      </c>
      <c r="AN257" s="64">
        <v>-0.38</v>
      </c>
      <c r="AO257" s="4" t="s">
        <v>76</v>
      </c>
      <c r="AP257" s="2" t="s">
        <v>4063</v>
      </c>
      <c r="AQ257" s="2" t="s">
        <v>4064</v>
      </c>
      <c r="AR257" s="2" t="s">
        <v>266</v>
      </c>
      <c r="AS257" s="2" t="s">
        <v>60</v>
      </c>
      <c r="AT257" s="2" t="s">
        <v>4065</v>
      </c>
      <c r="AU257" s="2" t="s">
        <v>106</v>
      </c>
      <c r="AV257" s="2" t="s">
        <v>4066</v>
      </c>
      <c r="AW257" s="2" t="s">
        <v>60</v>
      </c>
      <c r="AX257" s="2" t="s">
        <v>109</v>
      </c>
      <c r="AY257" s="2" t="s">
        <v>60</v>
      </c>
      <c r="AZ257" s="4" t="s">
        <v>3859</v>
      </c>
      <c r="BA257" s="2" t="s">
        <v>87</v>
      </c>
      <c r="BB257" s="4" t="s">
        <v>4065</v>
      </c>
      <c r="BC257" s="4" t="s">
        <v>4067</v>
      </c>
      <c r="BD257" s="2" t="s">
        <v>60</v>
      </c>
      <c r="BE257" s="2" t="s">
        <v>88</v>
      </c>
      <c r="BF257" s="2" t="s">
        <v>88</v>
      </c>
    </row>
    <row r="258" spans="1:58" x14ac:dyDescent="0.2">
      <c r="A258" s="3" t="s">
        <v>4068</v>
      </c>
      <c r="B258" s="3" t="s">
        <v>4069</v>
      </c>
      <c r="C258" s="3" t="s">
        <v>60</v>
      </c>
      <c r="D258" s="3" t="s">
        <v>60</v>
      </c>
      <c r="E258" s="3" t="s">
        <v>60</v>
      </c>
      <c r="F258" s="3" t="s">
        <v>4070</v>
      </c>
      <c r="G258" s="3" t="s">
        <v>4071</v>
      </c>
      <c r="H258" s="3" t="s">
        <v>60</v>
      </c>
      <c r="I258" s="3" t="s">
        <v>60</v>
      </c>
      <c r="J258" s="3" t="s">
        <v>4072</v>
      </c>
      <c r="K258" s="3" t="s">
        <v>4068</v>
      </c>
      <c r="L258" s="3" t="s">
        <v>4073</v>
      </c>
      <c r="M258" s="3" t="s">
        <v>134</v>
      </c>
      <c r="N258" s="3" t="s">
        <v>638</v>
      </c>
      <c r="O258" s="3" t="s">
        <v>639</v>
      </c>
      <c r="P258" s="3" t="s">
        <v>1286</v>
      </c>
      <c r="Q258" s="3" t="s">
        <v>60</v>
      </c>
      <c r="R258" s="3" t="s">
        <v>4074</v>
      </c>
      <c r="S258" s="3" t="s">
        <v>96</v>
      </c>
      <c r="T258" s="17" t="s">
        <v>60</v>
      </c>
      <c r="U258" s="3" t="s">
        <v>97</v>
      </c>
      <c r="V258" s="3" t="s">
        <v>71</v>
      </c>
      <c r="W258" s="3" t="s">
        <v>98</v>
      </c>
      <c r="X258" s="9" t="str">
        <f>HYPERLINK("http://jadwa.com", "jadwa.com")</f>
        <v>jadwa.com</v>
      </c>
      <c r="Y258" s="9" t="str">
        <f>HYPERLINK("http://www.linkedin.com/company/jadwa-investment", "http://www.linkedin.com/company/jadwa-investment")</f>
        <v>http://www.linkedin.com/company/jadwa-investment</v>
      </c>
      <c r="Z258" s="29">
        <v>116</v>
      </c>
      <c r="AA258" s="3" t="s">
        <v>4075</v>
      </c>
      <c r="AB258" s="3" t="s">
        <v>74</v>
      </c>
      <c r="AC258" s="3" t="s">
        <v>4076</v>
      </c>
      <c r="AD258" s="41">
        <v>2006</v>
      </c>
      <c r="AE258" s="3" t="s">
        <v>60</v>
      </c>
      <c r="AF258" s="53">
        <v>13.42</v>
      </c>
      <c r="AG258" s="53" t="s">
        <v>60</v>
      </c>
      <c r="AH258" s="53">
        <v>7</v>
      </c>
      <c r="AI258" s="53" t="s">
        <v>60</v>
      </c>
      <c r="AJ258" s="53" t="s">
        <v>60</v>
      </c>
      <c r="AK258" s="53" t="s">
        <v>60</v>
      </c>
      <c r="AL258" s="53">
        <v>89.13</v>
      </c>
      <c r="AM258" s="53">
        <v>50.59</v>
      </c>
      <c r="AN258" s="65">
        <v>21.61</v>
      </c>
      <c r="AO258" s="5" t="s">
        <v>4077</v>
      </c>
      <c r="AP258" s="3" t="s">
        <v>4078</v>
      </c>
      <c r="AQ258" s="3" t="s">
        <v>4079</v>
      </c>
      <c r="AR258" s="3" t="s">
        <v>4080</v>
      </c>
      <c r="AS258" s="3" t="s">
        <v>4081</v>
      </c>
      <c r="AT258" s="3" t="s">
        <v>3934</v>
      </c>
      <c r="AU258" s="3" t="s">
        <v>106</v>
      </c>
      <c r="AV258" s="3" t="s">
        <v>4082</v>
      </c>
      <c r="AW258" s="3" t="s">
        <v>4083</v>
      </c>
      <c r="AX258" s="3" t="s">
        <v>109</v>
      </c>
      <c r="AY258" s="3" t="s">
        <v>60</v>
      </c>
      <c r="AZ258" s="5" t="s">
        <v>3936</v>
      </c>
      <c r="BA258" s="3" t="s">
        <v>87</v>
      </c>
      <c r="BB258" s="5" t="s">
        <v>3934</v>
      </c>
      <c r="BC258" s="5" t="s">
        <v>4084</v>
      </c>
      <c r="BD258" s="3" t="s">
        <v>4085</v>
      </c>
      <c r="BE258" s="3" t="s">
        <v>88</v>
      </c>
      <c r="BF258" s="3" t="s">
        <v>88</v>
      </c>
    </row>
    <row r="259" spans="1:58" x14ac:dyDescent="0.2">
      <c r="A259" s="2" t="s">
        <v>4086</v>
      </c>
      <c r="B259" s="2" t="s">
        <v>4087</v>
      </c>
      <c r="C259" s="2" t="s">
        <v>60</v>
      </c>
      <c r="D259" s="2" t="s">
        <v>60</v>
      </c>
      <c r="E259" s="2" t="s">
        <v>60</v>
      </c>
      <c r="F259" s="2" t="s">
        <v>60</v>
      </c>
      <c r="G259" s="2" t="s">
        <v>4088</v>
      </c>
      <c r="H259" s="2" t="s">
        <v>60</v>
      </c>
      <c r="I259" s="2" t="s">
        <v>60</v>
      </c>
      <c r="J259" s="2" t="s">
        <v>60</v>
      </c>
      <c r="K259" s="2" t="s">
        <v>4086</v>
      </c>
      <c r="L259" s="2" t="s">
        <v>4089</v>
      </c>
      <c r="M259" s="2" t="s">
        <v>115</v>
      </c>
      <c r="N259" s="2" t="s">
        <v>275</v>
      </c>
      <c r="O259" s="2" t="s">
        <v>1762</v>
      </c>
      <c r="P259" s="2" t="s">
        <v>4090</v>
      </c>
      <c r="Q259" s="2" t="s">
        <v>60</v>
      </c>
      <c r="R259" s="2" t="s">
        <v>4091</v>
      </c>
      <c r="S259" s="2" t="s">
        <v>96</v>
      </c>
      <c r="T259" s="16" t="s">
        <v>60</v>
      </c>
      <c r="U259" s="2" t="s">
        <v>97</v>
      </c>
      <c r="V259" s="2" t="s">
        <v>71</v>
      </c>
      <c r="W259" s="2" t="s">
        <v>98</v>
      </c>
      <c r="X259" s="8" t="str">
        <f>HYPERLINK("http://abomoati.com", "abomoati.com")</f>
        <v>abomoati.com</v>
      </c>
      <c r="Y259" s="2" t="s">
        <v>60</v>
      </c>
      <c r="Z259" s="28">
        <v>219</v>
      </c>
      <c r="AA259" s="2" t="s">
        <v>4092</v>
      </c>
      <c r="AB259" s="2" t="s">
        <v>74</v>
      </c>
      <c r="AC259" s="2" t="s">
        <v>4093</v>
      </c>
      <c r="AD259" s="40">
        <v>1994</v>
      </c>
      <c r="AE259" s="2" t="s">
        <v>60</v>
      </c>
      <c r="AF259" s="52">
        <v>71.33</v>
      </c>
      <c r="AG259" s="52">
        <v>22.53</v>
      </c>
      <c r="AH259" s="52">
        <v>6.96</v>
      </c>
      <c r="AI259" s="52">
        <v>254.61</v>
      </c>
      <c r="AJ259" s="52">
        <v>10.99</v>
      </c>
      <c r="AK259" s="52">
        <v>7.71</v>
      </c>
      <c r="AL259" s="52">
        <v>239.83</v>
      </c>
      <c r="AM259" s="52">
        <v>13.53</v>
      </c>
      <c r="AN259" s="64">
        <v>-0.84</v>
      </c>
      <c r="AO259" s="4" t="s">
        <v>2522</v>
      </c>
      <c r="AP259" s="2" t="s">
        <v>4094</v>
      </c>
      <c r="AQ259" s="2" t="s">
        <v>4095</v>
      </c>
      <c r="AR259" s="2" t="s">
        <v>4096</v>
      </c>
      <c r="AS259" s="2" t="s">
        <v>60</v>
      </c>
      <c r="AT259" s="2" t="s">
        <v>4097</v>
      </c>
      <c r="AU259" s="2" t="s">
        <v>106</v>
      </c>
      <c r="AV259" s="2" t="s">
        <v>4098</v>
      </c>
      <c r="AW259" s="2" t="s">
        <v>60</v>
      </c>
      <c r="AX259" s="2" t="s">
        <v>109</v>
      </c>
      <c r="AY259" s="2" t="s">
        <v>60</v>
      </c>
      <c r="AZ259" s="4" t="s">
        <v>2302</v>
      </c>
      <c r="BA259" s="2" t="s">
        <v>87</v>
      </c>
      <c r="BB259" s="4" t="s">
        <v>4097</v>
      </c>
      <c r="BC259" s="4" t="s">
        <v>4099</v>
      </c>
      <c r="BD259" s="2" t="s">
        <v>4100</v>
      </c>
      <c r="BE259" s="2" t="s">
        <v>88</v>
      </c>
      <c r="BF259" s="2" t="s">
        <v>88</v>
      </c>
    </row>
    <row r="260" spans="1:58" x14ac:dyDescent="0.2">
      <c r="A260" s="3" t="s">
        <v>4101</v>
      </c>
      <c r="B260" s="3" t="s">
        <v>4102</v>
      </c>
      <c r="C260" s="3" t="s">
        <v>60</v>
      </c>
      <c r="D260" s="3" t="s">
        <v>60</v>
      </c>
      <c r="E260" s="3" t="s">
        <v>4103</v>
      </c>
      <c r="F260" s="3" t="s">
        <v>60</v>
      </c>
      <c r="G260" s="3" t="s">
        <v>4104</v>
      </c>
      <c r="H260" s="3" t="s">
        <v>60</v>
      </c>
      <c r="I260" s="3" t="s">
        <v>60</v>
      </c>
      <c r="J260" s="3" t="s">
        <v>60</v>
      </c>
      <c r="K260" s="3" t="s">
        <v>4101</v>
      </c>
      <c r="L260" s="3" t="s">
        <v>4105</v>
      </c>
      <c r="M260" s="3" t="s">
        <v>115</v>
      </c>
      <c r="N260" s="3" t="s">
        <v>2794</v>
      </c>
      <c r="O260" s="3" t="s">
        <v>2795</v>
      </c>
      <c r="P260" s="3" t="s">
        <v>4106</v>
      </c>
      <c r="Q260" s="3" t="s">
        <v>60</v>
      </c>
      <c r="R260" s="3" t="s">
        <v>4107</v>
      </c>
      <c r="S260" s="3" t="s">
        <v>96</v>
      </c>
      <c r="T260" s="17">
        <v>8.9499999999999993</v>
      </c>
      <c r="U260" s="3" t="s">
        <v>1516</v>
      </c>
      <c r="V260" s="3" t="s">
        <v>71</v>
      </c>
      <c r="W260" s="3" t="s">
        <v>98</v>
      </c>
      <c r="X260" s="9" t="str">
        <f>HYPERLINK("http://www.alomranco.com", "www.alomranco.com")</f>
        <v>www.alomranco.com</v>
      </c>
      <c r="Y260" s="9" t="str">
        <f>HYPERLINK("http://www.linkedin.com/company/شركة-العمران-للصناعة-والتجارة", "http://www.linkedin.com/company/شركة-العمران-للصناعة-والتجارة")</f>
        <v>http://www.linkedin.com/company/شركة-العمران-للصناعة-والتجارة</v>
      </c>
      <c r="Z260" s="29" t="s">
        <v>60</v>
      </c>
      <c r="AA260" s="3" t="s">
        <v>60</v>
      </c>
      <c r="AB260" s="3" t="s">
        <v>74</v>
      </c>
      <c r="AC260" s="3" t="s">
        <v>4108</v>
      </c>
      <c r="AD260" s="41">
        <v>2003</v>
      </c>
      <c r="AE260" s="3" t="s">
        <v>60</v>
      </c>
      <c r="AF260" s="53">
        <v>32.51</v>
      </c>
      <c r="AG260" s="53">
        <v>8.1</v>
      </c>
      <c r="AH260" s="53">
        <v>-0.85</v>
      </c>
      <c r="AI260" s="53">
        <v>110.58</v>
      </c>
      <c r="AJ260" s="53">
        <v>2.92</v>
      </c>
      <c r="AK260" s="53">
        <v>1.42</v>
      </c>
      <c r="AL260" s="53">
        <v>79.91</v>
      </c>
      <c r="AM260" s="53">
        <v>11.24</v>
      </c>
      <c r="AN260" s="65">
        <v>-12.22</v>
      </c>
      <c r="AO260" s="5" t="s">
        <v>179</v>
      </c>
      <c r="AP260" s="3" t="s">
        <v>4109</v>
      </c>
      <c r="AQ260" s="3" t="s">
        <v>4110</v>
      </c>
      <c r="AR260" s="3" t="s">
        <v>4111</v>
      </c>
      <c r="AS260" s="3" t="s">
        <v>60</v>
      </c>
      <c r="AT260" s="3" t="s">
        <v>4112</v>
      </c>
      <c r="AU260" s="3" t="s">
        <v>106</v>
      </c>
      <c r="AV260" s="3" t="s">
        <v>1139</v>
      </c>
      <c r="AW260" s="3" t="s">
        <v>4113</v>
      </c>
      <c r="AX260" s="3" t="s">
        <v>109</v>
      </c>
      <c r="AY260" s="3" t="s">
        <v>60</v>
      </c>
      <c r="AZ260" s="5" t="s">
        <v>4114</v>
      </c>
      <c r="BA260" s="3" t="s">
        <v>87</v>
      </c>
      <c r="BB260" s="5" t="s">
        <v>4112</v>
      </c>
      <c r="BC260" s="5" t="s">
        <v>4115</v>
      </c>
      <c r="BD260" s="3" t="s">
        <v>4116</v>
      </c>
      <c r="BE260" s="3" t="s">
        <v>88</v>
      </c>
      <c r="BF260" s="3" t="s">
        <v>88</v>
      </c>
    </row>
    <row r="261" spans="1:58" x14ac:dyDescent="0.2">
      <c r="A261" s="2" t="s">
        <v>4117</v>
      </c>
      <c r="B261" s="2" t="s">
        <v>4118</v>
      </c>
      <c r="C261" s="2" t="s">
        <v>60</v>
      </c>
      <c r="D261" s="2" t="s">
        <v>60</v>
      </c>
      <c r="E261" s="2" t="s">
        <v>60</v>
      </c>
      <c r="F261" s="2" t="s">
        <v>60</v>
      </c>
      <c r="G261" s="2" t="s">
        <v>4119</v>
      </c>
      <c r="H261" s="2" t="s">
        <v>60</v>
      </c>
      <c r="I261" s="2" t="s">
        <v>60</v>
      </c>
      <c r="J261" s="2" t="s">
        <v>60</v>
      </c>
      <c r="K261" s="2" t="s">
        <v>4117</v>
      </c>
      <c r="L261" s="2" t="s">
        <v>4120</v>
      </c>
      <c r="M261" s="2" t="s">
        <v>485</v>
      </c>
      <c r="N261" s="2" t="s">
        <v>486</v>
      </c>
      <c r="O261" s="2" t="s">
        <v>616</v>
      </c>
      <c r="P261" s="2" t="s">
        <v>4121</v>
      </c>
      <c r="Q261" s="2" t="s">
        <v>60</v>
      </c>
      <c r="R261" s="2" t="s">
        <v>4122</v>
      </c>
      <c r="S261" s="2" t="s">
        <v>96</v>
      </c>
      <c r="T261" s="16">
        <v>5.86</v>
      </c>
      <c r="U261" s="2" t="s">
        <v>1516</v>
      </c>
      <c r="V261" s="2" t="s">
        <v>71</v>
      </c>
      <c r="W261" s="2" t="s">
        <v>98</v>
      </c>
      <c r="X261" s="8" t="str">
        <f>HYPERLINK("http://www.arabsea.com", "www.arabsea.com")</f>
        <v>www.arabsea.com</v>
      </c>
      <c r="Y261" s="8" t="str">
        <f>HYPERLINK("http://www.linkedin.com/company/arabseaco", "http://www.linkedin.com/company/arabseaco")</f>
        <v>http://www.linkedin.com/company/arabseaco</v>
      </c>
      <c r="Z261" s="28" t="s">
        <v>60</v>
      </c>
      <c r="AA261" s="2" t="s">
        <v>60</v>
      </c>
      <c r="AB261" s="2" t="s">
        <v>74</v>
      </c>
      <c r="AC261" s="2" t="s">
        <v>4123</v>
      </c>
      <c r="AD261" s="40">
        <v>1980</v>
      </c>
      <c r="AE261" s="2" t="s">
        <v>60</v>
      </c>
      <c r="AF261" s="52">
        <v>13.26</v>
      </c>
      <c r="AG261" s="52">
        <v>6</v>
      </c>
      <c r="AH261" s="52">
        <v>-3.22</v>
      </c>
      <c r="AI261" s="52">
        <v>156.72</v>
      </c>
      <c r="AJ261" s="52">
        <v>1.32</v>
      </c>
      <c r="AK261" s="52">
        <v>-3</v>
      </c>
      <c r="AL261" s="52">
        <v>111.07</v>
      </c>
      <c r="AM261" s="52">
        <v>13.43</v>
      </c>
      <c r="AN261" s="64">
        <v>6.4</v>
      </c>
      <c r="AO261" s="4" t="s">
        <v>179</v>
      </c>
      <c r="AP261" s="2" t="s">
        <v>4124</v>
      </c>
      <c r="AQ261" s="2" t="s">
        <v>4125</v>
      </c>
      <c r="AR261" s="2" t="s">
        <v>299</v>
      </c>
      <c r="AS261" s="2" t="s">
        <v>4126</v>
      </c>
      <c r="AT261" s="2" t="s">
        <v>4127</v>
      </c>
      <c r="AU261" s="2" t="s">
        <v>106</v>
      </c>
      <c r="AV261" s="2" t="s">
        <v>4128</v>
      </c>
      <c r="AW261" s="2" t="s">
        <v>60</v>
      </c>
      <c r="AX261" s="2" t="s">
        <v>109</v>
      </c>
      <c r="AY261" s="2" t="s">
        <v>60</v>
      </c>
      <c r="AZ261" s="4" t="s">
        <v>4129</v>
      </c>
      <c r="BA261" s="2" t="s">
        <v>87</v>
      </c>
      <c r="BB261" s="4" t="s">
        <v>4127</v>
      </c>
      <c r="BC261" s="4" t="s">
        <v>4130</v>
      </c>
      <c r="BD261" s="2" t="s">
        <v>4131</v>
      </c>
      <c r="BE261" s="2" t="s">
        <v>88</v>
      </c>
      <c r="BF261" s="2" t="s">
        <v>88</v>
      </c>
    </row>
    <row r="262" spans="1:58" x14ac:dyDescent="0.2">
      <c r="A262" s="3" t="s">
        <v>4132</v>
      </c>
      <c r="B262" s="3" t="s">
        <v>4133</v>
      </c>
      <c r="C262" s="3" t="s">
        <v>60</v>
      </c>
      <c r="D262" s="3" t="s">
        <v>60</v>
      </c>
      <c r="E262" s="3" t="s">
        <v>60</v>
      </c>
      <c r="F262" s="3" t="s">
        <v>60</v>
      </c>
      <c r="G262" s="3" t="s">
        <v>4134</v>
      </c>
      <c r="H262" s="3" t="s">
        <v>60</v>
      </c>
      <c r="I262" s="3" t="s">
        <v>60</v>
      </c>
      <c r="J262" s="3" t="s">
        <v>60</v>
      </c>
      <c r="K262" s="3" t="s">
        <v>4132</v>
      </c>
      <c r="L262" s="3" t="s">
        <v>4135</v>
      </c>
      <c r="M262" s="3" t="s">
        <v>63</v>
      </c>
      <c r="N262" s="3" t="s">
        <v>64</v>
      </c>
      <c r="O262" s="3" t="s">
        <v>1128</v>
      </c>
      <c r="P262" s="3" t="s">
        <v>4136</v>
      </c>
      <c r="Q262" s="3" t="s">
        <v>60</v>
      </c>
      <c r="R262" s="3" t="s">
        <v>4137</v>
      </c>
      <c r="S262" s="3" t="s">
        <v>96</v>
      </c>
      <c r="T262" s="17">
        <v>31.56</v>
      </c>
      <c r="U262" s="3" t="s">
        <v>97</v>
      </c>
      <c r="V262" s="3" t="s">
        <v>71</v>
      </c>
      <c r="W262" s="3" t="s">
        <v>98</v>
      </c>
      <c r="X262" s="9" t="str">
        <f>HYPERLINK("http://www.baazeem.com", "www.baazeem.com")</f>
        <v>www.baazeem.com</v>
      </c>
      <c r="Y262" s="3" t="s">
        <v>60</v>
      </c>
      <c r="Z262" s="29" t="s">
        <v>60</v>
      </c>
      <c r="AA262" s="3" t="s">
        <v>60</v>
      </c>
      <c r="AB262" s="3" t="s">
        <v>74</v>
      </c>
      <c r="AC262" s="3" t="s">
        <v>4138</v>
      </c>
      <c r="AD262" s="41">
        <v>1978</v>
      </c>
      <c r="AE262" s="3" t="s">
        <v>60</v>
      </c>
      <c r="AF262" s="53">
        <v>72.12</v>
      </c>
      <c r="AG262" s="53">
        <v>27.93</v>
      </c>
      <c r="AH262" s="53">
        <v>6.66</v>
      </c>
      <c r="AI262" s="53">
        <v>167.05</v>
      </c>
      <c r="AJ262" s="53">
        <v>9.09</v>
      </c>
      <c r="AK262" s="53">
        <v>8.14</v>
      </c>
      <c r="AL262" s="53">
        <v>166.13</v>
      </c>
      <c r="AM262" s="53">
        <v>-4.66</v>
      </c>
      <c r="AN262" s="65">
        <v>6.38</v>
      </c>
      <c r="AO262" s="5" t="s">
        <v>179</v>
      </c>
      <c r="AP262" s="3" t="s">
        <v>4139</v>
      </c>
      <c r="AQ262" s="3" t="s">
        <v>4140</v>
      </c>
      <c r="AR262" s="3" t="s">
        <v>124</v>
      </c>
      <c r="AS262" s="3" t="s">
        <v>4141</v>
      </c>
      <c r="AT262" s="3" t="s">
        <v>4142</v>
      </c>
      <c r="AU262" s="3" t="s">
        <v>106</v>
      </c>
      <c r="AV262" s="3" t="s">
        <v>4143</v>
      </c>
      <c r="AW262" s="3" t="s">
        <v>4144</v>
      </c>
      <c r="AX262" s="3" t="s">
        <v>109</v>
      </c>
      <c r="AY262" s="3" t="s">
        <v>60</v>
      </c>
      <c r="AZ262" s="5" t="s">
        <v>60</v>
      </c>
      <c r="BA262" s="3" t="s">
        <v>87</v>
      </c>
      <c r="BB262" s="5" t="s">
        <v>4142</v>
      </c>
      <c r="BC262" s="5" t="s">
        <v>4142</v>
      </c>
      <c r="BD262" s="3" t="s">
        <v>4145</v>
      </c>
      <c r="BE262" s="3" t="s">
        <v>88</v>
      </c>
      <c r="BF262" s="3" t="s">
        <v>88</v>
      </c>
    </row>
    <row r="263" spans="1:58" x14ac:dyDescent="0.2">
      <c r="A263" s="2" t="s">
        <v>4146</v>
      </c>
      <c r="B263" s="2" t="s">
        <v>4147</v>
      </c>
      <c r="C263" s="2" t="s">
        <v>60</v>
      </c>
      <c r="D263" s="2" t="s">
        <v>60</v>
      </c>
      <c r="E263" s="2" t="s">
        <v>60</v>
      </c>
      <c r="F263" s="2" t="s">
        <v>60</v>
      </c>
      <c r="G263" s="2" t="s">
        <v>4148</v>
      </c>
      <c r="H263" s="2" t="s">
        <v>60</v>
      </c>
      <c r="I263" s="2" t="s">
        <v>60</v>
      </c>
      <c r="J263" s="2" t="s">
        <v>60</v>
      </c>
      <c r="K263" s="2" t="s">
        <v>4146</v>
      </c>
      <c r="L263" s="2" t="s">
        <v>4149</v>
      </c>
      <c r="M263" s="2" t="s">
        <v>115</v>
      </c>
      <c r="N263" s="2" t="s">
        <v>368</v>
      </c>
      <c r="O263" s="2" t="s">
        <v>470</v>
      </c>
      <c r="P263" s="2" t="s">
        <v>4150</v>
      </c>
      <c r="Q263" s="2" t="s">
        <v>60</v>
      </c>
      <c r="R263" s="2" t="s">
        <v>4151</v>
      </c>
      <c r="S263" s="2" t="s">
        <v>96</v>
      </c>
      <c r="T263" s="16">
        <v>4.33</v>
      </c>
      <c r="U263" s="2" t="s">
        <v>97</v>
      </c>
      <c r="V263" s="2" t="s">
        <v>71</v>
      </c>
      <c r="W263" s="2" t="s">
        <v>98</v>
      </c>
      <c r="X263" s="8" t="str">
        <f>HYPERLINK("http://www.dwf.com.sa", "www.dwf.com.sa")</f>
        <v>www.dwf.com.sa</v>
      </c>
      <c r="Y263" s="8" t="str">
        <f>HYPERLINK("http://www.linkedin.com/company/dwfksa", "http://www.linkedin.com/company/dwfksa")</f>
        <v>http://www.linkedin.com/company/dwfksa</v>
      </c>
      <c r="Z263" s="28">
        <v>504</v>
      </c>
      <c r="AA263" s="2" t="s">
        <v>4152</v>
      </c>
      <c r="AB263" s="2" t="s">
        <v>74</v>
      </c>
      <c r="AC263" s="2" t="s">
        <v>4153</v>
      </c>
      <c r="AD263" s="40">
        <v>2010</v>
      </c>
      <c r="AE263" s="2" t="s">
        <v>60</v>
      </c>
      <c r="AF263" s="52">
        <v>27.73</v>
      </c>
      <c r="AG263" s="52">
        <v>2.0699999999999998</v>
      </c>
      <c r="AH263" s="52">
        <v>0.37</v>
      </c>
      <c r="AI263" s="52">
        <v>109.69</v>
      </c>
      <c r="AJ263" s="52">
        <v>5.65</v>
      </c>
      <c r="AK263" s="52">
        <v>0.63</v>
      </c>
      <c r="AL263" s="52">
        <v>84.7</v>
      </c>
      <c r="AM263" s="52">
        <v>7.74</v>
      </c>
      <c r="AN263" s="64">
        <v>10.88</v>
      </c>
      <c r="AO263" s="4" t="s">
        <v>179</v>
      </c>
      <c r="AP263" s="2" t="s">
        <v>4154</v>
      </c>
      <c r="AQ263" s="2" t="s">
        <v>4155</v>
      </c>
      <c r="AR263" s="2" t="s">
        <v>4096</v>
      </c>
      <c r="AS263" s="2" t="s">
        <v>60</v>
      </c>
      <c r="AT263" s="2" t="s">
        <v>4156</v>
      </c>
      <c r="AU263" s="2" t="s">
        <v>106</v>
      </c>
      <c r="AV263" s="2" t="s">
        <v>4157</v>
      </c>
      <c r="AW263" s="2" t="s">
        <v>60</v>
      </c>
      <c r="AX263" s="2" t="s">
        <v>109</v>
      </c>
      <c r="AY263" s="2" t="s">
        <v>60</v>
      </c>
      <c r="AZ263" s="4" t="s">
        <v>4158</v>
      </c>
      <c r="BA263" s="2" t="s">
        <v>87</v>
      </c>
      <c r="BB263" s="4" t="s">
        <v>4156</v>
      </c>
      <c r="BC263" s="4" t="s">
        <v>4159</v>
      </c>
      <c r="BD263" s="2" t="s">
        <v>4160</v>
      </c>
      <c r="BE263" s="2" t="s">
        <v>88</v>
      </c>
      <c r="BF263" s="2" t="s">
        <v>88</v>
      </c>
    </row>
    <row r="264" spans="1:58" x14ac:dyDescent="0.2">
      <c r="A264" s="3" t="s">
        <v>4161</v>
      </c>
      <c r="B264" s="3" t="s">
        <v>4162</v>
      </c>
      <c r="C264" s="3" t="s">
        <v>60</v>
      </c>
      <c r="D264" s="3" t="s">
        <v>60</v>
      </c>
      <c r="E264" s="3" t="s">
        <v>60</v>
      </c>
      <c r="F264" s="3" t="s">
        <v>60</v>
      </c>
      <c r="G264" s="3" t="s">
        <v>4163</v>
      </c>
      <c r="H264" s="3" t="s">
        <v>60</v>
      </c>
      <c r="I264" s="3" t="s">
        <v>60</v>
      </c>
      <c r="J264" s="3" t="s">
        <v>60</v>
      </c>
      <c r="K264" s="3" t="s">
        <v>4161</v>
      </c>
      <c r="L264" s="3" t="s">
        <v>4164</v>
      </c>
      <c r="M264" s="3" t="s">
        <v>115</v>
      </c>
      <c r="N264" s="3" t="s">
        <v>368</v>
      </c>
      <c r="O264" s="3" t="s">
        <v>470</v>
      </c>
      <c r="P264" s="3" t="s">
        <v>471</v>
      </c>
      <c r="Q264" s="3" t="s">
        <v>60</v>
      </c>
      <c r="R264" s="3" t="s">
        <v>4165</v>
      </c>
      <c r="S264" s="3" t="s">
        <v>96</v>
      </c>
      <c r="T264" s="17">
        <v>57.54</v>
      </c>
      <c r="U264" s="3" t="s">
        <v>1516</v>
      </c>
      <c r="V264" s="3" t="s">
        <v>71</v>
      </c>
      <c r="W264" s="3" t="s">
        <v>98</v>
      </c>
      <c r="X264" s="9" t="str">
        <f>HYPERLINK("http://www.raydan.com.sa", "www.raydan.com.sa")</f>
        <v>www.raydan.com.sa</v>
      </c>
      <c r="Y264" s="3" t="s">
        <v>60</v>
      </c>
      <c r="Z264" s="29" t="s">
        <v>60</v>
      </c>
      <c r="AA264" s="3" t="s">
        <v>60</v>
      </c>
      <c r="AB264" s="3" t="s">
        <v>74</v>
      </c>
      <c r="AC264" s="3" t="s">
        <v>4166</v>
      </c>
      <c r="AD264" s="41">
        <v>1989</v>
      </c>
      <c r="AE264" s="3" t="s">
        <v>60</v>
      </c>
      <c r="AF264" s="53">
        <v>33.82</v>
      </c>
      <c r="AG264" s="53">
        <v>-3.22</v>
      </c>
      <c r="AH264" s="53">
        <v>-22.34</v>
      </c>
      <c r="AI264" s="53">
        <v>74.55</v>
      </c>
      <c r="AJ264" s="53">
        <v>-16.91</v>
      </c>
      <c r="AK264" s="53">
        <v>-21.67</v>
      </c>
      <c r="AL264" s="53">
        <v>40.99</v>
      </c>
      <c r="AM264" s="53">
        <v>13.02</v>
      </c>
      <c r="AN264" s="65">
        <v>-18.54</v>
      </c>
      <c r="AO264" s="5" t="s">
        <v>179</v>
      </c>
      <c r="AP264" s="3" t="s">
        <v>4167</v>
      </c>
      <c r="AQ264" s="3" t="s">
        <v>4168</v>
      </c>
      <c r="AR264" s="3" t="s">
        <v>124</v>
      </c>
      <c r="AS264" s="3" t="s">
        <v>4169</v>
      </c>
      <c r="AT264" s="3" t="s">
        <v>4170</v>
      </c>
      <c r="AU264" s="3" t="s">
        <v>82</v>
      </c>
      <c r="AV264" s="3" t="s">
        <v>4171</v>
      </c>
      <c r="AW264" s="3" t="s">
        <v>4172</v>
      </c>
      <c r="AX264" s="3" t="s">
        <v>85</v>
      </c>
      <c r="AY264" s="3" t="s">
        <v>60</v>
      </c>
      <c r="AZ264" s="5" t="s">
        <v>4173</v>
      </c>
      <c r="BA264" s="3" t="s">
        <v>87</v>
      </c>
      <c r="BB264" s="5" t="s">
        <v>4170</v>
      </c>
      <c r="BC264" s="5" t="s">
        <v>4174</v>
      </c>
      <c r="BD264" s="3" t="s">
        <v>4175</v>
      </c>
      <c r="BE264" s="3" t="s">
        <v>88</v>
      </c>
      <c r="BF264" s="3" t="s">
        <v>88</v>
      </c>
    </row>
    <row r="265" spans="1:58" x14ac:dyDescent="0.2">
      <c r="A265" s="2" t="s">
        <v>4176</v>
      </c>
      <c r="B265" s="2" t="s">
        <v>4177</v>
      </c>
      <c r="C265" s="2" t="s">
        <v>60</v>
      </c>
      <c r="D265" s="2" t="s">
        <v>60</v>
      </c>
      <c r="E265" s="2" t="s">
        <v>4178</v>
      </c>
      <c r="F265" s="2" t="s">
        <v>60</v>
      </c>
      <c r="G265" s="2" t="s">
        <v>4179</v>
      </c>
      <c r="H265" s="2" t="s">
        <v>60</v>
      </c>
      <c r="I265" s="2" t="s">
        <v>60</v>
      </c>
      <c r="J265" s="2" t="s">
        <v>60</v>
      </c>
      <c r="K265" s="2" t="s">
        <v>4176</v>
      </c>
      <c r="L265" s="2" t="s">
        <v>4180</v>
      </c>
      <c r="M265" s="2" t="s">
        <v>63</v>
      </c>
      <c r="N265" s="2" t="s">
        <v>92</v>
      </c>
      <c r="O265" s="2" t="s">
        <v>93</v>
      </c>
      <c r="P265" s="2" t="s">
        <v>94</v>
      </c>
      <c r="Q265" s="2" t="s">
        <v>60</v>
      </c>
      <c r="R265" s="2" t="s">
        <v>4181</v>
      </c>
      <c r="S265" s="2" t="s">
        <v>96</v>
      </c>
      <c r="T265" s="16" t="s">
        <v>60</v>
      </c>
      <c r="U265" s="2" t="s">
        <v>1516</v>
      </c>
      <c r="V265" s="2" t="s">
        <v>71</v>
      </c>
      <c r="W265" s="2" t="s">
        <v>98</v>
      </c>
      <c r="X265" s="8" t="str">
        <f>HYPERLINK("http://www.sgp.com.sa", "www.sgp.com.sa")</f>
        <v>www.sgp.com.sa</v>
      </c>
      <c r="Y265" s="8" t="str">
        <f>HYPERLINK("http://www.linkedin.com/company/sadrlogistics/", "http://www.linkedin.com/company/sadrlogistics/")</f>
        <v>http://www.linkedin.com/company/sadrlogistics/</v>
      </c>
      <c r="Z265" s="28" t="s">
        <v>60</v>
      </c>
      <c r="AA265" s="2" t="s">
        <v>60</v>
      </c>
      <c r="AB265" s="2" t="s">
        <v>74</v>
      </c>
      <c r="AC265" s="2" t="s">
        <v>4182</v>
      </c>
      <c r="AD265" s="40">
        <v>2016</v>
      </c>
      <c r="AE265" s="2" t="s">
        <v>60</v>
      </c>
      <c r="AF265" s="52">
        <v>35.520000000000003</v>
      </c>
      <c r="AG265" s="52">
        <v>9.42</v>
      </c>
      <c r="AH265" s="52">
        <v>-0.49</v>
      </c>
      <c r="AI265" s="52">
        <v>153.88</v>
      </c>
      <c r="AJ265" s="52">
        <v>5.43</v>
      </c>
      <c r="AK265" s="52">
        <v>0.61</v>
      </c>
      <c r="AL265" s="52">
        <v>130.52000000000001</v>
      </c>
      <c r="AM265" s="52">
        <v>18.02</v>
      </c>
      <c r="AN265" s="64">
        <v>28.41</v>
      </c>
      <c r="AO265" s="4" t="s">
        <v>179</v>
      </c>
      <c r="AP265" s="2" t="s">
        <v>4183</v>
      </c>
      <c r="AQ265" s="2" t="s">
        <v>4184</v>
      </c>
      <c r="AR265" s="2" t="s">
        <v>124</v>
      </c>
      <c r="AS265" s="2" t="s">
        <v>60</v>
      </c>
      <c r="AT265" s="2" t="s">
        <v>4185</v>
      </c>
      <c r="AU265" s="2" t="s">
        <v>106</v>
      </c>
      <c r="AV265" s="2" t="s">
        <v>4186</v>
      </c>
      <c r="AW265" s="2" t="s">
        <v>4187</v>
      </c>
      <c r="AX265" s="2" t="s">
        <v>109</v>
      </c>
      <c r="AY265" s="2" t="s">
        <v>60</v>
      </c>
      <c r="AZ265" s="4" t="s">
        <v>60</v>
      </c>
      <c r="BA265" s="2" t="s">
        <v>87</v>
      </c>
      <c r="BB265" s="4" t="s">
        <v>4185</v>
      </c>
      <c r="BC265" s="4" t="s">
        <v>4185</v>
      </c>
      <c r="BD265" s="2" t="s">
        <v>60</v>
      </c>
      <c r="BE265" s="2" t="s">
        <v>88</v>
      </c>
      <c r="BF265" s="2" t="s">
        <v>88</v>
      </c>
    </row>
    <row r="266" spans="1:58" x14ac:dyDescent="0.2">
      <c r="A266" s="3" t="s">
        <v>4188</v>
      </c>
      <c r="B266" s="3" t="s">
        <v>4189</v>
      </c>
      <c r="C266" s="3" t="s">
        <v>60</v>
      </c>
      <c r="D266" s="3" t="s">
        <v>60</v>
      </c>
      <c r="E266" s="3" t="s">
        <v>4190</v>
      </c>
      <c r="F266" s="3" t="s">
        <v>60</v>
      </c>
      <c r="G266" s="3" t="s">
        <v>4191</v>
      </c>
      <c r="H266" s="3" t="s">
        <v>60</v>
      </c>
      <c r="I266" s="3" t="s">
        <v>60</v>
      </c>
      <c r="J266" s="3" t="s">
        <v>60</v>
      </c>
      <c r="K266" s="3" t="s">
        <v>4188</v>
      </c>
      <c r="L266" s="3" t="s">
        <v>4192</v>
      </c>
      <c r="M266" s="3" t="s">
        <v>134</v>
      </c>
      <c r="N266" s="3" t="s">
        <v>135</v>
      </c>
      <c r="O266" s="3" t="s">
        <v>2275</v>
      </c>
      <c r="P266" s="3" t="s">
        <v>2276</v>
      </c>
      <c r="Q266" s="3" t="s">
        <v>60</v>
      </c>
      <c r="R266" s="3" t="s">
        <v>4193</v>
      </c>
      <c r="S266" s="3" t="s">
        <v>96</v>
      </c>
      <c r="T266" s="17" t="s">
        <v>60</v>
      </c>
      <c r="U266" s="3" t="s">
        <v>97</v>
      </c>
      <c r="V266" s="3" t="s">
        <v>71</v>
      </c>
      <c r="W266" s="3" t="s">
        <v>98</v>
      </c>
      <c r="X266" s="3" t="s">
        <v>60</v>
      </c>
      <c r="Y266" s="3" t="s">
        <v>60</v>
      </c>
      <c r="Z266" s="29" t="s">
        <v>60</v>
      </c>
      <c r="AA266" s="3" t="s">
        <v>60</v>
      </c>
      <c r="AB266" s="3" t="s">
        <v>74</v>
      </c>
      <c r="AC266" s="3" t="s">
        <v>4194</v>
      </c>
      <c r="AD266" s="41">
        <v>2017</v>
      </c>
      <c r="AE266" s="3" t="s">
        <v>60</v>
      </c>
      <c r="AF266" s="53">
        <v>1.82</v>
      </c>
      <c r="AG266" s="53">
        <v>1.54</v>
      </c>
      <c r="AH266" s="53">
        <v>0.75</v>
      </c>
      <c r="AI266" s="53">
        <v>44.01</v>
      </c>
      <c r="AJ266" s="53">
        <v>1</v>
      </c>
      <c r="AK266" s="53">
        <v>0.75</v>
      </c>
      <c r="AL266" s="53">
        <v>36.869999999999997</v>
      </c>
      <c r="AM266" s="53">
        <v>-0.66</v>
      </c>
      <c r="AN266" s="65">
        <v>12.57</v>
      </c>
      <c r="AO266" s="5" t="s">
        <v>76</v>
      </c>
      <c r="AP266" s="3" t="s">
        <v>60</v>
      </c>
      <c r="AQ266" s="3" t="s">
        <v>60</v>
      </c>
      <c r="AR266" s="3" t="s">
        <v>60</v>
      </c>
      <c r="AS266" s="3" t="s">
        <v>60</v>
      </c>
      <c r="AT266" s="3" t="s">
        <v>60</v>
      </c>
      <c r="AU266" s="3" t="s">
        <v>106</v>
      </c>
      <c r="AV266" s="3" t="s">
        <v>4195</v>
      </c>
      <c r="AW266" s="3" t="s">
        <v>2329</v>
      </c>
      <c r="AX266" s="3" t="s">
        <v>109</v>
      </c>
      <c r="AY266" s="3" t="s">
        <v>60</v>
      </c>
      <c r="AZ266" s="5" t="s">
        <v>2880</v>
      </c>
      <c r="BA266" s="3" t="s">
        <v>87</v>
      </c>
      <c r="BB266" s="5" t="s">
        <v>4196</v>
      </c>
      <c r="BC266" s="5" t="s">
        <v>4197</v>
      </c>
      <c r="BD266" s="3" t="s">
        <v>60</v>
      </c>
      <c r="BE266" s="3" t="s">
        <v>88</v>
      </c>
      <c r="BF266" s="3" t="s">
        <v>88</v>
      </c>
    </row>
    <row r="267" spans="1:58" x14ac:dyDescent="0.2">
      <c r="A267" s="2" t="s">
        <v>4198</v>
      </c>
      <c r="B267" s="2" t="s">
        <v>4199</v>
      </c>
      <c r="C267" s="2" t="s">
        <v>60</v>
      </c>
      <c r="D267" s="2" t="s">
        <v>60</v>
      </c>
      <c r="E267" s="2" t="s">
        <v>60</v>
      </c>
      <c r="F267" s="2" t="s">
        <v>60</v>
      </c>
      <c r="G267" s="2" t="s">
        <v>60</v>
      </c>
      <c r="H267" s="2" t="s">
        <v>60</v>
      </c>
      <c r="I267" s="2" t="s">
        <v>60</v>
      </c>
      <c r="J267" s="2" t="s">
        <v>60</v>
      </c>
      <c r="K267" s="2" t="s">
        <v>4198</v>
      </c>
      <c r="L267" s="2" t="s">
        <v>4200</v>
      </c>
      <c r="M267" s="2" t="s">
        <v>134</v>
      </c>
      <c r="N267" s="2" t="s">
        <v>135</v>
      </c>
      <c r="O267" s="2" t="s">
        <v>2275</v>
      </c>
      <c r="P267" s="2" t="s">
        <v>2276</v>
      </c>
      <c r="Q267" s="2" t="s">
        <v>60</v>
      </c>
      <c r="R267" s="2" t="s">
        <v>4201</v>
      </c>
      <c r="S267" s="2" t="s">
        <v>96</v>
      </c>
      <c r="T267" s="16" t="s">
        <v>60</v>
      </c>
      <c r="U267" s="2" t="s">
        <v>97</v>
      </c>
      <c r="V267" s="2" t="s">
        <v>71</v>
      </c>
      <c r="W267" s="2" t="s">
        <v>98</v>
      </c>
      <c r="X267" s="2" t="s">
        <v>60</v>
      </c>
      <c r="Y267" s="8" t="str">
        <f>HYPERLINK("http://www.linkedin.com/company/riyad-reit", "http://www.linkedin.com/company/riyad-reit")</f>
        <v>http://www.linkedin.com/company/riyad-reit</v>
      </c>
      <c r="Z267" s="28" t="s">
        <v>60</v>
      </c>
      <c r="AA267" s="2" t="s">
        <v>60</v>
      </c>
      <c r="AB267" s="2" t="s">
        <v>74</v>
      </c>
      <c r="AC267" s="2" t="s">
        <v>4202</v>
      </c>
      <c r="AD267" s="40">
        <v>2015</v>
      </c>
      <c r="AE267" s="2" t="s">
        <v>4203</v>
      </c>
      <c r="AF267" s="52">
        <v>69.13</v>
      </c>
      <c r="AG267" s="52">
        <v>26.24</v>
      </c>
      <c r="AH267" s="52">
        <v>-58.33</v>
      </c>
      <c r="AI267" s="52">
        <v>587.59</v>
      </c>
      <c r="AJ267" s="52">
        <v>-21.84</v>
      </c>
      <c r="AK267" s="52">
        <v>-30.67</v>
      </c>
      <c r="AL267" s="52">
        <v>232.78</v>
      </c>
      <c r="AM267" s="52">
        <v>351.06</v>
      </c>
      <c r="AN267" s="64">
        <v>-4.0999999999999996</v>
      </c>
      <c r="AO267" s="4" t="s">
        <v>76</v>
      </c>
      <c r="AP267" s="2" t="s">
        <v>60</v>
      </c>
      <c r="AQ267" s="2" t="s">
        <v>60</v>
      </c>
      <c r="AR267" s="2" t="s">
        <v>60</v>
      </c>
      <c r="AS267" s="2" t="s">
        <v>60</v>
      </c>
      <c r="AT267" s="2" t="s">
        <v>60</v>
      </c>
      <c r="AU267" s="2" t="s">
        <v>106</v>
      </c>
      <c r="AV267" s="2" t="s">
        <v>4204</v>
      </c>
      <c r="AW267" s="2" t="s">
        <v>4205</v>
      </c>
      <c r="AX267" s="2" t="s">
        <v>109</v>
      </c>
      <c r="AY267" s="2" t="s">
        <v>60</v>
      </c>
      <c r="AZ267" s="4" t="s">
        <v>4206</v>
      </c>
      <c r="BA267" s="2" t="s">
        <v>87</v>
      </c>
      <c r="BB267" s="4" t="s">
        <v>4207</v>
      </c>
      <c r="BC267" s="4" t="s">
        <v>60</v>
      </c>
      <c r="BD267" s="2" t="s">
        <v>60</v>
      </c>
      <c r="BE267" s="2" t="s">
        <v>88</v>
      </c>
      <c r="BF267" s="2" t="s">
        <v>88</v>
      </c>
    </row>
    <row r="268" spans="1:58" x14ac:dyDescent="0.2">
      <c r="A268" s="3" t="s">
        <v>4208</v>
      </c>
      <c r="B268" s="3" t="s">
        <v>4209</v>
      </c>
      <c r="C268" s="3" t="s">
        <v>60</v>
      </c>
      <c r="D268" s="3" t="s">
        <v>60</v>
      </c>
      <c r="E268" s="3" t="s">
        <v>60</v>
      </c>
      <c r="F268" s="3" t="s">
        <v>4210</v>
      </c>
      <c r="G268" s="3" t="s">
        <v>60</v>
      </c>
      <c r="H268" s="3" t="s">
        <v>60</v>
      </c>
      <c r="I268" s="3" t="s">
        <v>60</v>
      </c>
      <c r="J268" s="3" t="s">
        <v>60</v>
      </c>
      <c r="K268" s="3" t="s">
        <v>4208</v>
      </c>
      <c r="L268" s="3" t="s">
        <v>4211</v>
      </c>
      <c r="M268" s="3" t="s">
        <v>115</v>
      </c>
      <c r="N268" s="3" t="s">
        <v>275</v>
      </c>
      <c r="O268" s="3" t="s">
        <v>1762</v>
      </c>
      <c r="P268" s="3" t="s">
        <v>4212</v>
      </c>
      <c r="Q268" s="3" t="s">
        <v>67</v>
      </c>
      <c r="R268" s="3" t="s">
        <v>4213</v>
      </c>
      <c r="S268" s="3" t="s">
        <v>372</v>
      </c>
      <c r="T268" s="17">
        <v>127.16</v>
      </c>
      <c r="U268" s="3" t="s">
        <v>97</v>
      </c>
      <c r="V268" s="3" t="s">
        <v>71</v>
      </c>
      <c r="W268" s="3" t="s">
        <v>373</v>
      </c>
      <c r="X268" s="9" t="str">
        <f>HYPERLINK("http://www.lazurde.com", "www.lazurde.com")</f>
        <v>www.lazurde.com</v>
      </c>
      <c r="Y268" s="9" t="str">
        <f>HYPERLINK("http://www.linkedin.com/company/l'azurde", "http://www.linkedin.com/company/l'azurde")</f>
        <v>http://www.linkedin.com/company/l'azurde</v>
      </c>
      <c r="Z268" s="29">
        <v>2200</v>
      </c>
      <c r="AA268" s="3" t="s">
        <v>4214</v>
      </c>
      <c r="AB268" s="3" t="s">
        <v>74</v>
      </c>
      <c r="AC268" s="3" t="s">
        <v>4215</v>
      </c>
      <c r="AD268" s="41">
        <v>1980</v>
      </c>
      <c r="AE268" s="3" t="s">
        <v>60</v>
      </c>
      <c r="AF268" s="53">
        <v>727.62</v>
      </c>
      <c r="AG268" s="53">
        <v>57.28</v>
      </c>
      <c r="AH268" s="53">
        <v>-7.96</v>
      </c>
      <c r="AI268" s="53">
        <v>196.96</v>
      </c>
      <c r="AJ268" s="53">
        <v>4.8</v>
      </c>
      <c r="AK268" s="53">
        <v>-2.99</v>
      </c>
      <c r="AL268" s="53">
        <v>177.05</v>
      </c>
      <c r="AM268" s="53">
        <v>-5.17</v>
      </c>
      <c r="AN268" s="65">
        <v>39.130000000000003</v>
      </c>
      <c r="AO268" s="5" t="s">
        <v>179</v>
      </c>
      <c r="AP268" s="3" t="s">
        <v>4216</v>
      </c>
      <c r="AQ268" s="3" t="s">
        <v>4217</v>
      </c>
      <c r="AR268" s="3" t="s">
        <v>283</v>
      </c>
      <c r="AS268" s="3" t="s">
        <v>4218</v>
      </c>
      <c r="AT268" s="3" t="s">
        <v>4219</v>
      </c>
      <c r="AU268" s="3" t="s">
        <v>106</v>
      </c>
      <c r="AV268" s="3" t="s">
        <v>4220</v>
      </c>
      <c r="AW268" s="3" t="s">
        <v>4221</v>
      </c>
      <c r="AX268" s="3" t="s">
        <v>109</v>
      </c>
      <c r="AY268" s="3" t="s">
        <v>60</v>
      </c>
      <c r="AZ268" s="5" t="s">
        <v>4222</v>
      </c>
      <c r="BA268" s="3" t="s">
        <v>87</v>
      </c>
      <c r="BB268" s="5" t="s">
        <v>4219</v>
      </c>
      <c r="BC268" s="5" t="s">
        <v>4223</v>
      </c>
      <c r="BD268" s="3" t="s">
        <v>4224</v>
      </c>
      <c r="BE268" s="3" t="s">
        <v>88</v>
      </c>
      <c r="BF268" s="3" t="s">
        <v>88</v>
      </c>
    </row>
    <row r="269" spans="1:58" x14ac:dyDescent="0.2">
      <c r="A269" s="2" t="s">
        <v>4225</v>
      </c>
      <c r="B269" s="2" t="s">
        <v>4226</v>
      </c>
      <c r="C269" s="2" t="s">
        <v>60</v>
      </c>
      <c r="D269" s="2" t="s">
        <v>60</v>
      </c>
      <c r="E269" s="2" t="s">
        <v>60</v>
      </c>
      <c r="F269" s="2" t="s">
        <v>60</v>
      </c>
      <c r="G269" s="2" t="s">
        <v>4227</v>
      </c>
      <c r="H269" s="2" t="s">
        <v>60</v>
      </c>
      <c r="I269" s="2" t="s">
        <v>60</v>
      </c>
      <c r="J269" s="2" t="s">
        <v>60</v>
      </c>
      <c r="K269" s="2" t="s">
        <v>4225</v>
      </c>
      <c r="L269" s="2" t="s">
        <v>4228</v>
      </c>
      <c r="M269" s="2" t="s">
        <v>63</v>
      </c>
      <c r="N269" s="2" t="s">
        <v>64</v>
      </c>
      <c r="O269" s="2" t="s">
        <v>65</v>
      </c>
      <c r="P269" s="2" t="s">
        <v>66</v>
      </c>
      <c r="Q269" s="2" t="s">
        <v>260</v>
      </c>
      <c r="R269" s="2" t="s">
        <v>4229</v>
      </c>
      <c r="S269" s="2" t="s">
        <v>96</v>
      </c>
      <c r="T269" s="16">
        <v>146.16999999999999</v>
      </c>
      <c r="U269" s="2" t="s">
        <v>97</v>
      </c>
      <c r="V269" s="2" t="s">
        <v>71</v>
      </c>
      <c r="W269" s="2" t="s">
        <v>98</v>
      </c>
      <c r="X269" s="8" t="str">
        <f>HYPERLINK("http://www.yamsteel.com", "www.yamsteel.com")</f>
        <v>www.yamsteel.com</v>
      </c>
      <c r="Y269" s="2" t="s">
        <v>60</v>
      </c>
      <c r="Z269" s="28">
        <v>1268</v>
      </c>
      <c r="AA269" s="2" t="s">
        <v>4230</v>
      </c>
      <c r="AB269" s="2" t="s">
        <v>74</v>
      </c>
      <c r="AC269" s="2" t="s">
        <v>4231</v>
      </c>
      <c r="AD269" s="40">
        <v>1989</v>
      </c>
      <c r="AE269" s="2" t="s">
        <v>60</v>
      </c>
      <c r="AF269" s="52">
        <v>499.86</v>
      </c>
      <c r="AG269" s="52">
        <v>48.96</v>
      </c>
      <c r="AH269" s="52">
        <v>12.29</v>
      </c>
      <c r="AI269" s="52">
        <v>699.3</v>
      </c>
      <c r="AJ269" s="52">
        <v>40.31</v>
      </c>
      <c r="AK269" s="52">
        <v>27.64</v>
      </c>
      <c r="AL269" s="52">
        <v>515.53</v>
      </c>
      <c r="AM269" s="52">
        <v>249.15</v>
      </c>
      <c r="AN269" s="64">
        <v>-6.05</v>
      </c>
      <c r="AO269" s="4" t="s">
        <v>179</v>
      </c>
      <c r="AP269" s="2" t="s">
        <v>4232</v>
      </c>
      <c r="AQ269" s="2" t="s">
        <v>4233</v>
      </c>
      <c r="AR269" s="2" t="s">
        <v>124</v>
      </c>
      <c r="AS269" s="2" t="s">
        <v>4234</v>
      </c>
      <c r="AT269" s="2" t="s">
        <v>4235</v>
      </c>
      <c r="AU269" s="2" t="s">
        <v>106</v>
      </c>
      <c r="AV269" s="2" t="s">
        <v>4236</v>
      </c>
      <c r="AW269" s="2" t="s">
        <v>4237</v>
      </c>
      <c r="AX269" s="2" t="s">
        <v>109</v>
      </c>
      <c r="AY269" s="2" t="s">
        <v>60</v>
      </c>
      <c r="AZ269" s="4" t="s">
        <v>2184</v>
      </c>
      <c r="BA269" s="2" t="s">
        <v>87</v>
      </c>
      <c r="BB269" s="4" t="s">
        <v>4235</v>
      </c>
      <c r="BC269" s="4" t="s">
        <v>4238</v>
      </c>
      <c r="BD269" s="2" t="s">
        <v>60</v>
      </c>
      <c r="BE269" s="2" t="s">
        <v>88</v>
      </c>
      <c r="BF269" s="2" t="s">
        <v>88</v>
      </c>
    </row>
    <row r="270" spans="1:58" x14ac:dyDescent="0.2">
      <c r="A270" s="3" t="s">
        <v>4239</v>
      </c>
      <c r="B270" s="3" t="s">
        <v>4240</v>
      </c>
      <c r="C270" s="3" t="s">
        <v>60</v>
      </c>
      <c r="D270" s="3" t="s">
        <v>60</v>
      </c>
      <c r="E270" s="3" t="s">
        <v>60</v>
      </c>
      <c r="F270" s="3" t="s">
        <v>4241</v>
      </c>
      <c r="G270" s="3" t="s">
        <v>4242</v>
      </c>
      <c r="H270" s="3" t="s">
        <v>60</v>
      </c>
      <c r="I270" s="3" t="s">
        <v>60</v>
      </c>
      <c r="J270" s="3" t="s">
        <v>4243</v>
      </c>
      <c r="K270" s="3" t="s">
        <v>4239</v>
      </c>
      <c r="L270" s="3" t="s">
        <v>4244</v>
      </c>
      <c r="M270" s="3" t="s">
        <v>328</v>
      </c>
      <c r="N270" s="3" t="s">
        <v>401</v>
      </c>
      <c r="O270" s="3" t="s">
        <v>402</v>
      </c>
      <c r="P270" s="3" t="s">
        <v>1429</v>
      </c>
      <c r="Q270" s="3" t="s">
        <v>60</v>
      </c>
      <c r="R270" s="3" t="s">
        <v>4245</v>
      </c>
      <c r="S270" s="3" t="s">
        <v>96</v>
      </c>
      <c r="T270" s="17">
        <v>470.25</v>
      </c>
      <c r="U270" s="3" t="s">
        <v>97</v>
      </c>
      <c r="V270" s="3" t="s">
        <v>71</v>
      </c>
      <c r="W270" s="3" t="s">
        <v>98</v>
      </c>
      <c r="X270" s="9" t="str">
        <f>HYPERLINK("http://saudigermanhealth.com", "saudigermanhealth.com")</f>
        <v>saudigermanhealth.com</v>
      </c>
      <c r="Y270" s="9" t="str">
        <f>HYPERLINK("http://www.linkedin.com/company/saudi-german-hospitals-group", "http://www.linkedin.com/company/saudi-german-hospitals-group")</f>
        <v>http://www.linkedin.com/company/saudi-german-hospitals-group</v>
      </c>
      <c r="Z270" s="29" t="s">
        <v>60</v>
      </c>
      <c r="AA270" s="3" t="s">
        <v>60</v>
      </c>
      <c r="AB270" s="3" t="s">
        <v>74</v>
      </c>
      <c r="AC270" s="3" t="s">
        <v>4246</v>
      </c>
      <c r="AD270" s="41">
        <v>2004</v>
      </c>
      <c r="AE270" s="3" t="s">
        <v>60</v>
      </c>
      <c r="AF270" s="53">
        <v>810.12</v>
      </c>
      <c r="AG270" s="53">
        <v>308.24</v>
      </c>
      <c r="AH270" s="53">
        <v>99.94</v>
      </c>
      <c r="AI270" s="53">
        <v>2054.4899999999998</v>
      </c>
      <c r="AJ270" s="53">
        <v>223.69</v>
      </c>
      <c r="AK270" s="53">
        <v>159.91</v>
      </c>
      <c r="AL270" s="53">
        <v>867.85</v>
      </c>
      <c r="AM270" s="53">
        <v>618.61</v>
      </c>
      <c r="AN270" s="65">
        <v>6.62</v>
      </c>
      <c r="AO270" s="5" t="s">
        <v>179</v>
      </c>
      <c r="AP270" s="3" t="s">
        <v>4247</v>
      </c>
      <c r="AQ270" s="3" t="s">
        <v>4248</v>
      </c>
      <c r="AR270" s="3" t="s">
        <v>1874</v>
      </c>
      <c r="AS270" s="3" t="s">
        <v>60</v>
      </c>
      <c r="AT270" s="3" t="s">
        <v>4249</v>
      </c>
      <c r="AU270" s="3" t="s">
        <v>82</v>
      </c>
      <c r="AV270" s="3" t="s">
        <v>4250</v>
      </c>
      <c r="AW270" s="3" t="s">
        <v>4251</v>
      </c>
      <c r="AX270" s="3" t="s">
        <v>85</v>
      </c>
      <c r="AY270" s="3" t="s">
        <v>60</v>
      </c>
      <c r="AZ270" s="5" t="s">
        <v>1439</v>
      </c>
      <c r="BA270" s="3" t="s">
        <v>87</v>
      </c>
      <c r="BB270" s="5" t="s">
        <v>4249</v>
      </c>
      <c r="BC270" s="5" t="s">
        <v>60</v>
      </c>
      <c r="BD270" s="3" t="s">
        <v>4252</v>
      </c>
      <c r="BE270" s="3" t="s">
        <v>88</v>
      </c>
      <c r="BF270" s="3" t="s">
        <v>88</v>
      </c>
    </row>
    <row r="271" spans="1:58" x14ac:dyDescent="0.2">
      <c r="A271" s="2" t="s">
        <v>4253</v>
      </c>
      <c r="B271" s="2" t="s">
        <v>4254</v>
      </c>
      <c r="C271" s="2" t="s">
        <v>60</v>
      </c>
      <c r="D271" s="2" t="s">
        <v>60</v>
      </c>
      <c r="E271" s="2" t="s">
        <v>60</v>
      </c>
      <c r="F271" s="2" t="s">
        <v>60</v>
      </c>
      <c r="G271" s="2" t="s">
        <v>4255</v>
      </c>
      <c r="H271" s="2" t="s">
        <v>60</v>
      </c>
      <c r="I271" s="2" t="s">
        <v>60</v>
      </c>
      <c r="J271" s="2" t="s">
        <v>60</v>
      </c>
      <c r="K271" s="2" t="s">
        <v>4253</v>
      </c>
      <c r="L271" s="2" t="s">
        <v>4256</v>
      </c>
      <c r="M271" s="2" t="s">
        <v>115</v>
      </c>
      <c r="N271" s="2" t="s">
        <v>116</v>
      </c>
      <c r="O271" s="2" t="s">
        <v>117</v>
      </c>
      <c r="P271" s="2" t="s">
        <v>118</v>
      </c>
      <c r="Q271" s="2" t="s">
        <v>60</v>
      </c>
      <c r="R271" s="2" t="s">
        <v>4257</v>
      </c>
      <c r="S271" s="2" t="s">
        <v>96</v>
      </c>
      <c r="T271" s="16">
        <v>100.62</v>
      </c>
      <c r="U271" s="2" t="s">
        <v>97</v>
      </c>
      <c r="V271" s="2" t="s">
        <v>71</v>
      </c>
      <c r="W271" s="2" t="s">
        <v>98</v>
      </c>
      <c r="X271" s="8" t="str">
        <f>HYPERLINK("http://www.alandalus.com.sa", "www.alandalus.com.sa")</f>
        <v>www.alandalus.com.sa</v>
      </c>
      <c r="Y271" s="8" t="str">
        <f>HYPERLINK("http://www.linkedin.com/company/alandaluspropertyco", "http://www.linkedin.com/company/alandaluspropertyco")</f>
        <v>http://www.linkedin.com/company/alandaluspropertyco</v>
      </c>
      <c r="Z271" s="28">
        <v>46</v>
      </c>
      <c r="AA271" s="2" t="s">
        <v>4258</v>
      </c>
      <c r="AB271" s="2" t="s">
        <v>74</v>
      </c>
      <c r="AC271" s="2" t="s">
        <v>4259</v>
      </c>
      <c r="AD271" s="40">
        <v>2006</v>
      </c>
      <c r="AE271" s="2" t="s">
        <v>60</v>
      </c>
      <c r="AF271" s="52">
        <v>62.89</v>
      </c>
      <c r="AG271" s="52">
        <v>38.049999999999997</v>
      </c>
      <c r="AH271" s="52">
        <v>-6.98</v>
      </c>
      <c r="AI271" s="52">
        <v>764.98</v>
      </c>
      <c r="AJ271" s="52">
        <v>22.9</v>
      </c>
      <c r="AK271" s="52">
        <v>12.19</v>
      </c>
      <c r="AL271" s="52">
        <v>425.36</v>
      </c>
      <c r="AM271" s="52">
        <v>232.26</v>
      </c>
      <c r="AN271" s="64">
        <v>6.59</v>
      </c>
      <c r="AO271" s="4" t="s">
        <v>179</v>
      </c>
      <c r="AP271" s="2" t="s">
        <v>4260</v>
      </c>
      <c r="AQ271" s="2" t="s">
        <v>4261</v>
      </c>
      <c r="AR271" s="2" t="s">
        <v>2743</v>
      </c>
      <c r="AS271" s="2" t="s">
        <v>4262</v>
      </c>
      <c r="AT271" s="2" t="s">
        <v>4263</v>
      </c>
      <c r="AU271" s="2" t="s">
        <v>106</v>
      </c>
      <c r="AV271" s="2" t="s">
        <v>4264</v>
      </c>
      <c r="AW271" s="2" t="s">
        <v>60</v>
      </c>
      <c r="AX271" s="2" t="s">
        <v>109</v>
      </c>
      <c r="AY271" s="2" t="s">
        <v>60</v>
      </c>
      <c r="AZ271" s="4" t="s">
        <v>4265</v>
      </c>
      <c r="BA271" s="2" t="s">
        <v>87</v>
      </c>
      <c r="BB271" s="4" t="s">
        <v>4263</v>
      </c>
      <c r="BC271" s="4" t="s">
        <v>4266</v>
      </c>
      <c r="BD271" s="2" t="s">
        <v>4267</v>
      </c>
      <c r="BE271" s="2" t="s">
        <v>88</v>
      </c>
      <c r="BF271" s="2" t="s">
        <v>88</v>
      </c>
    </row>
    <row r="272" spans="1:58" x14ac:dyDescent="0.2">
      <c r="A272" s="3" t="s">
        <v>4268</v>
      </c>
      <c r="B272" s="3" t="s">
        <v>4269</v>
      </c>
      <c r="C272" s="3" t="s">
        <v>60</v>
      </c>
      <c r="D272" s="3" t="s">
        <v>60</v>
      </c>
      <c r="E272" s="3" t="s">
        <v>4270</v>
      </c>
      <c r="F272" s="3" t="s">
        <v>60</v>
      </c>
      <c r="G272" s="3" t="s">
        <v>4271</v>
      </c>
      <c r="H272" s="3" t="s">
        <v>60</v>
      </c>
      <c r="I272" s="3" t="s">
        <v>60</v>
      </c>
      <c r="J272" s="3" t="s">
        <v>60</v>
      </c>
      <c r="K272" s="3" t="s">
        <v>4268</v>
      </c>
      <c r="L272" s="3" t="s">
        <v>4272</v>
      </c>
      <c r="M272" s="3" t="s">
        <v>63</v>
      </c>
      <c r="N272" s="3" t="s">
        <v>92</v>
      </c>
      <c r="O272" s="3" t="s">
        <v>3109</v>
      </c>
      <c r="P272" s="3" t="s">
        <v>4273</v>
      </c>
      <c r="Q272" s="3" t="s">
        <v>60</v>
      </c>
      <c r="R272" s="3" t="s">
        <v>4274</v>
      </c>
      <c r="S272" s="3" t="s">
        <v>96</v>
      </c>
      <c r="T272" s="17" t="s">
        <v>60</v>
      </c>
      <c r="U272" s="3" t="s">
        <v>97</v>
      </c>
      <c r="V272" s="3" t="s">
        <v>71</v>
      </c>
      <c r="W272" s="3" t="s">
        <v>98</v>
      </c>
      <c r="X272" s="9" t="str">
        <f>HYPERLINK("http://www.saudiags.com", "www.saudiags.com")</f>
        <v>www.saudiags.com</v>
      </c>
      <c r="Y272" s="3" t="s">
        <v>60</v>
      </c>
      <c r="Z272" s="29" t="s">
        <v>60</v>
      </c>
      <c r="AA272" s="3" t="s">
        <v>60</v>
      </c>
      <c r="AB272" s="3" t="s">
        <v>74</v>
      </c>
      <c r="AC272" s="3" t="s">
        <v>4275</v>
      </c>
      <c r="AD272" s="41">
        <v>2008</v>
      </c>
      <c r="AE272" s="3" t="s">
        <v>60</v>
      </c>
      <c r="AF272" s="53">
        <v>724.01</v>
      </c>
      <c r="AG272" s="53">
        <v>178.81</v>
      </c>
      <c r="AH272" s="53">
        <v>104.97</v>
      </c>
      <c r="AI272" s="53">
        <v>2164.4699999999998</v>
      </c>
      <c r="AJ272" s="53">
        <v>163.93</v>
      </c>
      <c r="AK272" s="53">
        <v>114.04</v>
      </c>
      <c r="AL272" s="53">
        <v>1815.73</v>
      </c>
      <c r="AM272" s="53">
        <v>-186.57</v>
      </c>
      <c r="AN272" s="65">
        <v>3.39</v>
      </c>
      <c r="AO272" s="5" t="s">
        <v>179</v>
      </c>
      <c r="AP272" s="3" t="s">
        <v>4276</v>
      </c>
      <c r="AQ272" s="3" t="s">
        <v>4277</v>
      </c>
      <c r="AR272" s="3" t="s">
        <v>2743</v>
      </c>
      <c r="AS272" s="3" t="s">
        <v>4278</v>
      </c>
      <c r="AT272" s="3" t="s">
        <v>4279</v>
      </c>
      <c r="AU272" s="3" t="s">
        <v>82</v>
      </c>
      <c r="AV272" s="3" t="s">
        <v>4280</v>
      </c>
      <c r="AW272" s="3" t="s">
        <v>4281</v>
      </c>
      <c r="AX272" s="3" t="s">
        <v>85</v>
      </c>
      <c r="AY272" s="3" t="s">
        <v>60</v>
      </c>
      <c r="AZ272" s="5" t="s">
        <v>4282</v>
      </c>
      <c r="BA272" s="3" t="s">
        <v>87</v>
      </c>
      <c r="BB272" s="5" t="s">
        <v>4279</v>
      </c>
      <c r="BC272" s="5" t="s">
        <v>4283</v>
      </c>
      <c r="BD272" s="3" t="s">
        <v>4284</v>
      </c>
      <c r="BE272" s="3" t="s">
        <v>88</v>
      </c>
      <c r="BF272" s="3" t="s">
        <v>88</v>
      </c>
    </row>
    <row r="273" spans="1:58" x14ac:dyDescent="0.2">
      <c r="A273" s="2" t="s">
        <v>4285</v>
      </c>
      <c r="B273" s="2" t="s">
        <v>4286</v>
      </c>
      <c r="C273" s="2" t="s">
        <v>60</v>
      </c>
      <c r="D273" s="2" t="s">
        <v>60</v>
      </c>
      <c r="E273" s="2" t="s">
        <v>60</v>
      </c>
      <c r="F273" s="2" t="s">
        <v>60</v>
      </c>
      <c r="G273" s="2" t="s">
        <v>4287</v>
      </c>
      <c r="H273" s="2" t="s">
        <v>60</v>
      </c>
      <c r="I273" s="2" t="s">
        <v>60</v>
      </c>
      <c r="J273" s="2" t="s">
        <v>60</v>
      </c>
      <c r="K273" s="2" t="s">
        <v>4285</v>
      </c>
      <c r="L273" s="2" t="s">
        <v>4288</v>
      </c>
      <c r="M273" s="2" t="s">
        <v>115</v>
      </c>
      <c r="N273" s="2" t="s">
        <v>275</v>
      </c>
      <c r="O273" s="2" t="s">
        <v>2383</v>
      </c>
      <c r="P273" s="2" t="s">
        <v>4289</v>
      </c>
      <c r="Q273" s="2" t="s">
        <v>60</v>
      </c>
      <c r="R273" s="2" t="s">
        <v>4290</v>
      </c>
      <c r="S273" s="2" t="s">
        <v>96</v>
      </c>
      <c r="T273" s="16" t="s">
        <v>60</v>
      </c>
      <c r="U273" s="2" t="s">
        <v>1516</v>
      </c>
      <c r="V273" s="2" t="s">
        <v>71</v>
      </c>
      <c r="W273" s="2" t="s">
        <v>98</v>
      </c>
      <c r="X273" s="8" t="str">
        <f>HYPERLINK("http://www.saco.sa", "www.saco.sa")</f>
        <v>www.saco.sa</v>
      </c>
      <c r="Y273" s="8" t="str">
        <f>HYPERLINK("http://www.linkedin.com/company/saudi-company-for-hardware-saco/", "http://www.linkedin.com/company/saudi-company-for-hardware-saco/")</f>
        <v>http://www.linkedin.com/company/saudi-company-for-hardware-saco/</v>
      </c>
      <c r="Z273" s="28">
        <v>2000</v>
      </c>
      <c r="AA273" s="2" t="s">
        <v>4291</v>
      </c>
      <c r="AB273" s="2" t="s">
        <v>74</v>
      </c>
      <c r="AC273" s="2" t="s">
        <v>4292</v>
      </c>
      <c r="AD273" s="40">
        <v>1984</v>
      </c>
      <c r="AE273" s="2" t="s">
        <v>60</v>
      </c>
      <c r="AF273" s="52">
        <v>280.94</v>
      </c>
      <c r="AG273" s="52">
        <v>42.03</v>
      </c>
      <c r="AH273" s="52">
        <v>14.1</v>
      </c>
      <c r="AI273" s="52">
        <v>353.03</v>
      </c>
      <c r="AJ273" s="52">
        <v>49.17</v>
      </c>
      <c r="AK273" s="52">
        <v>21.07</v>
      </c>
      <c r="AL273" s="52">
        <v>219.78</v>
      </c>
      <c r="AM273" s="52">
        <v>70.67</v>
      </c>
      <c r="AN273" s="64">
        <v>10.66</v>
      </c>
      <c r="AO273" s="4" t="s">
        <v>179</v>
      </c>
      <c r="AP273" s="2" t="s">
        <v>4293</v>
      </c>
      <c r="AQ273" s="2" t="s">
        <v>4294</v>
      </c>
      <c r="AR273" s="2" t="s">
        <v>124</v>
      </c>
      <c r="AS273" s="2" t="s">
        <v>4295</v>
      </c>
      <c r="AT273" s="2" t="s">
        <v>4296</v>
      </c>
      <c r="AU273" s="2" t="s">
        <v>106</v>
      </c>
      <c r="AV273" s="2" t="s">
        <v>4297</v>
      </c>
      <c r="AW273" s="2" t="s">
        <v>4298</v>
      </c>
      <c r="AX273" s="2" t="s">
        <v>109</v>
      </c>
      <c r="AY273" s="2" t="s">
        <v>60</v>
      </c>
      <c r="AZ273" s="4" t="s">
        <v>4299</v>
      </c>
      <c r="BA273" s="2" t="s">
        <v>87</v>
      </c>
      <c r="BB273" s="4" t="s">
        <v>4296</v>
      </c>
      <c r="BC273" s="4" t="s">
        <v>4300</v>
      </c>
      <c r="BD273" s="2" t="s">
        <v>60</v>
      </c>
      <c r="BE273" s="2" t="s">
        <v>88</v>
      </c>
      <c r="BF273" s="2" t="s">
        <v>88</v>
      </c>
    </row>
    <row r="274" spans="1:58" x14ac:dyDescent="0.2">
      <c r="A274" s="3" t="s">
        <v>4301</v>
      </c>
      <c r="B274" s="3" t="s">
        <v>4302</v>
      </c>
      <c r="C274" s="3" t="s">
        <v>60</v>
      </c>
      <c r="D274" s="3" t="s">
        <v>60</v>
      </c>
      <c r="E274" s="3" t="s">
        <v>60</v>
      </c>
      <c r="F274" s="3" t="s">
        <v>4303</v>
      </c>
      <c r="G274" s="3" t="s">
        <v>4304</v>
      </c>
      <c r="H274" s="3" t="s">
        <v>60</v>
      </c>
      <c r="I274" s="3" t="s">
        <v>60</v>
      </c>
      <c r="J274" s="3" t="s">
        <v>60</v>
      </c>
      <c r="K274" s="3" t="s">
        <v>4301</v>
      </c>
      <c r="L274" s="3" t="s">
        <v>4305</v>
      </c>
      <c r="M274" s="3" t="s">
        <v>63</v>
      </c>
      <c r="N274" s="3" t="s">
        <v>64</v>
      </c>
      <c r="O274" s="3" t="s">
        <v>2174</v>
      </c>
      <c r="P274" s="3" t="s">
        <v>4306</v>
      </c>
      <c r="Q274" s="3" t="s">
        <v>60</v>
      </c>
      <c r="R274" s="3" t="s">
        <v>4307</v>
      </c>
      <c r="S274" s="3" t="s">
        <v>96</v>
      </c>
      <c r="T274" s="17" t="s">
        <v>60</v>
      </c>
      <c r="U274" s="3" t="s">
        <v>97</v>
      </c>
      <c r="V274" s="3" t="s">
        <v>71</v>
      </c>
      <c r="W274" s="3" t="s">
        <v>98</v>
      </c>
      <c r="X274" s="9" t="str">
        <f>HYPERLINK("http://www.eic.com.sa", "www.eic.com.sa")</f>
        <v>www.eic.com.sa</v>
      </c>
      <c r="Y274" s="9" t="str">
        <f>HYPERLINK("http://www.linkedin.com/company/eicsa", "http://www.linkedin.com/company/eicsa")</f>
        <v>http://www.linkedin.com/company/eicsa</v>
      </c>
      <c r="Z274" s="29" t="s">
        <v>60</v>
      </c>
      <c r="AA274" s="3" t="s">
        <v>60</v>
      </c>
      <c r="AB274" s="3" t="s">
        <v>74</v>
      </c>
      <c r="AC274" s="3" t="s">
        <v>4308</v>
      </c>
      <c r="AD274" s="41">
        <v>2005</v>
      </c>
      <c r="AE274" s="3" t="s">
        <v>60</v>
      </c>
      <c r="AF274" s="53">
        <v>543.76</v>
      </c>
      <c r="AG274" s="53">
        <v>202.87</v>
      </c>
      <c r="AH274" s="53">
        <v>139.97999999999999</v>
      </c>
      <c r="AI274" s="53">
        <v>3202.99</v>
      </c>
      <c r="AJ274" s="53">
        <v>158.22999999999999</v>
      </c>
      <c r="AK274" s="53">
        <v>149.16999999999999</v>
      </c>
      <c r="AL274" s="53">
        <v>4012.22</v>
      </c>
      <c r="AM274" s="53">
        <v>-61.4</v>
      </c>
      <c r="AN274" s="65">
        <v>4.4800000000000004</v>
      </c>
      <c r="AO274" s="5" t="s">
        <v>179</v>
      </c>
      <c r="AP274" s="3" t="s">
        <v>4309</v>
      </c>
      <c r="AQ274" s="3" t="s">
        <v>4310</v>
      </c>
      <c r="AR274" s="3" t="s">
        <v>4311</v>
      </c>
      <c r="AS274" s="3" t="s">
        <v>4312</v>
      </c>
      <c r="AT274" s="3" t="s">
        <v>4313</v>
      </c>
      <c r="AU274" s="3" t="s">
        <v>847</v>
      </c>
      <c r="AV274" s="3" t="s">
        <v>4314</v>
      </c>
      <c r="AW274" s="3" t="s">
        <v>4315</v>
      </c>
      <c r="AX274" s="3" t="s">
        <v>849</v>
      </c>
      <c r="AY274" s="3" t="s">
        <v>60</v>
      </c>
      <c r="AZ274" s="5" t="s">
        <v>4316</v>
      </c>
      <c r="BA274" s="3" t="s">
        <v>87</v>
      </c>
      <c r="BB274" s="5" t="s">
        <v>4313</v>
      </c>
      <c r="BC274" s="5" t="s">
        <v>4317</v>
      </c>
      <c r="BD274" s="3" t="s">
        <v>4318</v>
      </c>
      <c r="BE274" s="3" t="s">
        <v>88</v>
      </c>
      <c r="BF274" s="3" t="s">
        <v>88</v>
      </c>
    </row>
    <row r="275" spans="1:58" x14ac:dyDescent="0.2">
      <c r="A275" s="2" t="s">
        <v>4319</v>
      </c>
      <c r="B275" s="2" t="s">
        <v>4320</v>
      </c>
      <c r="C275" s="2" t="s">
        <v>60</v>
      </c>
      <c r="D275" s="2" t="s">
        <v>60</v>
      </c>
      <c r="E275" s="2" t="s">
        <v>4321</v>
      </c>
      <c r="F275" s="2" t="s">
        <v>4322</v>
      </c>
      <c r="G275" s="2" t="s">
        <v>4323</v>
      </c>
      <c r="H275" s="2" t="s">
        <v>60</v>
      </c>
      <c r="I275" s="2" t="s">
        <v>60</v>
      </c>
      <c r="J275" s="2" t="s">
        <v>60</v>
      </c>
      <c r="K275" s="2" t="s">
        <v>4319</v>
      </c>
      <c r="L275" s="2" t="s">
        <v>4324</v>
      </c>
      <c r="M275" s="2" t="s">
        <v>115</v>
      </c>
      <c r="N275" s="2" t="s">
        <v>368</v>
      </c>
      <c r="O275" s="2" t="s">
        <v>4325</v>
      </c>
      <c r="P275" s="2" t="s">
        <v>4326</v>
      </c>
      <c r="Q275" s="2" t="s">
        <v>60</v>
      </c>
      <c r="R275" s="2" t="s">
        <v>4327</v>
      </c>
      <c r="S275" s="2" t="s">
        <v>372</v>
      </c>
      <c r="T275" s="16">
        <v>219.73</v>
      </c>
      <c r="U275" s="2" t="s">
        <v>97</v>
      </c>
      <c r="V275" s="2" t="s">
        <v>71</v>
      </c>
      <c r="W275" s="2" t="s">
        <v>373</v>
      </c>
      <c r="X275" s="8" t="str">
        <f>HYPERLINK("http://www.alhokair.com", "www.alhokair.com")</f>
        <v>www.alhokair.com</v>
      </c>
      <c r="Y275" s="8" t="str">
        <f>HYPERLINK("http://www.linkedin.com/company/baanholding", "http://www.linkedin.com/company/baanholding")</f>
        <v>http://www.linkedin.com/company/baanholding</v>
      </c>
      <c r="Z275" s="28">
        <v>2462</v>
      </c>
      <c r="AA275" s="2" t="s">
        <v>4328</v>
      </c>
      <c r="AB275" s="2" t="s">
        <v>74</v>
      </c>
      <c r="AC275" s="2" t="s">
        <v>4329</v>
      </c>
      <c r="AD275" s="40">
        <v>1978</v>
      </c>
      <c r="AE275" s="2" t="s">
        <v>60</v>
      </c>
      <c r="AF275" s="52">
        <v>178.6</v>
      </c>
      <c r="AG275" s="52">
        <v>40.6</v>
      </c>
      <c r="AH275" s="52">
        <v>-14.8</v>
      </c>
      <c r="AI275" s="52">
        <v>542.41999999999996</v>
      </c>
      <c r="AJ275" s="52">
        <v>52.18</v>
      </c>
      <c r="AK275" s="52">
        <v>5.07</v>
      </c>
      <c r="AL275" s="52">
        <v>161.93</v>
      </c>
      <c r="AM275" s="52">
        <v>342.6</v>
      </c>
      <c r="AN275" s="64">
        <v>0.19</v>
      </c>
      <c r="AO275" s="4" t="s">
        <v>179</v>
      </c>
      <c r="AP275" s="2" t="s">
        <v>4330</v>
      </c>
      <c r="AQ275" s="2" t="s">
        <v>4331</v>
      </c>
      <c r="AR275" s="2" t="s">
        <v>266</v>
      </c>
      <c r="AS275" s="2" t="s">
        <v>4332</v>
      </c>
      <c r="AT275" s="2" t="s">
        <v>4333</v>
      </c>
      <c r="AU275" s="2" t="s">
        <v>106</v>
      </c>
      <c r="AV275" s="2" t="s">
        <v>4334</v>
      </c>
      <c r="AW275" s="2" t="s">
        <v>4335</v>
      </c>
      <c r="AX275" s="2" t="s">
        <v>109</v>
      </c>
      <c r="AY275" s="2" t="s">
        <v>60</v>
      </c>
      <c r="AZ275" s="4" t="s">
        <v>1925</v>
      </c>
      <c r="BA275" s="2" t="s">
        <v>87</v>
      </c>
      <c r="BB275" s="4" t="s">
        <v>4333</v>
      </c>
      <c r="BC275" s="4" t="s">
        <v>60</v>
      </c>
      <c r="BD275" s="2" t="s">
        <v>4336</v>
      </c>
      <c r="BE275" s="2" t="s">
        <v>88</v>
      </c>
      <c r="BF275" s="2" t="s">
        <v>88</v>
      </c>
    </row>
    <row r="276" spans="1:58" x14ac:dyDescent="0.2">
      <c r="A276" s="3" t="s">
        <v>4337</v>
      </c>
      <c r="B276" s="3" t="s">
        <v>4338</v>
      </c>
      <c r="C276" s="3" t="s">
        <v>60</v>
      </c>
      <c r="D276" s="3" t="s">
        <v>60</v>
      </c>
      <c r="E276" s="3" t="s">
        <v>60</v>
      </c>
      <c r="F276" s="3" t="s">
        <v>60</v>
      </c>
      <c r="G276" s="3" t="s">
        <v>4339</v>
      </c>
      <c r="H276" s="3" t="s">
        <v>60</v>
      </c>
      <c r="I276" s="3" t="s">
        <v>60</v>
      </c>
      <c r="J276" s="3" t="s">
        <v>4340</v>
      </c>
      <c r="K276" s="3" t="s">
        <v>4337</v>
      </c>
      <c r="L276" s="3" t="s">
        <v>4341</v>
      </c>
      <c r="M276" s="3" t="s">
        <v>485</v>
      </c>
      <c r="N276" s="3" t="s">
        <v>2291</v>
      </c>
      <c r="O276" s="3" t="s">
        <v>2292</v>
      </c>
      <c r="P276" s="3" t="s">
        <v>2675</v>
      </c>
      <c r="Q276" s="3" t="s">
        <v>311</v>
      </c>
      <c r="R276" s="3" t="s">
        <v>4342</v>
      </c>
      <c r="S276" s="3" t="s">
        <v>4343</v>
      </c>
      <c r="T276" s="17" t="s">
        <v>60</v>
      </c>
      <c r="U276" s="3" t="s">
        <v>70</v>
      </c>
      <c r="V276" s="3" t="s">
        <v>71</v>
      </c>
      <c r="W276" s="3" t="s">
        <v>175</v>
      </c>
      <c r="X276" s="9" t="str">
        <f>HYPERLINK("http://www.go.com.sa", "www.go.com.sa")</f>
        <v>www.go.com.sa</v>
      </c>
      <c r="Y276" s="9" t="str">
        <f>HYPERLINK("http://www.linkedin.com/company/go---eithad-atheeb-telecom", "http://www.linkedin.com/company/go---eithad-atheeb-telecom")</f>
        <v>http://www.linkedin.com/company/go---eithad-atheeb-telecom</v>
      </c>
      <c r="Z276" s="29">
        <v>409</v>
      </c>
      <c r="AA276" s="3" t="s">
        <v>4344</v>
      </c>
      <c r="AB276" s="3" t="s">
        <v>74</v>
      </c>
      <c r="AC276" s="3" t="s">
        <v>4345</v>
      </c>
      <c r="AD276" s="41">
        <v>2008</v>
      </c>
      <c r="AE276" s="3" t="s">
        <v>60</v>
      </c>
      <c r="AF276" s="53">
        <v>455.43</v>
      </c>
      <c r="AG276" s="53">
        <v>130.53</v>
      </c>
      <c r="AH276" s="53">
        <v>64.16</v>
      </c>
      <c r="AI276" s="53">
        <v>871.32</v>
      </c>
      <c r="AJ276" s="53">
        <v>83.02</v>
      </c>
      <c r="AK276" s="53">
        <v>66.72</v>
      </c>
      <c r="AL276" s="53">
        <v>893.39</v>
      </c>
      <c r="AM276" s="53">
        <v>-136.44999999999999</v>
      </c>
      <c r="AN276" s="65">
        <v>39.18</v>
      </c>
      <c r="AO276" s="5" t="s">
        <v>2522</v>
      </c>
      <c r="AP276" s="3" t="s">
        <v>4346</v>
      </c>
      <c r="AQ276" s="3" t="s">
        <v>4347</v>
      </c>
      <c r="AR276" s="3" t="s">
        <v>124</v>
      </c>
      <c r="AS276" s="3" t="s">
        <v>60</v>
      </c>
      <c r="AT276" s="3" t="s">
        <v>4348</v>
      </c>
      <c r="AU276" s="3" t="s">
        <v>106</v>
      </c>
      <c r="AV276" s="3" t="s">
        <v>4349</v>
      </c>
      <c r="AW276" s="3" t="s">
        <v>4350</v>
      </c>
      <c r="AX276" s="3" t="s">
        <v>109</v>
      </c>
      <c r="AY276" s="3" t="s">
        <v>60</v>
      </c>
      <c r="AZ276" s="5" t="s">
        <v>4351</v>
      </c>
      <c r="BA276" s="3" t="s">
        <v>87</v>
      </c>
      <c r="BB276" s="5" t="s">
        <v>4348</v>
      </c>
      <c r="BC276" s="5" t="s">
        <v>60</v>
      </c>
      <c r="BD276" s="3" t="s">
        <v>4352</v>
      </c>
      <c r="BE276" s="3" t="s">
        <v>88</v>
      </c>
      <c r="BF276" s="3" t="s">
        <v>88</v>
      </c>
    </row>
    <row r="277" spans="1:58" x14ac:dyDescent="0.2">
      <c r="A277" s="2" t="s">
        <v>4353</v>
      </c>
      <c r="B277" s="2" t="s">
        <v>4354</v>
      </c>
      <c r="C277" s="2" t="s">
        <v>60</v>
      </c>
      <c r="D277" s="2" t="s">
        <v>60</v>
      </c>
      <c r="E277" s="2" t="s">
        <v>60</v>
      </c>
      <c r="F277" s="2" t="s">
        <v>60</v>
      </c>
      <c r="G277" s="2" t="s">
        <v>4355</v>
      </c>
      <c r="H277" s="2" t="s">
        <v>60</v>
      </c>
      <c r="I277" s="2" t="s">
        <v>60</v>
      </c>
      <c r="J277" s="2" t="s">
        <v>60</v>
      </c>
      <c r="K277" s="2" t="s">
        <v>4353</v>
      </c>
      <c r="L277" s="2" t="s">
        <v>4356</v>
      </c>
      <c r="M277" s="2" t="s">
        <v>115</v>
      </c>
      <c r="N277" s="2" t="s">
        <v>275</v>
      </c>
      <c r="O277" s="2" t="s">
        <v>2383</v>
      </c>
      <c r="P277" s="2" t="s">
        <v>4357</v>
      </c>
      <c r="Q277" s="2" t="s">
        <v>60</v>
      </c>
      <c r="R277" s="2" t="s">
        <v>4358</v>
      </c>
      <c r="S277" s="2" t="s">
        <v>96</v>
      </c>
      <c r="T277" s="16">
        <v>71.739999999999995</v>
      </c>
      <c r="U277" s="2" t="s">
        <v>97</v>
      </c>
      <c r="V277" s="2" t="s">
        <v>71</v>
      </c>
      <c r="W277" s="2" t="s">
        <v>98</v>
      </c>
      <c r="X277" s="8" t="str">
        <f>HYPERLINK("http://farm.com.sa", "farm.com.sa")</f>
        <v>farm.com.sa</v>
      </c>
      <c r="Y277" s="2" t="s">
        <v>60</v>
      </c>
      <c r="Z277" s="28" t="s">
        <v>60</v>
      </c>
      <c r="AA277" s="2" t="s">
        <v>60</v>
      </c>
      <c r="AB277" s="2" t="s">
        <v>74</v>
      </c>
      <c r="AC277" s="2" t="s">
        <v>4359</v>
      </c>
      <c r="AD277" s="40">
        <v>1978</v>
      </c>
      <c r="AE277" s="2" t="s">
        <v>60</v>
      </c>
      <c r="AF277" s="52">
        <v>481.72</v>
      </c>
      <c r="AG277" s="52">
        <v>159.76</v>
      </c>
      <c r="AH277" s="52">
        <v>6.66</v>
      </c>
      <c r="AI277" s="52">
        <v>569.08000000000004</v>
      </c>
      <c r="AJ277" s="52">
        <v>71.17</v>
      </c>
      <c r="AK277" s="52">
        <v>32.35</v>
      </c>
      <c r="AL277" s="52">
        <v>167.33</v>
      </c>
      <c r="AM277" s="52">
        <v>362.1</v>
      </c>
      <c r="AN277" s="64">
        <v>-0.65</v>
      </c>
      <c r="AO277" s="4" t="s">
        <v>179</v>
      </c>
      <c r="AP277" s="2" t="s">
        <v>4360</v>
      </c>
      <c r="AQ277" s="2" t="s">
        <v>4361</v>
      </c>
      <c r="AR277" s="2" t="s">
        <v>79</v>
      </c>
      <c r="AS277" s="2" t="s">
        <v>4362</v>
      </c>
      <c r="AT277" s="2" t="s">
        <v>4363</v>
      </c>
      <c r="AU277" s="2" t="s">
        <v>847</v>
      </c>
      <c r="AV277" s="2" t="s">
        <v>4364</v>
      </c>
      <c r="AW277" s="2" t="s">
        <v>60</v>
      </c>
      <c r="AX277" s="2" t="s">
        <v>849</v>
      </c>
      <c r="AY277" s="2" t="s">
        <v>60</v>
      </c>
      <c r="AZ277" s="4" t="s">
        <v>4365</v>
      </c>
      <c r="BA277" s="2" t="s">
        <v>87</v>
      </c>
      <c r="BB277" s="4" t="s">
        <v>4363</v>
      </c>
      <c r="BC277" s="4" t="s">
        <v>4366</v>
      </c>
      <c r="BD277" s="2" t="s">
        <v>4367</v>
      </c>
      <c r="BE277" s="2" t="s">
        <v>88</v>
      </c>
      <c r="BF277" s="2" t="s">
        <v>88</v>
      </c>
    </row>
    <row r="278" spans="1:58" x14ac:dyDescent="0.2">
      <c r="A278" s="3" t="s">
        <v>4368</v>
      </c>
      <c r="B278" s="3" t="s">
        <v>4369</v>
      </c>
      <c r="C278" s="3" t="s">
        <v>60</v>
      </c>
      <c r="D278" s="3" t="s">
        <v>60</v>
      </c>
      <c r="E278" s="3" t="s">
        <v>60</v>
      </c>
      <c r="F278" s="3" t="s">
        <v>60</v>
      </c>
      <c r="G278" s="3" t="s">
        <v>4370</v>
      </c>
      <c r="H278" s="3" t="s">
        <v>60</v>
      </c>
      <c r="I278" s="3" t="s">
        <v>60</v>
      </c>
      <c r="J278" s="3" t="s">
        <v>60</v>
      </c>
      <c r="K278" s="3" t="s">
        <v>4368</v>
      </c>
      <c r="L278" s="3" t="s">
        <v>4371</v>
      </c>
      <c r="M278" s="3" t="s">
        <v>63</v>
      </c>
      <c r="N278" s="3" t="s">
        <v>64</v>
      </c>
      <c r="O278" s="3" t="s">
        <v>530</v>
      </c>
      <c r="P278" s="3" t="s">
        <v>1371</v>
      </c>
      <c r="Q278" s="3" t="s">
        <v>67</v>
      </c>
      <c r="R278" s="3" t="s">
        <v>4372</v>
      </c>
      <c r="S278" s="3" t="s">
        <v>96</v>
      </c>
      <c r="T278" s="17">
        <v>143.85</v>
      </c>
      <c r="U278" s="3" t="s">
        <v>97</v>
      </c>
      <c r="V278" s="3" t="s">
        <v>71</v>
      </c>
      <c r="W278" s="3" t="s">
        <v>98</v>
      </c>
      <c r="X278" s="9" t="str">
        <f>HYPERLINK("http://www.bawan.com.sa", "www.bawan.com.sa")</f>
        <v>www.bawan.com.sa</v>
      </c>
      <c r="Y278" s="9" t="str">
        <f>HYPERLINK("http://www.linkedin.com/company/bawan-company", "http://www.linkedin.com/company/bawan-company")</f>
        <v>http://www.linkedin.com/company/bawan-company</v>
      </c>
      <c r="Z278" s="29">
        <v>2810</v>
      </c>
      <c r="AA278" s="3" t="s">
        <v>4373</v>
      </c>
      <c r="AB278" s="3" t="s">
        <v>74</v>
      </c>
      <c r="AC278" s="3" t="s">
        <v>4374</v>
      </c>
      <c r="AD278" s="41">
        <v>1980</v>
      </c>
      <c r="AE278" s="3" t="s">
        <v>60</v>
      </c>
      <c r="AF278" s="53">
        <v>1008.14</v>
      </c>
      <c r="AG278" s="53">
        <v>160.1</v>
      </c>
      <c r="AH278" s="53">
        <v>45.14</v>
      </c>
      <c r="AI278" s="53">
        <v>1284.75</v>
      </c>
      <c r="AJ278" s="53">
        <v>103.11</v>
      </c>
      <c r="AK278" s="53">
        <v>81.510000000000005</v>
      </c>
      <c r="AL278" s="53">
        <v>757.52</v>
      </c>
      <c r="AM278" s="53">
        <v>332.28</v>
      </c>
      <c r="AN278" s="65">
        <v>23.81</v>
      </c>
      <c r="AO278" s="5" t="s">
        <v>179</v>
      </c>
      <c r="AP278" s="3" t="s">
        <v>4375</v>
      </c>
      <c r="AQ278" s="3" t="s">
        <v>4376</v>
      </c>
      <c r="AR278" s="3" t="s">
        <v>79</v>
      </c>
      <c r="AS278" s="3" t="s">
        <v>60</v>
      </c>
      <c r="AT278" s="3" t="s">
        <v>4377</v>
      </c>
      <c r="AU278" s="3" t="s">
        <v>106</v>
      </c>
      <c r="AV278" s="3" t="s">
        <v>4378</v>
      </c>
      <c r="AW278" s="3" t="s">
        <v>60</v>
      </c>
      <c r="AX278" s="3" t="s">
        <v>109</v>
      </c>
      <c r="AY278" s="3" t="s">
        <v>60</v>
      </c>
      <c r="AZ278" s="5" t="s">
        <v>4379</v>
      </c>
      <c r="BA278" s="3" t="s">
        <v>87</v>
      </c>
      <c r="BB278" s="5" t="s">
        <v>4377</v>
      </c>
      <c r="BC278" s="5" t="s">
        <v>4380</v>
      </c>
      <c r="BD278" s="3" t="s">
        <v>4381</v>
      </c>
      <c r="BE278" s="3" t="s">
        <v>88</v>
      </c>
      <c r="BF278" s="3" t="s">
        <v>88</v>
      </c>
    </row>
    <row r="279" spans="1:58" x14ac:dyDescent="0.2">
      <c r="A279" s="2" t="s">
        <v>4382</v>
      </c>
      <c r="B279" s="2" t="s">
        <v>4383</v>
      </c>
      <c r="C279" s="2" t="s">
        <v>60</v>
      </c>
      <c r="D279" s="2" t="s">
        <v>60</v>
      </c>
      <c r="E279" s="2" t="s">
        <v>60</v>
      </c>
      <c r="F279" s="2" t="s">
        <v>60</v>
      </c>
      <c r="G279" s="2" t="s">
        <v>4384</v>
      </c>
      <c r="H279" s="2" t="s">
        <v>60</v>
      </c>
      <c r="I279" s="2" t="s">
        <v>60</v>
      </c>
      <c r="J279" s="2" t="s">
        <v>60</v>
      </c>
      <c r="K279" s="2" t="s">
        <v>4382</v>
      </c>
      <c r="L279" s="2" t="s">
        <v>4385</v>
      </c>
      <c r="M279" s="2" t="s">
        <v>134</v>
      </c>
      <c r="N279" s="2" t="s">
        <v>565</v>
      </c>
      <c r="O279" s="2" t="s">
        <v>4386</v>
      </c>
      <c r="P279" s="2" t="s">
        <v>4387</v>
      </c>
      <c r="Q279" s="2" t="s">
        <v>60</v>
      </c>
      <c r="R279" s="2" t="s">
        <v>4388</v>
      </c>
      <c r="S279" s="2" t="s">
        <v>96</v>
      </c>
      <c r="T279" s="16">
        <v>27.97</v>
      </c>
      <c r="U279" s="2" t="s">
        <v>97</v>
      </c>
      <c r="V279" s="2" t="s">
        <v>71</v>
      </c>
      <c r="W279" s="2" t="s">
        <v>98</v>
      </c>
      <c r="X279" s="8" t="str">
        <f>HYPERLINK("http://www.aljaziratakaful.com.sa", "www.aljaziratakaful.com.sa")</f>
        <v>www.aljaziratakaful.com.sa</v>
      </c>
      <c r="Y279" s="8" t="str">
        <f>HYPERLINK("http://www.linkedin.com/company/aljazira-takaful-taawuni/", "http://www.linkedin.com/company/aljazira-takaful-taawuni/")</f>
        <v>http://www.linkedin.com/company/aljazira-takaful-taawuni/</v>
      </c>
      <c r="Z279" s="28">
        <v>183</v>
      </c>
      <c r="AA279" s="2" t="s">
        <v>4389</v>
      </c>
      <c r="AB279" s="2" t="s">
        <v>74</v>
      </c>
      <c r="AC279" s="2" t="s">
        <v>4390</v>
      </c>
      <c r="AD279" s="40">
        <v>2013</v>
      </c>
      <c r="AE279" s="2" t="s">
        <v>60</v>
      </c>
      <c r="AF279" s="52">
        <v>104.91</v>
      </c>
      <c r="AG279" s="52" t="s">
        <v>60</v>
      </c>
      <c r="AH279" s="52">
        <v>10.36</v>
      </c>
      <c r="AI279" s="52">
        <v>201.02</v>
      </c>
      <c r="AJ279" s="52">
        <v>12.95</v>
      </c>
      <c r="AK279" s="52">
        <v>11.59</v>
      </c>
      <c r="AL279" s="52">
        <v>208.14</v>
      </c>
      <c r="AM279" s="52">
        <v>-15.4</v>
      </c>
      <c r="AN279" s="64">
        <v>-31.25</v>
      </c>
      <c r="AO279" s="4" t="s">
        <v>179</v>
      </c>
      <c r="AP279" s="2" t="s">
        <v>4391</v>
      </c>
      <c r="AQ279" s="2" t="s">
        <v>4392</v>
      </c>
      <c r="AR279" s="2" t="s">
        <v>215</v>
      </c>
      <c r="AS279" s="2" t="s">
        <v>4393</v>
      </c>
      <c r="AT279" s="2" t="s">
        <v>4394</v>
      </c>
      <c r="AU279" s="2" t="s">
        <v>82</v>
      </c>
      <c r="AV279" s="2" t="s">
        <v>4395</v>
      </c>
      <c r="AW279" s="2" t="s">
        <v>4396</v>
      </c>
      <c r="AX279" s="2" t="s">
        <v>85</v>
      </c>
      <c r="AY279" s="2" t="s">
        <v>60</v>
      </c>
      <c r="AZ279" s="4" t="s">
        <v>269</v>
      </c>
      <c r="BA279" s="2" t="s">
        <v>87</v>
      </c>
      <c r="BB279" s="4" t="s">
        <v>4394</v>
      </c>
      <c r="BC279" s="4" t="s">
        <v>4397</v>
      </c>
      <c r="BD279" s="2" t="s">
        <v>60</v>
      </c>
      <c r="BE279" s="2" t="s">
        <v>88</v>
      </c>
      <c r="BF279" s="2" t="s">
        <v>88</v>
      </c>
    </row>
    <row r="280" spans="1:58" x14ac:dyDescent="0.2">
      <c r="A280" s="3" t="s">
        <v>4398</v>
      </c>
      <c r="B280" s="3" t="s">
        <v>4399</v>
      </c>
      <c r="C280" s="3" t="s">
        <v>60</v>
      </c>
      <c r="D280" s="3" t="s">
        <v>60</v>
      </c>
      <c r="E280" s="3" t="s">
        <v>60</v>
      </c>
      <c r="F280" s="3" t="s">
        <v>60</v>
      </c>
      <c r="G280" s="3" t="s">
        <v>4400</v>
      </c>
      <c r="H280" s="3" t="s">
        <v>60</v>
      </c>
      <c r="I280" s="3" t="s">
        <v>60</v>
      </c>
      <c r="J280" s="3" t="s">
        <v>60</v>
      </c>
      <c r="K280" s="3" t="s">
        <v>4398</v>
      </c>
      <c r="L280" s="3" t="s">
        <v>4401</v>
      </c>
      <c r="M280" s="3" t="s">
        <v>63</v>
      </c>
      <c r="N280" s="3" t="s">
        <v>64</v>
      </c>
      <c r="O280" s="3" t="s">
        <v>65</v>
      </c>
      <c r="P280" s="3" t="s">
        <v>657</v>
      </c>
      <c r="Q280" s="3" t="s">
        <v>260</v>
      </c>
      <c r="R280" s="3" t="s">
        <v>4402</v>
      </c>
      <c r="S280" s="3" t="s">
        <v>96</v>
      </c>
      <c r="T280" s="17">
        <v>239.52</v>
      </c>
      <c r="U280" s="3" t="s">
        <v>97</v>
      </c>
      <c r="V280" s="3" t="s">
        <v>71</v>
      </c>
      <c r="W280" s="3" t="s">
        <v>98</v>
      </c>
      <c r="X280" s="9" t="str">
        <f>HYPERLINK("http://www.nrc.com.sa", "www.nrc.com.sa")</f>
        <v>www.nrc.com.sa</v>
      </c>
      <c r="Y280" s="9" t="str">
        <f>HYPERLINK("http://www.linkedin.com/company/northern-region-cement-company-nrcc", "http://www.linkedin.com/company/northern-region-cement-company-nrcc")</f>
        <v>http://www.linkedin.com/company/northern-region-cement-company-nrcc</v>
      </c>
      <c r="Z280" s="29">
        <v>565</v>
      </c>
      <c r="AA280" s="3" t="s">
        <v>4403</v>
      </c>
      <c r="AB280" s="3" t="s">
        <v>74</v>
      </c>
      <c r="AC280" s="3" t="s">
        <v>4404</v>
      </c>
      <c r="AD280" s="41">
        <v>2006</v>
      </c>
      <c r="AE280" s="3" t="s">
        <v>60</v>
      </c>
      <c r="AF280" s="53">
        <v>179.8</v>
      </c>
      <c r="AG280" s="53">
        <v>63.5</v>
      </c>
      <c r="AH280" s="53">
        <v>15</v>
      </c>
      <c r="AI280" s="53">
        <v>661.67</v>
      </c>
      <c r="AJ280" s="53">
        <v>50.36</v>
      </c>
      <c r="AK280" s="53">
        <v>35.97</v>
      </c>
      <c r="AL280" s="53">
        <v>335.61</v>
      </c>
      <c r="AM280" s="53">
        <v>261.17</v>
      </c>
      <c r="AN280" s="65">
        <v>8.01</v>
      </c>
      <c r="AO280" s="5" t="s">
        <v>179</v>
      </c>
      <c r="AP280" s="3" t="s">
        <v>4405</v>
      </c>
      <c r="AQ280" s="3" t="s">
        <v>4406</v>
      </c>
      <c r="AR280" s="3" t="s">
        <v>4407</v>
      </c>
      <c r="AS280" s="3" t="s">
        <v>60</v>
      </c>
      <c r="AT280" s="3" t="s">
        <v>4408</v>
      </c>
      <c r="AU280" s="3" t="s">
        <v>4409</v>
      </c>
      <c r="AV280" s="3" t="s">
        <v>4410</v>
      </c>
      <c r="AW280" s="3" t="s">
        <v>60</v>
      </c>
      <c r="AX280" s="3" t="s">
        <v>4411</v>
      </c>
      <c r="AY280" s="3" t="s">
        <v>60</v>
      </c>
      <c r="AZ280" s="5" t="s">
        <v>60</v>
      </c>
      <c r="BA280" s="3" t="s">
        <v>87</v>
      </c>
      <c r="BB280" s="5" t="s">
        <v>4408</v>
      </c>
      <c r="BC280" s="5" t="s">
        <v>4412</v>
      </c>
      <c r="BD280" s="3" t="s">
        <v>60</v>
      </c>
      <c r="BE280" s="3" t="s">
        <v>88</v>
      </c>
      <c r="BF280" s="3" t="s">
        <v>88</v>
      </c>
    </row>
    <row r="281" spans="1:58" x14ac:dyDescent="0.2">
      <c r="A281" s="2" t="s">
        <v>4413</v>
      </c>
      <c r="B281" s="2" t="s">
        <v>4414</v>
      </c>
      <c r="C281" s="2" t="s">
        <v>60</v>
      </c>
      <c r="D281" s="2" t="s">
        <v>60</v>
      </c>
      <c r="E281" s="2" t="s">
        <v>4415</v>
      </c>
      <c r="F281" s="2" t="s">
        <v>4416</v>
      </c>
      <c r="G281" s="2" t="s">
        <v>60</v>
      </c>
      <c r="H281" s="2" t="s">
        <v>60</v>
      </c>
      <c r="I281" s="2" t="s">
        <v>60</v>
      </c>
      <c r="J281" s="2" t="s">
        <v>4417</v>
      </c>
      <c r="K281" s="2" t="s">
        <v>4413</v>
      </c>
      <c r="L281" s="2" t="s">
        <v>4418</v>
      </c>
      <c r="M281" s="2" t="s">
        <v>328</v>
      </c>
      <c r="N281" s="2" t="s">
        <v>401</v>
      </c>
      <c r="O281" s="2" t="s">
        <v>402</v>
      </c>
      <c r="P281" s="2" t="s">
        <v>4419</v>
      </c>
      <c r="Q281" s="2" t="s">
        <v>60</v>
      </c>
      <c r="R281" s="2" t="s">
        <v>4420</v>
      </c>
      <c r="S281" s="2" t="s">
        <v>96</v>
      </c>
      <c r="T281" s="16" t="s">
        <v>60</v>
      </c>
      <c r="U281" s="2" t="s">
        <v>97</v>
      </c>
      <c r="V281" s="2" t="s">
        <v>71</v>
      </c>
      <c r="W281" s="2" t="s">
        <v>98</v>
      </c>
      <c r="X281" s="8" t="str">
        <f>HYPERLINK("http://www.dallahhealth.com", "www.dallahhealth.com")</f>
        <v>www.dallahhealth.com</v>
      </c>
      <c r="Y281" s="8" t="str">
        <f>HYPERLINK("http://www.linkedin.com/company/dallahhealth", "http://www.linkedin.com/company/dallahhealth")</f>
        <v>http://www.linkedin.com/company/dallahhealth</v>
      </c>
      <c r="Z281" s="28" t="s">
        <v>60</v>
      </c>
      <c r="AA281" s="2" t="s">
        <v>60</v>
      </c>
      <c r="AB281" s="2" t="s">
        <v>74</v>
      </c>
      <c r="AC281" s="2" t="s">
        <v>4421</v>
      </c>
      <c r="AD281" s="40">
        <v>1995</v>
      </c>
      <c r="AE281" s="2" t="s">
        <v>60</v>
      </c>
      <c r="AF281" s="52">
        <v>1002.48</v>
      </c>
      <c r="AG281" s="52">
        <v>358.6</v>
      </c>
      <c r="AH281" s="52">
        <v>142.61000000000001</v>
      </c>
      <c r="AI281" s="52">
        <v>4983.49</v>
      </c>
      <c r="AJ281" s="52">
        <v>226.48</v>
      </c>
      <c r="AK281" s="52">
        <v>173.67</v>
      </c>
      <c r="AL281" s="52">
        <v>3253.44</v>
      </c>
      <c r="AM281" s="52">
        <v>852.82</v>
      </c>
      <c r="AN281" s="64">
        <v>17.55</v>
      </c>
      <c r="AO281" s="4" t="s">
        <v>179</v>
      </c>
      <c r="AP281" s="2" t="s">
        <v>4422</v>
      </c>
      <c r="AQ281" s="2" t="s">
        <v>4423</v>
      </c>
      <c r="AR281" s="2" t="s">
        <v>79</v>
      </c>
      <c r="AS281" s="2" t="s">
        <v>4424</v>
      </c>
      <c r="AT281" s="2" t="s">
        <v>4425</v>
      </c>
      <c r="AU281" s="2" t="s">
        <v>106</v>
      </c>
      <c r="AV281" s="2" t="s">
        <v>4426</v>
      </c>
      <c r="AW281" s="2" t="s">
        <v>60</v>
      </c>
      <c r="AX281" s="2" t="s">
        <v>109</v>
      </c>
      <c r="AY281" s="2" t="s">
        <v>60</v>
      </c>
      <c r="AZ281" s="4" t="s">
        <v>4427</v>
      </c>
      <c r="BA281" s="2" t="s">
        <v>87</v>
      </c>
      <c r="BB281" s="4" t="s">
        <v>4425</v>
      </c>
      <c r="BC281" s="4" t="s">
        <v>4428</v>
      </c>
      <c r="BD281" s="2" t="s">
        <v>4429</v>
      </c>
      <c r="BE281" s="2" t="s">
        <v>88</v>
      </c>
      <c r="BF281" s="2" t="s">
        <v>88</v>
      </c>
    </row>
    <row r="282" spans="1:58" x14ac:dyDescent="0.2">
      <c r="A282" s="3" t="s">
        <v>4430</v>
      </c>
      <c r="B282" s="3" t="s">
        <v>4431</v>
      </c>
      <c r="C282" s="3" t="s">
        <v>60</v>
      </c>
      <c r="D282" s="3" t="s">
        <v>60</v>
      </c>
      <c r="E282" s="3" t="s">
        <v>60</v>
      </c>
      <c r="F282" s="3" t="s">
        <v>60</v>
      </c>
      <c r="G282" s="3" t="s">
        <v>4432</v>
      </c>
      <c r="H282" s="3" t="s">
        <v>60</v>
      </c>
      <c r="I282" s="3" t="s">
        <v>60</v>
      </c>
      <c r="J282" s="3" t="s">
        <v>60</v>
      </c>
      <c r="K282" s="3" t="s">
        <v>4430</v>
      </c>
      <c r="L282" s="3" t="s">
        <v>4433</v>
      </c>
      <c r="M282" s="3" t="s">
        <v>241</v>
      </c>
      <c r="N282" s="3" t="s">
        <v>242</v>
      </c>
      <c r="O282" s="3" t="s">
        <v>243</v>
      </c>
      <c r="P282" s="3" t="s">
        <v>244</v>
      </c>
      <c r="Q282" s="3" t="s">
        <v>67</v>
      </c>
      <c r="R282" s="3" t="s">
        <v>4434</v>
      </c>
      <c r="S282" s="3" t="s">
        <v>96</v>
      </c>
      <c r="T282" s="17" t="s">
        <v>60</v>
      </c>
      <c r="U282" s="3" t="s">
        <v>97</v>
      </c>
      <c r="V282" s="3" t="s">
        <v>71</v>
      </c>
      <c r="W282" s="3" t="s">
        <v>98</v>
      </c>
      <c r="X282" s="9" t="str">
        <f>HYPERLINK("http://www.citycement.sa", "www.citycement.sa")</f>
        <v>www.citycement.sa</v>
      </c>
      <c r="Y282" s="9" t="str">
        <f>HYPERLINK("http://www.linkedin.com/company/2002892", "http://www.linkedin.com/company/2002892")</f>
        <v>http://www.linkedin.com/company/2002892</v>
      </c>
      <c r="Z282" s="29">
        <v>421</v>
      </c>
      <c r="AA282" s="3" t="s">
        <v>4435</v>
      </c>
      <c r="AB282" s="3" t="s">
        <v>74</v>
      </c>
      <c r="AC282" s="3" t="s">
        <v>4436</v>
      </c>
      <c r="AD282" s="41">
        <v>2001</v>
      </c>
      <c r="AE282" s="3" t="s">
        <v>60</v>
      </c>
      <c r="AF282" s="53">
        <v>145.07</v>
      </c>
      <c r="AG282" s="53">
        <v>47.64</v>
      </c>
      <c r="AH282" s="53">
        <v>36.68</v>
      </c>
      <c r="AI282" s="53">
        <v>426.56</v>
      </c>
      <c r="AJ282" s="53">
        <v>66.72</v>
      </c>
      <c r="AK282" s="53">
        <v>41.2</v>
      </c>
      <c r="AL282" s="53">
        <v>495.96</v>
      </c>
      <c r="AM282" s="53">
        <v>-135.4</v>
      </c>
      <c r="AN282" s="65">
        <v>18.2</v>
      </c>
      <c r="AO282" s="5" t="s">
        <v>179</v>
      </c>
      <c r="AP282" s="3" t="s">
        <v>4437</v>
      </c>
      <c r="AQ282" s="3" t="s">
        <v>4438</v>
      </c>
      <c r="AR282" s="3" t="s">
        <v>4439</v>
      </c>
      <c r="AS282" s="3" t="s">
        <v>4440</v>
      </c>
      <c r="AT282" s="3" t="s">
        <v>60</v>
      </c>
      <c r="AU282" s="3" t="s">
        <v>106</v>
      </c>
      <c r="AV282" s="3" t="s">
        <v>4441</v>
      </c>
      <c r="AW282" s="3" t="s">
        <v>60</v>
      </c>
      <c r="AX282" s="3" t="s">
        <v>109</v>
      </c>
      <c r="AY282" s="3" t="s">
        <v>60</v>
      </c>
      <c r="AZ282" s="5" t="s">
        <v>4442</v>
      </c>
      <c r="BA282" s="3" t="s">
        <v>87</v>
      </c>
      <c r="BB282" s="5" t="s">
        <v>60</v>
      </c>
      <c r="BC282" s="5" t="s">
        <v>60</v>
      </c>
      <c r="BD282" s="3" t="s">
        <v>60</v>
      </c>
      <c r="BE282" s="3" t="s">
        <v>88</v>
      </c>
      <c r="BF282" s="3" t="s">
        <v>88</v>
      </c>
    </row>
    <row r="283" spans="1:58" x14ac:dyDescent="0.2">
      <c r="A283" s="2" t="s">
        <v>4443</v>
      </c>
      <c r="B283" s="2" t="s">
        <v>4444</v>
      </c>
      <c r="C283" s="2" t="s">
        <v>60</v>
      </c>
      <c r="D283" s="2" t="s">
        <v>60</v>
      </c>
      <c r="E283" s="2" t="s">
        <v>4445</v>
      </c>
      <c r="F283" s="2" t="s">
        <v>4446</v>
      </c>
      <c r="G283" s="2" t="s">
        <v>4447</v>
      </c>
      <c r="H283" s="2" t="s">
        <v>60</v>
      </c>
      <c r="I283" s="2" t="s">
        <v>60</v>
      </c>
      <c r="J283" s="2" t="s">
        <v>60</v>
      </c>
      <c r="K283" s="2" t="s">
        <v>4443</v>
      </c>
      <c r="L283" s="2" t="s">
        <v>4448</v>
      </c>
      <c r="M283" s="2" t="s">
        <v>63</v>
      </c>
      <c r="N283" s="2" t="s">
        <v>92</v>
      </c>
      <c r="O283" s="2" t="s">
        <v>3109</v>
      </c>
      <c r="P283" s="2" t="s">
        <v>3238</v>
      </c>
      <c r="Q283" s="2" t="s">
        <v>60</v>
      </c>
      <c r="R283" s="2" t="s">
        <v>4449</v>
      </c>
      <c r="S283" s="2" t="s">
        <v>372</v>
      </c>
      <c r="T283" s="16">
        <v>833.28</v>
      </c>
      <c r="U283" s="2" t="s">
        <v>97</v>
      </c>
      <c r="V283" s="2" t="s">
        <v>71</v>
      </c>
      <c r="W283" s="2" t="s">
        <v>373</v>
      </c>
      <c r="X283" s="8" t="str">
        <f>HYPERLINK("http://www.catrion.com", "www.catrion.com")</f>
        <v>www.catrion.com</v>
      </c>
      <c r="Y283" s="8" t="str">
        <f>HYPERLINK("http://www.linkedin.com/company/catrionglobal1", "http://www.linkedin.com/company/catrionglobal1")</f>
        <v>http://www.linkedin.com/company/catrionglobal1</v>
      </c>
      <c r="Z283" s="28">
        <v>102662</v>
      </c>
      <c r="AA283" s="2" t="s">
        <v>4450</v>
      </c>
      <c r="AB283" s="2" t="s">
        <v>74</v>
      </c>
      <c r="AC283" s="2" t="s">
        <v>4451</v>
      </c>
      <c r="AD283" s="40">
        <v>1981</v>
      </c>
      <c r="AE283" s="2" t="s">
        <v>60</v>
      </c>
      <c r="AF283" s="52">
        <v>631.67999999999995</v>
      </c>
      <c r="AG283" s="52">
        <v>181.88</v>
      </c>
      <c r="AH283" s="52">
        <v>89.44</v>
      </c>
      <c r="AI283" s="52">
        <v>2300.8000000000002</v>
      </c>
      <c r="AJ283" s="52">
        <v>131.75</v>
      </c>
      <c r="AK283" s="52">
        <v>97.92</v>
      </c>
      <c r="AL283" s="52">
        <v>1769.15</v>
      </c>
      <c r="AM283" s="52">
        <v>142.24</v>
      </c>
      <c r="AN283" s="64">
        <v>5.26</v>
      </c>
      <c r="AO283" s="4" t="s">
        <v>179</v>
      </c>
      <c r="AP283" s="2" t="s">
        <v>4452</v>
      </c>
      <c r="AQ283" s="2" t="s">
        <v>4453</v>
      </c>
      <c r="AR283" s="2" t="s">
        <v>4454</v>
      </c>
      <c r="AS283" s="2" t="s">
        <v>4455</v>
      </c>
      <c r="AT283" s="2" t="s">
        <v>4456</v>
      </c>
      <c r="AU283" s="2" t="s">
        <v>82</v>
      </c>
      <c r="AV283" s="2" t="s">
        <v>4457</v>
      </c>
      <c r="AW283" s="2" t="s">
        <v>4458</v>
      </c>
      <c r="AX283" s="2" t="s">
        <v>85</v>
      </c>
      <c r="AY283" s="2" t="s">
        <v>60</v>
      </c>
      <c r="AZ283" s="4" t="s">
        <v>4459</v>
      </c>
      <c r="BA283" s="2" t="s">
        <v>87</v>
      </c>
      <c r="BB283" s="4" t="s">
        <v>4456</v>
      </c>
      <c r="BC283" s="4" t="s">
        <v>4460</v>
      </c>
      <c r="BD283" s="2" t="s">
        <v>4461</v>
      </c>
      <c r="BE283" s="2" t="s">
        <v>88</v>
      </c>
      <c r="BF283" s="2" t="s">
        <v>88</v>
      </c>
    </row>
    <row r="284" spans="1:58" x14ac:dyDescent="0.2">
      <c r="A284" s="3" t="s">
        <v>4462</v>
      </c>
      <c r="B284" s="3" t="s">
        <v>4463</v>
      </c>
      <c r="C284" s="3" t="s">
        <v>60</v>
      </c>
      <c r="D284" s="3" t="s">
        <v>60</v>
      </c>
      <c r="E284" s="3" t="s">
        <v>4464</v>
      </c>
      <c r="F284" s="3" t="s">
        <v>4465</v>
      </c>
      <c r="G284" s="3" t="s">
        <v>60</v>
      </c>
      <c r="H284" s="3" t="s">
        <v>60</v>
      </c>
      <c r="I284" s="3" t="s">
        <v>60</v>
      </c>
      <c r="J284" s="3" t="s">
        <v>60</v>
      </c>
      <c r="K284" s="3" t="s">
        <v>4462</v>
      </c>
      <c r="L284" s="3" t="s">
        <v>4466</v>
      </c>
      <c r="M284" s="3" t="s">
        <v>115</v>
      </c>
      <c r="N284" s="3" t="s">
        <v>368</v>
      </c>
      <c r="O284" s="3" t="s">
        <v>1743</v>
      </c>
      <c r="P284" s="3" t="s">
        <v>4467</v>
      </c>
      <c r="Q284" s="3" t="s">
        <v>311</v>
      </c>
      <c r="R284" s="3" t="s">
        <v>4468</v>
      </c>
      <c r="S284" s="3" t="s">
        <v>372</v>
      </c>
      <c r="T284" s="17">
        <v>371.68</v>
      </c>
      <c r="U284" s="3" t="s">
        <v>97</v>
      </c>
      <c r="V284" s="3" t="s">
        <v>71</v>
      </c>
      <c r="W284" s="3" t="s">
        <v>373</v>
      </c>
      <c r="X284" s="9" t="str">
        <f>HYPERLINK("http://www.seera.sa", "www.seera.sa")</f>
        <v>www.seera.sa</v>
      </c>
      <c r="Y284" s="9" t="str">
        <f>HYPERLINK("http://www.linkedin.com/company/seera-group", "http://www.linkedin.com/company/seera-group")</f>
        <v>http://www.linkedin.com/company/seera-group</v>
      </c>
      <c r="Z284" s="29">
        <v>1808</v>
      </c>
      <c r="AA284" s="3" t="s">
        <v>4469</v>
      </c>
      <c r="AB284" s="3" t="s">
        <v>74</v>
      </c>
      <c r="AC284" s="3" t="s">
        <v>4470</v>
      </c>
      <c r="AD284" s="41">
        <v>1979</v>
      </c>
      <c r="AE284" s="3" t="s">
        <v>60</v>
      </c>
      <c r="AF284" s="53">
        <v>1256.6400000000001</v>
      </c>
      <c r="AG284" s="53">
        <v>482.24</v>
      </c>
      <c r="AH284" s="53">
        <v>-68.08</v>
      </c>
      <c r="AI284" s="53">
        <v>2608.21</v>
      </c>
      <c r="AJ284" s="53">
        <v>130.54</v>
      </c>
      <c r="AK284" s="53">
        <v>-17.850000000000001</v>
      </c>
      <c r="AL284" s="53">
        <v>1908.28</v>
      </c>
      <c r="AM284" s="53">
        <v>399.07</v>
      </c>
      <c r="AN284" s="65">
        <v>14.62</v>
      </c>
      <c r="AO284" s="5" t="s">
        <v>179</v>
      </c>
      <c r="AP284" s="3" t="s">
        <v>4471</v>
      </c>
      <c r="AQ284" s="3" t="s">
        <v>4472</v>
      </c>
      <c r="AR284" s="3" t="s">
        <v>4473</v>
      </c>
      <c r="AS284" s="3" t="s">
        <v>4474</v>
      </c>
      <c r="AT284" s="3" t="s">
        <v>4475</v>
      </c>
      <c r="AU284" s="3" t="s">
        <v>106</v>
      </c>
      <c r="AV284" s="3" t="s">
        <v>4476</v>
      </c>
      <c r="AW284" s="3" t="s">
        <v>4477</v>
      </c>
      <c r="AX284" s="3" t="s">
        <v>109</v>
      </c>
      <c r="AY284" s="3" t="s">
        <v>60</v>
      </c>
      <c r="AZ284" s="5" t="s">
        <v>4478</v>
      </c>
      <c r="BA284" s="3" t="s">
        <v>87</v>
      </c>
      <c r="BB284" s="5" t="s">
        <v>4475</v>
      </c>
      <c r="BC284" s="5" t="s">
        <v>60</v>
      </c>
      <c r="BD284" s="3" t="s">
        <v>60</v>
      </c>
      <c r="BE284" s="3" t="s">
        <v>88</v>
      </c>
      <c r="BF284" s="3" t="s">
        <v>88</v>
      </c>
    </row>
    <row r="285" spans="1:58" x14ac:dyDescent="0.2">
      <c r="A285" s="2" t="s">
        <v>4479</v>
      </c>
      <c r="B285" s="2" t="s">
        <v>4480</v>
      </c>
      <c r="C285" s="2" t="s">
        <v>60</v>
      </c>
      <c r="D285" s="2" t="s">
        <v>60</v>
      </c>
      <c r="E285" s="2" t="s">
        <v>60</v>
      </c>
      <c r="F285" s="2" t="s">
        <v>60</v>
      </c>
      <c r="G285" s="2" t="s">
        <v>4481</v>
      </c>
      <c r="H285" s="2" t="s">
        <v>60</v>
      </c>
      <c r="I285" s="2" t="s">
        <v>60</v>
      </c>
      <c r="J285" s="2" t="s">
        <v>4482</v>
      </c>
      <c r="K285" s="2" t="s">
        <v>4479</v>
      </c>
      <c r="L285" s="2" t="s">
        <v>4483</v>
      </c>
      <c r="M285" s="2" t="s">
        <v>241</v>
      </c>
      <c r="N285" s="2" t="s">
        <v>242</v>
      </c>
      <c r="O285" s="2" t="s">
        <v>243</v>
      </c>
      <c r="P285" s="2" t="s">
        <v>244</v>
      </c>
      <c r="Q285" s="2" t="s">
        <v>67</v>
      </c>
      <c r="R285" s="2" t="s">
        <v>4484</v>
      </c>
      <c r="S285" s="2" t="s">
        <v>96</v>
      </c>
      <c r="T285" s="16">
        <v>127.65</v>
      </c>
      <c r="U285" s="2" t="s">
        <v>97</v>
      </c>
      <c r="V285" s="2" t="s">
        <v>71</v>
      </c>
      <c r="W285" s="2" t="s">
        <v>98</v>
      </c>
      <c r="X285" s="8" t="str">
        <f>HYPERLINK("http://www.najrancement.com", "www.najrancement.com")</f>
        <v>www.najrancement.com</v>
      </c>
      <c r="Y285" s="8" t="str">
        <f>HYPERLINK("http://www.linkedin.com/company/najran-cement-company", "http://www.linkedin.com/company/najran-cement-company")</f>
        <v>http://www.linkedin.com/company/najran-cement-company</v>
      </c>
      <c r="Z285" s="28">
        <v>897</v>
      </c>
      <c r="AA285" s="2" t="s">
        <v>4485</v>
      </c>
      <c r="AB285" s="2" t="s">
        <v>74</v>
      </c>
      <c r="AC285" s="2" t="s">
        <v>4486</v>
      </c>
      <c r="AD285" s="40">
        <v>2005</v>
      </c>
      <c r="AE285" s="2" t="s">
        <v>60</v>
      </c>
      <c r="AF285" s="52">
        <v>141.41999999999999</v>
      </c>
      <c r="AG285" s="52">
        <v>34.85</v>
      </c>
      <c r="AH285" s="52">
        <v>15.01</v>
      </c>
      <c r="AI285" s="52">
        <v>427.1</v>
      </c>
      <c r="AJ285" s="52">
        <v>48.36</v>
      </c>
      <c r="AK285" s="52">
        <v>22.46</v>
      </c>
      <c r="AL285" s="52">
        <v>282.18</v>
      </c>
      <c r="AM285" s="52">
        <v>77.47</v>
      </c>
      <c r="AN285" s="64">
        <v>3.58</v>
      </c>
      <c r="AO285" s="4" t="s">
        <v>179</v>
      </c>
      <c r="AP285" s="2" t="s">
        <v>4487</v>
      </c>
      <c r="AQ285" s="2" t="s">
        <v>4488</v>
      </c>
      <c r="AR285" s="2" t="s">
        <v>124</v>
      </c>
      <c r="AS285" s="2" t="s">
        <v>60</v>
      </c>
      <c r="AT285" s="2" t="s">
        <v>4489</v>
      </c>
      <c r="AU285" s="2" t="s">
        <v>2948</v>
      </c>
      <c r="AV285" s="2" t="s">
        <v>4490</v>
      </c>
      <c r="AW285" s="2" t="s">
        <v>4491</v>
      </c>
      <c r="AX285" s="2" t="s">
        <v>2951</v>
      </c>
      <c r="AY285" s="2" t="s">
        <v>60</v>
      </c>
      <c r="AZ285" s="4" t="s">
        <v>4492</v>
      </c>
      <c r="BA285" s="2" t="s">
        <v>87</v>
      </c>
      <c r="BB285" s="4" t="s">
        <v>4489</v>
      </c>
      <c r="BC285" s="4" t="s">
        <v>4493</v>
      </c>
      <c r="BD285" s="2" t="s">
        <v>4494</v>
      </c>
      <c r="BE285" s="2" t="s">
        <v>88</v>
      </c>
      <c r="BF285" s="2" t="s">
        <v>88</v>
      </c>
    </row>
    <row r="286" spans="1:58" x14ac:dyDescent="0.2">
      <c r="A286" s="3" t="s">
        <v>4495</v>
      </c>
      <c r="B286" s="3" t="s">
        <v>4496</v>
      </c>
      <c r="C286" s="3" t="s">
        <v>60</v>
      </c>
      <c r="D286" s="3" t="s">
        <v>60</v>
      </c>
      <c r="E286" s="3" t="s">
        <v>4497</v>
      </c>
      <c r="F286" s="3" t="s">
        <v>60</v>
      </c>
      <c r="G286" s="3" t="s">
        <v>4498</v>
      </c>
      <c r="H286" s="3" t="s">
        <v>60</v>
      </c>
      <c r="I286" s="3" t="s">
        <v>60</v>
      </c>
      <c r="J286" s="3" t="s">
        <v>60</v>
      </c>
      <c r="K286" s="3" t="s">
        <v>4495</v>
      </c>
      <c r="L286" s="3" t="s">
        <v>4499</v>
      </c>
      <c r="M286" s="3" t="s">
        <v>241</v>
      </c>
      <c r="N286" s="3" t="s">
        <v>499</v>
      </c>
      <c r="O286" s="3" t="s">
        <v>2616</v>
      </c>
      <c r="P286" s="3" t="s">
        <v>2617</v>
      </c>
      <c r="Q286" s="3" t="s">
        <v>67</v>
      </c>
      <c r="R286" s="3" t="s">
        <v>4500</v>
      </c>
      <c r="S286" s="3" t="s">
        <v>96</v>
      </c>
      <c r="T286" s="17">
        <v>62.38</v>
      </c>
      <c r="U286" s="3" t="s">
        <v>1516</v>
      </c>
      <c r="V286" s="3" t="s">
        <v>71</v>
      </c>
      <c r="W286" s="3" t="s">
        <v>98</v>
      </c>
      <c r="X286" s="9" t="str">
        <f>HYPERLINK("http://www.takweenai.com", "www.takweenai.com")</f>
        <v>www.takweenai.com</v>
      </c>
      <c r="Y286" s="9" t="str">
        <f>HYPERLINK("http://www.linkedin.com/company/takween-advanced-industries", "http://www.linkedin.com/company/takween-advanced-industries")</f>
        <v>http://www.linkedin.com/company/takween-advanced-industries</v>
      </c>
      <c r="Z286" s="29">
        <v>623</v>
      </c>
      <c r="AA286" s="3" t="s">
        <v>4501</v>
      </c>
      <c r="AB286" s="3" t="s">
        <v>74</v>
      </c>
      <c r="AC286" s="3" t="s">
        <v>4502</v>
      </c>
      <c r="AD286" s="41">
        <v>1993</v>
      </c>
      <c r="AE286" s="3" t="s">
        <v>60</v>
      </c>
      <c r="AF286" s="53">
        <v>157.83000000000001</v>
      </c>
      <c r="AG286" s="53">
        <v>14.48</v>
      </c>
      <c r="AH286" s="53">
        <v>-27</v>
      </c>
      <c r="AI286" s="53">
        <v>332.22</v>
      </c>
      <c r="AJ286" s="53">
        <v>0.27</v>
      </c>
      <c r="AK286" s="53">
        <v>-11.48</v>
      </c>
      <c r="AL286" s="53">
        <v>126.89</v>
      </c>
      <c r="AM286" s="53">
        <v>181.65</v>
      </c>
      <c r="AN286" s="65">
        <v>-15.57</v>
      </c>
      <c r="AO286" s="5" t="s">
        <v>179</v>
      </c>
      <c r="AP286" s="3" t="s">
        <v>4503</v>
      </c>
      <c r="AQ286" s="3" t="s">
        <v>4504</v>
      </c>
      <c r="AR286" s="3" t="s">
        <v>79</v>
      </c>
      <c r="AS286" s="3" t="s">
        <v>4505</v>
      </c>
      <c r="AT286" s="3" t="s">
        <v>4506</v>
      </c>
      <c r="AU286" s="3" t="s">
        <v>2578</v>
      </c>
      <c r="AV286" s="3" t="s">
        <v>4507</v>
      </c>
      <c r="AW286" s="3" t="s">
        <v>4508</v>
      </c>
      <c r="AX286" s="3" t="s">
        <v>2580</v>
      </c>
      <c r="AY286" s="3" t="s">
        <v>4509</v>
      </c>
      <c r="AZ286" s="5" t="s">
        <v>917</v>
      </c>
      <c r="BA286" s="3" t="s">
        <v>87</v>
      </c>
      <c r="BB286" s="5" t="s">
        <v>4506</v>
      </c>
      <c r="BC286" s="5" t="s">
        <v>4510</v>
      </c>
      <c r="BD286" s="3" t="s">
        <v>4511</v>
      </c>
      <c r="BE286" s="3" t="s">
        <v>88</v>
      </c>
      <c r="BF286" s="3" t="s">
        <v>88</v>
      </c>
    </row>
    <row r="287" spans="1:58" x14ac:dyDescent="0.2">
      <c r="A287" s="2" t="s">
        <v>4512</v>
      </c>
      <c r="B287" s="2" t="s">
        <v>4513</v>
      </c>
      <c r="C287" s="2" t="s">
        <v>60</v>
      </c>
      <c r="D287" s="2" t="s">
        <v>60</v>
      </c>
      <c r="E287" s="2" t="s">
        <v>60</v>
      </c>
      <c r="F287" s="2" t="s">
        <v>4514</v>
      </c>
      <c r="G287" s="2" t="s">
        <v>4515</v>
      </c>
      <c r="H287" s="2" t="s">
        <v>60</v>
      </c>
      <c r="I287" s="2" t="s">
        <v>60</v>
      </c>
      <c r="J287" s="2" t="s">
        <v>60</v>
      </c>
      <c r="K287" s="2" t="s">
        <v>4512</v>
      </c>
      <c r="L287" s="2" t="s">
        <v>4516</v>
      </c>
      <c r="M287" s="2" t="s">
        <v>63</v>
      </c>
      <c r="N287" s="2" t="s">
        <v>64</v>
      </c>
      <c r="O287" s="2" t="s">
        <v>65</v>
      </c>
      <c r="P287" s="2" t="s">
        <v>4517</v>
      </c>
      <c r="Q287" s="2" t="s">
        <v>260</v>
      </c>
      <c r="R287" s="2" t="s">
        <v>4518</v>
      </c>
      <c r="S287" s="2" t="s">
        <v>96</v>
      </c>
      <c r="T287" s="16" t="s">
        <v>60</v>
      </c>
      <c r="U287" s="2" t="s">
        <v>97</v>
      </c>
      <c r="V287" s="2" t="s">
        <v>71</v>
      </c>
      <c r="W287" s="2" t="s">
        <v>98</v>
      </c>
      <c r="X287" s="8" t="str">
        <f>HYPERLINK("http://www.unitedwires.com.sa", "www.unitedwires.com.sa")</f>
        <v>www.unitedwires.com.sa</v>
      </c>
      <c r="Y287" s="2" t="s">
        <v>60</v>
      </c>
      <c r="Z287" s="28">
        <v>640</v>
      </c>
      <c r="AA287" s="2" t="s">
        <v>4519</v>
      </c>
      <c r="AB287" s="2" t="s">
        <v>74</v>
      </c>
      <c r="AC287" s="2" t="s">
        <v>4520</v>
      </c>
      <c r="AD287" s="40">
        <v>1990</v>
      </c>
      <c r="AE287" s="2" t="s">
        <v>60</v>
      </c>
      <c r="AF287" s="52">
        <v>193.62</v>
      </c>
      <c r="AG287" s="52">
        <v>13.22</v>
      </c>
      <c r="AH287" s="52">
        <v>1.57</v>
      </c>
      <c r="AI287" s="52">
        <v>170.83</v>
      </c>
      <c r="AJ287" s="52">
        <v>6.62</v>
      </c>
      <c r="AK287" s="52">
        <v>3.26</v>
      </c>
      <c r="AL287" s="52">
        <v>147.57</v>
      </c>
      <c r="AM287" s="52">
        <v>-14.59</v>
      </c>
      <c r="AN287" s="64">
        <v>2.4300000000000002</v>
      </c>
      <c r="AO287" s="4" t="s">
        <v>179</v>
      </c>
      <c r="AP287" s="2" t="s">
        <v>4521</v>
      </c>
      <c r="AQ287" s="2" t="s">
        <v>4522</v>
      </c>
      <c r="AR287" s="2" t="s">
        <v>4523</v>
      </c>
      <c r="AS287" s="2" t="s">
        <v>4524</v>
      </c>
      <c r="AT287" s="2" t="s">
        <v>4525</v>
      </c>
      <c r="AU287" s="2" t="s">
        <v>106</v>
      </c>
      <c r="AV287" s="2" t="s">
        <v>4526</v>
      </c>
      <c r="AW287" s="2" t="s">
        <v>4527</v>
      </c>
      <c r="AX287" s="2" t="s">
        <v>109</v>
      </c>
      <c r="AY287" s="2" t="s">
        <v>60</v>
      </c>
      <c r="AZ287" s="4" t="s">
        <v>148</v>
      </c>
      <c r="BA287" s="2" t="s">
        <v>87</v>
      </c>
      <c r="BB287" s="4" t="s">
        <v>4525</v>
      </c>
      <c r="BC287" s="4" t="s">
        <v>4528</v>
      </c>
      <c r="BD287" s="2" t="s">
        <v>60</v>
      </c>
      <c r="BE287" s="2" t="s">
        <v>88</v>
      </c>
      <c r="BF287" s="2" t="s">
        <v>88</v>
      </c>
    </row>
    <row r="288" spans="1:58" x14ac:dyDescent="0.2">
      <c r="A288" s="3" t="s">
        <v>4529</v>
      </c>
      <c r="B288" s="3" t="s">
        <v>4530</v>
      </c>
      <c r="C288" s="3" t="s">
        <v>60</v>
      </c>
      <c r="D288" s="3" t="s">
        <v>60</v>
      </c>
      <c r="E288" s="3" t="s">
        <v>60</v>
      </c>
      <c r="F288" s="3" t="s">
        <v>4531</v>
      </c>
      <c r="G288" s="3" t="s">
        <v>4532</v>
      </c>
      <c r="H288" s="3" t="s">
        <v>60</v>
      </c>
      <c r="I288" s="3" t="s">
        <v>60</v>
      </c>
      <c r="J288" s="3" t="s">
        <v>4533</v>
      </c>
      <c r="K288" s="3" t="s">
        <v>4529</v>
      </c>
      <c r="L288" s="3" t="s">
        <v>4534</v>
      </c>
      <c r="M288" s="3" t="s">
        <v>115</v>
      </c>
      <c r="N288" s="3" t="s">
        <v>2794</v>
      </c>
      <c r="O288" s="3" t="s">
        <v>2795</v>
      </c>
      <c r="P288" s="3" t="s">
        <v>4535</v>
      </c>
      <c r="Q288" s="3" t="s">
        <v>311</v>
      </c>
      <c r="R288" s="3" t="s">
        <v>4536</v>
      </c>
      <c r="S288" s="3" t="s">
        <v>96</v>
      </c>
      <c r="T288" s="17" t="s">
        <v>60</v>
      </c>
      <c r="U288" s="3" t="s">
        <v>97</v>
      </c>
      <c r="V288" s="3" t="s">
        <v>71</v>
      </c>
      <c r="W288" s="3" t="s">
        <v>98</v>
      </c>
      <c r="X288" s="9" t="str">
        <f>HYPERLINK("http://www.extra.com", "www.extra.com")</f>
        <v>www.extra.com</v>
      </c>
      <c r="Y288" s="9" t="str">
        <f>HYPERLINK("http://www.linkedin.com/company/extra-united-electronics-co--/", "http://www.linkedin.com/company/extra-united-electronics-co--/")</f>
        <v>http://www.linkedin.com/company/extra-united-electronics-co--/</v>
      </c>
      <c r="Z288" s="29">
        <v>2620</v>
      </c>
      <c r="AA288" s="3" t="s">
        <v>4537</v>
      </c>
      <c r="AB288" s="3" t="s">
        <v>74</v>
      </c>
      <c r="AC288" s="3" t="s">
        <v>4538</v>
      </c>
      <c r="AD288" s="41">
        <v>2003</v>
      </c>
      <c r="AE288" s="3" t="s">
        <v>60</v>
      </c>
      <c r="AF288" s="53">
        <v>1952.33</v>
      </c>
      <c r="AG288" s="53">
        <v>463.21</v>
      </c>
      <c r="AH288" s="53">
        <v>134.85</v>
      </c>
      <c r="AI288" s="53">
        <v>2039.07</v>
      </c>
      <c r="AJ288" s="53">
        <v>211.96</v>
      </c>
      <c r="AK288" s="53">
        <v>179.56</v>
      </c>
      <c r="AL288" s="53">
        <v>1802.58</v>
      </c>
      <c r="AM288" s="53">
        <v>90.11</v>
      </c>
      <c r="AN288" s="65">
        <v>10.01</v>
      </c>
      <c r="AO288" s="5" t="s">
        <v>179</v>
      </c>
      <c r="AP288" s="3" t="s">
        <v>4539</v>
      </c>
      <c r="AQ288" s="3" t="s">
        <v>4540</v>
      </c>
      <c r="AR288" s="3" t="s">
        <v>4111</v>
      </c>
      <c r="AS288" s="3" t="s">
        <v>60</v>
      </c>
      <c r="AT288" s="3" t="s">
        <v>4541</v>
      </c>
      <c r="AU288" s="3" t="s">
        <v>700</v>
      </c>
      <c r="AV288" s="3" t="s">
        <v>4542</v>
      </c>
      <c r="AW288" s="3" t="s">
        <v>4543</v>
      </c>
      <c r="AX288" s="3" t="s">
        <v>703</v>
      </c>
      <c r="AY288" s="3" t="s">
        <v>60</v>
      </c>
      <c r="AZ288" s="5" t="s">
        <v>917</v>
      </c>
      <c r="BA288" s="3" t="s">
        <v>87</v>
      </c>
      <c r="BB288" s="5" t="s">
        <v>4541</v>
      </c>
      <c r="BC288" s="5" t="s">
        <v>4544</v>
      </c>
      <c r="BD288" s="3" t="s">
        <v>60</v>
      </c>
      <c r="BE288" s="3" t="s">
        <v>88</v>
      </c>
      <c r="BF288" s="3" t="s">
        <v>88</v>
      </c>
    </row>
    <row r="289" spans="1:58" x14ac:dyDescent="0.2">
      <c r="A289" s="2" t="s">
        <v>4545</v>
      </c>
      <c r="B289" s="2" t="s">
        <v>4546</v>
      </c>
      <c r="C289" s="2" t="s">
        <v>60</v>
      </c>
      <c r="D289" s="2" t="s">
        <v>60</v>
      </c>
      <c r="E289" s="2" t="s">
        <v>4547</v>
      </c>
      <c r="F289" s="2" t="s">
        <v>4548</v>
      </c>
      <c r="G289" s="2" t="s">
        <v>4549</v>
      </c>
      <c r="H289" s="2" t="s">
        <v>60</v>
      </c>
      <c r="I289" s="2" t="s">
        <v>60</v>
      </c>
      <c r="J289" s="2" t="s">
        <v>60</v>
      </c>
      <c r="K289" s="2" t="s">
        <v>4545</v>
      </c>
      <c r="L289" s="2" t="s">
        <v>4550</v>
      </c>
      <c r="M289" s="2" t="s">
        <v>63</v>
      </c>
      <c r="N289" s="2" t="s">
        <v>64</v>
      </c>
      <c r="O289" s="2" t="s">
        <v>530</v>
      </c>
      <c r="P289" s="2" t="s">
        <v>1371</v>
      </c>
      <c r="Q289" s="2" t="s">
        <v>1179</v>
      </c>
      <c r="R289" s="2" t="s">
        <v>4551</v>
      </c>
      <c r="S289" s="2" t="s">
        <v>96</v>
      </c>
      <c r="T289" s="16" t="s">
        <v>60</v>
      </c>
      <c r="U289" s="2" t="s">
        <v>97</v>
      </c>
      <c r="V289" s="2" t="s">
        <v>71</v>
      </c>
      <c r="W289" s="2" t="s">
        <v>98</v>
      </c>
      <c r="X289" s="8" t="str">
        <f>HYPERLINK("http://www.arabian-pipes.com", "www.arabian-pipes.com")</f>
        <v>www.arabian-pipes.com</v>
      </c>
      <c r="Y289" s="8" t="str">
        <f>HYPERLINK("http://www.linkedin.com/company/arabian-pipes-company", "http://www.linkedin.com/company/arabian-pipes-company")</f>
        <v>http://www.linkedin.com/company/arabian-pipes-company</v>
      </c>
      <c r="Z289" s="28">
        <v>380</v>
      </c>
      <c r="AA289" s="2" t="s">
        <v>4552</v>
      </c>
      <c r="AB289" s="2" t="s">
        <v>74</v>
      </c>
      <c r="AC289" s="2" t="s">
        <v>4553</v>
      </c>
      <c r="AD289" s="40">
        <v>1991</v>
      </c>
      <c r="AE289" s="2" t="s">
        <v>60</v>
      </c>
      <c r="AF289" s="52">
        <v>238.43</v>
      </c>
      <c r="AG289" s="52">
        <v>53.24</v>
      </c>
      <c r="AH289" s="52">
        <v>30.57</v>
      </c>
      <c r="AI289" s="52">
        <v>377.29</v>
      </c>
      <c r="AJ289" s="52">
        <v>53.77</v>
      </c>
      <c r="AK289" s="52">
        <v>43.4</v>
      </c>
      <c r="AL289" s="52">
        <v>281.27</v>
      </c>
      <c r="AM289" s="52">
        <v>15.04</v>
      </c>
      <c r="AN289" s="64">
        <v>-31.19</v>
      </c>
      <c r="AO289" s="4" t="s">
        <v>179</v>
      </c>
      <c r="AP289" s="2" t="s">
        <v>4554</v>
      </c>
      <c r="AQ289" s="2" t="s">
        <v>4555</v>
      </c>
      <c r="AR289" s="2" t="s">
        <v>299</v>
      </c>
      <c r="AS289" s="2" t="s">
        <v>4556</v>
      </c>
      <c r="AT289" s="2" t="s">
        <v>4557</v>
      </c>
      <c r="AU289" s="2" t="s">
        <v>106</v>
      </c>
      <c r="AV289" s="2" t="s">
        <v>4558</v>
      </c>
      <c r="AW289" s="2" t="s">
        <v>60</v>
      </c>
      <c r="AX289" s="2" t="s">
        <v>109</v>
      </c>
      <c r="AY289" s="2" t="s">
        <v>60</v>
      </c>
      <c r="AZ289" s="4" t="s">
        <v>4559</v>
      </c>
      <c r="BA289" s="2" t="s">
        <v>87</v>
      </c>
      <c r="BB289" s="4" t="s">
        <v>4557</v>
      </c>
      <c r="BC289" s="4" t="s">
        <v>4560</v>
      </c>
      <c r="BD289" s="2" t="s">
        <v>4561</v>
      </c>
      <c r="BE289" s="2" t="s">
        <v>88</v>
      </c>
      <c r="BF289" s="2" t="s">
        <v>88</v>
      </c>
    </row>
    <row r="290" spans="1:58" x14ac:dyDescent="0.2">
      <c r="A290" s="3" t="s">
        <v>4562</v>
      </c>
      <c r="B290" s="3" t="s">
        <v>4563</v>
      </c>
      <c r="C290" s="3" t="s">
        <v>60</v>
      </c>
      <c r="D290" s="3" t="s">
        <v>60</v>
      </c>
      <c r="E290" s="3" t="s">
        <v>60</v>
      </c>
      <c r="F290" s="3" t="s">
        <v>60</v>
      </c>
      <c r="G290" s="3" t="s">
        <v>4564</v>
      </c>
      <c r="H290" s="3" t="s">
        <v>60</v>
      </c>
      <c r="I290" s="3" t="s">
        <v>60</v>
      </c>
      <c r="J290" s="3" t="s">
        <v>60</v>
      </c>
      <c r="K290" s="3" t="s">
        <v>4562</v>
      </c>
      <c r="L290" s="3" t="s">
        <v>4565</v>
      </c>
      <c r="M290" s="3" t="s">
        <v>63</v>
      </c>
      <c r="N290" s="3" t="s">
        <v>64</v>
      </c>
      <c r="O290" s="3" t="s">
        <v>1128</v>
      </c>
      <c r="P290" s="3" t="s">
        <v>4566</v>
      </c>
      <c r="Q290" s="3" t="s">
        <v>260</v>
      </c>
      <c r="R290" s="3" t="s">
        <v>4567</v>
      </c>
      <c r="S290" s="3" t="s">
        <v>96</v>
      </c>
      <c r="T290" s="17" t="s">
        <v>60</v>
      </c>
      <c r="U290" s="3" t="s">
        <v>97</v>
      </c>
      <c r="V290" s="3" t="s">
        <v>71</v>
      </c>
      <c r="W290" s="3" t="s">
        <v>98</v>
      </c>
      <c r="X290" s="9" t="str">
        <f>HYPERLINK("http://www.joufcem.com.sa", "www.joufcem.com.sa")</f>
        <v>www.joufcem.com.sa</v>
      </c>
      <c r="Y290" s="9" t="str">
        <f>HYPERLINK("http://www.linkedin.com/company/al-jouf-cement-company", "http://www.linkedin.com/company/al-jouf-cement-company")</f>
        <v>http://www.linkedin.com/company/al-jouf-cement-company</v>
      </c>
      <c r="Z290" s="29">
        <v>275</v>
      </c>
      <c r="AA290" s="3" t="s">
        <v>4568</v>
      </c>
      <c r="AB290" s="3" t="s">
        <v>74</v>
      </c>
      <c r="AC290" s="3" t="s">
        <v>4569</v>
      </c>
      <c r="AD290" s="41">
        <v>2006</v>
      </c>
      <c r="AE290" s="3" t="s">
        <v>60</v>
      </c>
      <c r="AF290" s="53">
        <v>71.2</v>
      </c>
      <c r="AG290" s="53">
        <v>-1.66</v>
      </c>
      <c r="AH290" s="53">
        <v>-16.97</v>
      </c>
      <c r="AI290" s="53">
        <v>385.91</v>
      </c>
      <c r="AJ290" s="53">
        <v>7.46</v>
      </c>
      <c r="AK290" s="53">
        <v>-1.1200000000000001</v>
      </c>
      <c r="AL290" s="53">
        <v>175.75</v>
      </c>
      <c r="AM290" s="53">
        <v>186.26</v>
      </c>
      <c r="AN290" s="65">
        <v>14.84</v>
      </c>
      <c r="AO290" s="5" t="s">
        <v>179</v>
      </c>
      <c r="AP290" s="3" t="s">
        <v>4570</v>
      </c>
      <c r="AQ290" s="3" t="s">
        <v>4571</v>
      </c>
      <c r="AR290" s="3" t="s">
        <v>124</v>
      </c>
      <c r="AS290" s="3" t="s">
        <v>4572</v>
      </c>
      <c r="AT290" s="3" t="s">
        <v>4573</v>
      </c>
      <c r="AU290" s="3" t="s">
        <v>106</v>
      </c>
      <c r="AV290" s="3" t="s">
        <v>4574</v>
      </c>
      <c r="AW290" s="3" t="s">
        <v>4575</v>
      </c>
      <c r="AX290" s="3" t="s">
        <v>109</v>
      </c>
      <c r="AY290" s="3" t="s">
        <v>60</v>
      </c>
      <c r="AZ290" s="5" t="s">
        <v>2807</v>
      </c>
      <c r="BA290" s="3" t="s">
        <v>87</v>
      </c>
      <c r="BB290" s="5" t="s">
        <v>4573</v>
      </c>
      <c r="BC290" s="5" t="s">
        <v>4576</v>
      </c>
      <c r="BD290" s="3" t="s">
        <v>4577</v>
      </c>
      <c r="BE290" s="3" t="s">
        <v>88</v>
      </c>
      <c r="BF290" s="3" t="s">
        <v>88</v>
      </c>
    </row>
    <row r="291" spans="1:58" x14ac:dyDescent="0.2">
      <c r="A291" s="2" t="s">
        <v>4578</v>
      </c>
      <c r="B291" s="2" t="s">
        <v>4579</v>
      </c>
      <c r="C291" s="2" t="s">
        <v>60</v>
      </c>
      <c r="D291" s="2" t="s">
        <v>60</v>
      </c>
      <c r="E291" s="2" t="s">
        <v>60</v>
      </c>
      <c r="F291" s="2" t="s">
        <v>4580</v>
      </c>
      <c r="G291" s="2" t="s">
        <v>4581</v>
      </c>
      <c r="H291" s="2" t="s">
        <v>60</v>
      </c>
      <c r="I291" s="2" t="s">
        <v>60</v>
      </c>
      <c r="J291" s="2" t="s">
        <v>60</v>
      </c>
      <c r="K291" s="2" t="s">
        <v>4578</v>
      </c>
      <c r="L291" s="2" t="s">
        <v>4582</v>
      </c>
      <c r="M291" s="2" t="s">
        <v>115</v>
      </c>
      <c r="N291" s="2" t="s">
        <v>2794</v>
      </c>
      <c r="O291" s="2" t="s">
        <v>4583</v>
      </c>
      <c r="P291" s="2" t="s">
        <v>4584</v>
      </c>
      <c r="Q291" s="2" t="s">
        <v>67</v>
      </c>
      <c r="R291" s="2" t="s">
        <v>4585</v>
      </c>
      <c r="S291" s="2" t="s">
        <v>96</v>
      </c>
      <c r="T291" s="16" t="s">
        <v>60</v>
      </c>
      <c r="U291" s="2" t="s">
        <v>97</v>
      </c>
      <c r="V291" s="2" t="s">
        <v>71</v>
      </c>
      <c r="W291" s="2" t="s">
        <v>98</v>
      </c>
      <c r="X291" s="8" t="str">
        <f>HYPERLINK("http://www.shaker.com.sa", "www.shaker.com.sa")</f>
        <v>www.shaker.com.sa</v>
      </c>
      <c r="Y291" s="8" t="str">
        <f>HYPERLINK("http://www.linkedin.com/company/hgisc", "http://www.linkedin.com/company/hgisc")</f>
        <v>http://www.linkedin.com/company/hgisc</v>
      </c>
      <c r="Z291" s="28">
        <v>1169</v>
      </c>
      <c r="AA291" s="2" t="s">
        <v>4586</v>
      </c>
      <c r="AB291" s="2" t="s">
        <v>74</v>
      </c>
      <c r="AC291" s="2" t="s">
        <v>4587</v>
      </c>
      <c r="AD291" s="40">
        <v>1950</v>
      </c>
      <c r="AE291" s="2" t="s">
        <v>60</v>
      </c>
      <c r="AF291" s="52">
        <v>376.21</v>
      </c>
      <c r="AG291" s="52">
        <v>94.71</v>
      </c>
      <c r="AH291" s="52">
        <v>21.32</v>
      </c>
      <c r="AI291" s="52">
        <v>474.67</v>
      </c>
      <c r="AJ291" s="52">
        <v>24.4</v>
      </c>
      <c r="AK291" s="52">
        <v>20.25</v>
      </c>
      <c r="AL291" s="52">
        <v>315.61</v>
      </c>
      <c r="AM291" s="52">
        <v>101.66</v>
      </c>
      <c r="AN291" s="64">
        <v>2.65</v>
      </c>
      <c r="AO291" s="4" t="s">
        <v>179</v>
      </c>
      <c r="AP291" s="2" t="s">
        <v>4588</v>
      </c>
      <c r="AQ291" s="2" t="s">
        <v>4589</v>
      </c>
      <c r="AR291" s="2" t="s">
        <v>4590</v>
      </c>
      <c r="AS291" s="2" t="s">
        <v>4591</v>
      </c>
      <c r="AT291" s="2" t="s">
        <v>4592</v>
      </c>
      <c r="AU291" s="2" t="s">
        <v>106</v>
      </c>
      <c r="AV291" s="2" t="s">
        <v>4593</v>
      </c>
      <c r="AW291" s="2" t="s">
        <v>60</v>
      </c>
      <c r="AX291" s="2" t="s">
        <v>109</v>
      </c>
      <c r="AY291" s="2" t="s">
        <v>4594</v>
      </c>
      <c r="AZ291" s="4" t="s">
        <v>3639</v>
      </c>
      <c r="BA291" s="2" t="s">
        <v>87</v>
      </c>
      <c r="BB291" s="4" t="s">
        <v>60</v>
      </c>
      <c r="BC291" s="4" t="s">
        <v>60</v>
      </c>
      <c r="BD291" s="2" t="s">
        <v>4595</v>
      </c>
      <c r="BE291" s="2" t="s">
        <v>88</v>
      </c>
      <c r="BF291" s="2" t="s">
        <v>88</v>
      </c>
    </row>
    <row r="292" spans="1:58" x14ac:dyDescent="0.2">
      <c r="A292" s="3" t="s">
        <v>4596</v>
      </c>
      <c r="B292" s="3" t="s">
        <v>4597</v>
      </c>
      <c r="C292" s="3" t="s">
        <v>60</v>
      </c>
      <c r="D292" s="3" t="s">
        <v>60</v>
      </c>
      <c r="E292" s="3" t="s">
        <v>60</v>
      </c>
      <c r="F292" s="3" t="s">
        <v>4598</v>
      </c>
      <c r="G292" s="3" t="s">
        <v>4599</v>
      </c>
      <c r="H292" s="3" t="s">
        <v>60</v>
      </c>
      <c r="I292" s="3" t="s">
        <v>60</v>
      </c>
      <c r="J292" s="3" t="s">
        <v>60</v>
      </c>
      <c r="K292" s="3" t="s">
        <v>4596</v>
      </c>
      <c r="L292" s="3" t="s">
        <v>4600</v>
      </c>
      <c r="M292" s="3" t="s">
        <v>115</v>
      </c>
      <c r="N292" s="3" t="s">
        <v>116</v>
      </c>
      <c r="O292" s="3" t="s">
        <v>117</v>
      </c>
      <c r="P292" s="3" t="s">
        <v>118</v>
      </c>
      <c r="Q292" s="3" t="s">
        <v>60</v>
      </c>
      <c r="R292" s="3" t="s">
        <v>4601</v>
      </c>
      <c r="S292" s="3" t="s">
        <v>96</v>
      </c>
      <c r="T292" s="17" t="s">
        <v>60</v>
      </c>
      <c r="U292" s="3" t="s">
        <v>97</v>
      </c>
      <c r="V292" s="3" t="s">
        <v>71</v>
      </c>
      <c r="W292" s="3" t="s">
        <v>98</v>
      </c>
      <c r="X292" s="9" t="str">
        <f>HYPERLINK("http://www.al-akaria.com", "www.al-akaria.com")</f>
        <v>www.al-akaria.com</v>
      </c>
      <c r="Y292" s="9" t="str">
        <f>HYPERLINK("http://www.linkedin.com/company/alakariasa", "http://www.linkedin.com/company/alakariasa")</f>
        <v>http://www.linkedin.com/company/alakariasa</v>
      </c>
      <c r="Z292" s="29">
        <v>579</v>
      </c>
      <c r="AA292" s="3" t="s">
        <v>4602</v>
      </c>
      <c r="AB292" s="3" t="s">
        <v>74</v>
      </c>
      <c r="AC292" s="3" t="s">
        <v>4603</v>
      </c>
      <c r="AD292" s="41">
        <v>1976</v>
      </c>
      <c r="AE292" s="3" t="s">
        <v>60</v>
      </c>
      <c r="AF292" s="53">
        <v>604.63</v>
      </c>
      <c r="AG292" s="53">
        <v>276.55</v>
      </c>
      <c r="AH292" s="53">
        <v>121.6</v>
      </c>
      <c r="AI292" s="53">
        <v>2130.15</v>
      </c>
      <c r="AJ292" s="53">
        <v>248.62</v>
      </c>
      <c r="AK292" s="53">
        <v>228.28</v>
      </c>
      <c r="AL292" s="53">
        <v>1428.35</v>
      </c>
      <c r="AM292" s="53">
        <v>440.73</v>
      </c>
      <c r="AN292" s="65">
        <v>18.27</v>
      </c>
      <c r="AO292" s="5" t="s">
        <v>179</v>
      </c>
      <c r="AP292" s="3" t="s">
        <v>4604</v>
      </c>
      <c r="AQ292" s="3" t="s">
        <v>4605</v>
      </c>
      <c r="AR292" s="3" t="s">
        <v>1874</v>
      </c>
      <c r="AS292" s="3" t="s">
        <v>60</v>
      </c>
      <c r="AT292" s="3" t="s">
        <v>4606</v>
      </c>
      <c r="AU292" s="3" t="s">
        <v>106</v>
      </c>
      <c r="AV292" s="3" t="s">
        <v>4607</v>
      </c>
      <c r="AW292" s="3" t="s">
        <v>4608</v>
      </c>
      <c r="AX292" s="3" t="s">
        <v>109</v>
      </c>
      <c r="AY292" s="3" t="s">
        <v>60</v>
      </c>
      <c r="AZ292" s="5" t="s">
        <v>4609</v>
      </c>
      <c r="BA292" s="3" t="s">
        <v>87</v>
      </c>
      <c r="BB292" s="5" t="s">
        <v>4606</v>
      </c>
      <c r="BC292" s="5" t="s">
        <v>4610</v>
      </c>
      <c r="BD292" s="3" t="s">
        <v>4611</v>
      </c>
      <c r="BE292" s="3" t="s">
        <v>88</v>
      </c>
      <c r="BF292" s="3" t="s">
        <v>88</v>
      </c>
    </row>
    <row r="293" spans="1:58" x14ac:dyDescent="0.2">
      <c r="A293" s="2" t="s">
        <v>4612</v>
      </c>
      <c r="B293" s="2" t="s">
        <v>4613</v>
      </c>
      <c r="C293" s="2" t="s">
        <v>60</v>
      </c>
      <c r="D293" s="2" t="s">
        <v>60</v>
      </c>
      <c r="E293" s="2" t="s">
        <v>60</v>
      </c>
      <c r="F293" s="2" t="s">
        <v>4614</v>
      </c>
      <c r="G293" s="2" t="s">
        <v>4615</v>
      </c>
      <c r="H293" s="2" t="s">
        <v>60</v>
      </c>
      <c r="I293" s="2" t="s">
        <v>60</v>
      </c>
      <c r="J293" s="2" t="s">
        <v>60</v>
      </c>
      <c r="K293" s="2" t="s">
        <v>4612</v>
      </c>
      <c r="L293" s="2" t="s">
        <v>4616</v>
      </c>
      <c r="M293" s="2" t="s">
        <v>63</v>
      </c>
      <c r="N293" s="2" t="s">
        <v>64</v>
      </c>
      <c r="O293" s="2" t="s">
        <v>65</v>
      </c>
      <c r="P293" s="2" t="s">
        <v>66</v>
      </c>
      <c r="Q293" s="2" t="s">
        <v>421</v>
      </c>
      <c r="R293" s="2" t="s">
        <v>4617</v>
      </c>
      <c r="S293" s="2" t="s">
        <v>96</v>
      </c>
      <c r="T293" s="16" t="s">
        <v>60</v>
      </c>
      <c r="U293" s="2" t="s">
        <v>97</v>
      </c>
      <c r="V293" s="2" t="s">
        <v>71</v>
      </c>
      <c r="W293" s="2" t="s">
        <v>98</v>
      </c>
      <c r="X293" s="8" t="str">
        <f>HYPERLINK("http://www.qcc.com.sa", "www.qcc.com.sa")</f>
        <v>www.qcc.com.sa</v>
      </c>
      <c r="Y293" s="8" t="str">
        <f>HYPERLINK("http://www.linkedin.com/company/qassim-cement-company", "http://www.linkedin.com/company/qassim-cement-company")</f>
        <v>http://www.linkedin.com/company/qassim-cement-company</v>
      </c>
      <c r="Z293" s="28">
        <v>39</v>
      </c>
      <c r="AA293" s="2" t="s">
        <v>4618</v>
      </c>
      <c r="AB293" s="2" t="s">
        <v>74</v>
      </c>
      <c r="AC293" s="2" t="s">
        <v>4619</v>
      </c>
      <c r="AD293" s="40">
        <v>1976</v>
      </c>
      <c r="AE293" s="2" t="s">
        <v>60</v>
      </c>
      <c r="AF293" s="52">
        <v>305.11</v>
      </c>
      <c r="AG293" s="52">
        <v>78.78</v>
      </c>
      <c r="AH293" s="52">
        <v>74.78</v>
      </c>
      <c r="AI293" s="52">
        <v>1112.18</v>
      </c>
      <c r="AJ293" s="52">
        <v>116.13</v>
      </c>
      <c r="AK293" s="52">
        <v>83.29</v>
      </c>
      <c r="AL293" s="52">
        <v>1248.3599999999999</v>
      </c>
      <c r="AM293" s="52">
        <v>-113.56</v>
      </c>
      <c r="AN293" s="64">
        <v>40.43</v>
      </c>
      <c r="AO293" s="4" t="s">
        <v>179</v>
      </c>
      <c r="AP293" s="2" t="s">
        <v>4620</v>
      </c>
      <c r="AQ293" s="2" t="s">
        <v>4621</v>
      </c>
      <c r="AR293" s="2" t="s">
        <v>124</v>
      </c>
      <c r="AS293" s="2" t="s">
        <v>4622</v>
      </c>
      <c r="AT293" s="2" t="s">
        <v>4623</v>
      </c>
      <c r="AU293" s="2" t="s">
        <v>3053</v>
      </c>
      <c r="AV293" s="2" t="s">
        <v>4624</v>
      </c>
      <c r="AW293" s="2" t="s">
        <v>4625</v>
      </c>
      <c r="AX293" s="2" t="s">
        <v>3056</v>
      </c>
      <c r="AY293" s="2" t="s">
        <v>60</v>
      </c>
      <c r="AZ293" s="4" t="s">
        <v>4626</v>
      </c>
      <c r="BA293" s="2" t="s">
        <v>87</v>
      </c>
      <c r="BB293" s="4" t="s">
        <v>4623</v>
      </c>
      <c r="BC293" s="4" t="s">
        <v>4627</v>
      </c>
      <c r="BD293" s="2" t="s">
        <v>4628</v>
      </c>
      <c r="BE293" s="2" t="s">
        <v>88</v>
      </c>
      <c r="BF293" s="2" t="s">
        <v>88</v>
      </c>
    </row>
    <row r="294" spans="1:58" x14ac:dyDescent="0.2">
      <c r="A294" s="3" t="s">
        <v>4629</v>
      </c>
      <c r="B294" s="3" t="s">
        <v>4630</v>
      </c>
      <c r="C294" s="3" t="s">
        <v>60</v>
      </c>
      <c r="D294" s="3" t="s">
        <v>60</v>
      </c>
      <c r="E294" s="3" t="s">
        <v>60</v>
      </c>
      <c r="F294" s="3" t="s">
        <v>60</v>
      </c>
      <c r="G294" s="3" t="s">
        <v>60</v>
      </c>
      <c r="H294" s="3" t="s">
        <v>60</v>
      </c>
      <c r="I294" s="3" t="s">
        <v>60</v>
      </c>
      <c r="J294" s="3" t="s">
        <v>60</v>
      </c>
      <c r="K294" s="3" t="s">
        <v>4629</v>
      </c>
      <c r="L294" s="3" t="s">
        <v>4631</v>
      </c>
      <c r="M294" s="3" t="s">
        <v>115</v>
      </c>
      <c r="N294" s="3" t="s">
        <v>208</v>
      </c>
      <c r="O294" s="3" t="s">
        <v>209</v>
      </c>
      <c r="P294" s="3" t="s">
        <v>4632</v>
      </c>
      <c r="Q294" s="3" t="s">
        <v>67</v>
      </c>
      <c r="R294" s="3" t="s">
        <v>4633</v>
      </c>
      <c r="S294" s="3" t="s">
        <v>96</v>
      </c>
      <c r="T294" s="17" t="s">
        <v>60</v>
      </c>
      <c r="U294" s="3" t="s">
        <v>97</v>
      </c>
      <c r="V294" s="3" t="s">
        <v>71</v>
      </c>
      <c r="W294" s="3" t="s">
        <v>98</v>
      </c>
      <c r="X294" s="9" t="str">
        <f>HYPERLINK("http://www.saudipaper.com", "www.saudipaper.com")</f>
        <v>www.saudipaper.com</v>
      </c>
      <c r="Y294" s="9" t="str">
        <f>HYPERLINK("http://www.linkedin.com/company/spc_3", "http://www.linkedin.com/company/spc_3")</f>
        <v>http://www.linkedin.com/company/spc_3</v>
      </c>
      <c r="Z294" s="29">
        <v>1413</v>
      </c>
      <c r="AA294" s="3" t="s">
        <v>4634</v>
      </c>
      <c r="AB294" s="3" t="s">
        <v>74</v>
      </c>
      <c r="AC294" s="3" t="s">
        <v>4635</v>
      </c>
      <c r="AD294" s="41">
        <v>1989</v>
      </c>
      <c r="AE294" s="3" t="s">
        <v>60</v>
      </c>
      <c r="AF294" s="53">
        <v>217.38</v>
      </c>
      <c r="AG294" s="53">
        <v>65.05</v>
      </c>
      <c r="AH294" s="53">
        <v>13.17</v>
      </c>
      <c r="AI294" s="53">
        <v>691.88</v>
      </c>
      <c r="AJ294" s="53">
        <v>37.76</v>
      </c>
      <c r="AK294" s="53">
        <v>21.09</v>
      </c>
      <c r="AL294" s="53">
        <v>564.01</v>
      </c>
      <c r="AM294" s="53">
        <v>136.54</v>
      </c>
      <c r="AN294" s="65">
        <v>-3.15</v>
      </c>
      <c r="AO294" s="5" t="s">
        <v>179</v>
      </c>
      <c r="AP294" s="3" t="s">
        <v>4636</v>
      </c>
      <c r="AQ294" s="3" t="s">
        <v>4637</v>
      </c>
      <c r="AR294" s="3" t="s">
        <v>79</v>
      </c>
      <c r="AS294" s="3" t="s">
        <v>4638</v>
      </c>
      <c r="AT294" s="3" t="s">
        <v>4639</v>
      </c>
      <c r="AU294" s="3" t="s">
        <v>847</v>
      </c>
      <c r="AV294" s="3" t="s">
        <v>4640</v>
      </c>
      <c r="AW294" s="3" t="s">
        <v>60</v>
      </c>
      <c r="AX294" s="3" t="s">
        <v>849</v>
      </c>
      <c r="AY294" s="3" t="s">
        <v>60</v>
      </c>
      <c r="AZ294" s="5" t="s">
        <v>4641</v>
      </c>
      <c r="BA294" s="3" t="s">
        <v>87</v>
      </c>
      <c r="BB294" s="5" t="s">
        <v>4639</v>
      </c>
      <c r="BC294" s="5" t="s">
        <v>4642</v>
      </c>
      <c r="BD294" s="3" t="s">
        <v>4643</v>
      </c>
      <c r="BE294" s="3" t="s">
        <v>88</v>
      </c>
      <c r="BF294" s="3" t="s">
        <v>88</v>
      </c>
    </row>
    <row r="295" spans="1:58" x14ac:dyDescent="0.2">
      <c r="A295" s="2" t="s">
        <v>4644</v>
      </c>
      <c r="B295" s="2" t="s">
        <v>4645</v>
      </c>
      <c r="C295" s="2" t="s">
        <v>60</v>
      </c>
      <c r="D295" s="2" t="s">
        <v>60</v>
      </c>
      <c r="E295" s="2" t="s">
        <v>4646</v>
      </c>
      <c r="F295" s="2" t="s">
        <v>60</v>
      </c>
      <c r="G295" s="2" t="s">
        <v>4647</v>
      </c>
      <c r="H295" s="2" t="s">
        <v>60</v>
      </c>
      <c r="I295" s="2" t="s">
        <v>60</v>
      </c>
      <c r="J295" s="2" t="s">
        <v>60</v>
      </c>
      <c r="K295" s="2" t="s">
        <v>4644</v>
      </c>
      <c r="L295" s="2" t="s">
        <v>4648</v>
      </c>
      <c r="M295" s="2" t="s">
        <v>63</v>
      </c>
      <c r="N295" s="2" t="s">
        <v>92</v>
      </c>
      <c r="O295" s="2" t="s">
        <v>342</v>
      </c>
      <c r="P295" s="2" t="s">
        <v>4649</v>
      </c>
      <c r="Q295" s="2" t="s">
        <v>260</v>
      </c>
      <c r="R295" s="2" t="s">
        <v>4650</v>
      </c>
      <c r="S295" s="2" t="s">
        <v>96</v>
      </c>
      <c r="T295" s="16" t="s">
        <v>60</v>
      </c>
      <c r="U295" s="2" t="s">
        <v>1516</v>
      </c>
      <c r="V295" s="2" t="s">
        <v>71</v>
      </c>
      <c r="W295" s="2" t="s">
        <v>98</v>
      </c>
      <c r="X295" s="8" t="str">
        <f>HYPERLINK("http://www.sppc.com.sa", "www.sppc.com.sa")</f>
        <v>www.sppc.com.sa</v>
      </c>
      <c r="Y295" s="2" t="s">
        <v>60</v>
      </c>
      <c r="Z295" s="28">
        <v>800</v>
      </c>
      <c r="AA295" s="2" t="s">
        <v>4651</v>
      </c>
      <c r="AB295" s="2" t="s">
        <v>74</v>
      </c>
      <c r="AC295" s="2" t="s">
        <v>4652</v>
      </c>
      <c r="AD295" s="40">
        <v>1963</v>
      </c>
      <c r="AE295" s="2" t="s">
        <v>60</v>
      </c>
      <c r="AF295" s="52">
        <v>169.56</v>
      </c>
      <c r="AG295" s="52">
        <v>7.84</v>
      </c>
      <c r="AH295" s="52">
        <v>-49.02</v>
      </c>
      <c r="AI295" s="52">
        <v>344.74</v>
      </c>
      <c r="AJ295" s="52">
        <v>-37.21</v>
      </c>
      <c r="AK295" s="52">
        <v>-51.45</v>
      </c>
      <c r="AL295" s="52">
        <v>131.53</v>
      </c>
      <c r="AM295" s="52">
        <v>166.98</v>
      </c>
      <c r="AN295" s="64">
        <v>-10.78</v>
      </c>
      <c r="AO295" s="4" t="s">
        <v>179</v>
      </c>
      <c r="AP295" s="2" t="s">
        <v>4653</v>
      </c>
      <c r="AQ295" s="2" t="s">
        <v>4654</v>
      </c>
      <c r="AR295" s="2" t="s">
        <v>4655</v>
      </c>
      <c r="AS295" s="2" t="s">
        <v>60</v>
      </c>
      <c r="AT295" s="2" t="s">
        <v>4656</v>
      </c>
      <c r="AU295" s="2" t="s">
        <v>106</v>
      </c>
      <c r="AV295" s="2" t="s">
        <v>4657</v>
      </c>
      <c r="AW295" s="2" t="s">
        <v>4658</v>
      </c>
      <c r="AX295" s="2" t="s">
        <v>109</v>
      </c>
      <c r="AY295" s="2" t="s">
        <v>60</v>
      </c>
      <c r="AZ295" s="4" t="s">
        <v>4659</v>
      </c>
      <c r="BA295" s="2" t="s">
        <v>87</v>
      </c>
      <c r="BB295" s="4" t="s">
        <v>4656</v>
      </c>
      <c r="BC295" s="4" t="s">
        <v>4660</v>
      </c>
      <c r="BD295" s="2" t="s">
        <v>4661</v>
      </c>
      <c r="BE295" s="2" t="s">
        <v>88</v>
      </c>
      <c r="BF295" s="2" t="s">
        <v>88</v>
      </c>
    </row>
    <row r="296" spans="1:58" x14ac:dyDescent="0.2">
      <c r="A296" s="3" t="s">
        <v>4662</v>
      </c>
      <c r="B296" s="3" t="s">
        <v>4663</v>
      </c>
      <c r="C296" s="3" t="s">
        <v>60</v>
      </c>
      <c r="D296" s="3" t="s">
        <v>60</v>
      </c>
      <c r="E296" s="3" t="s">
        <v>60</v>
      </c>
      <c r="F296" s="3" t="s">
        <v>4664</v>
      </c>
      <c r="G296" s="3" t="s">
        <v>4665</v>
      </c>
      <c r="H296" s="3" t="s">
        <v>60</v>
      </c>
      <c r="I296" s="3" t="s">
        <v>60</v>
      </c>
      <c r="J296" s="3" t="s">
        <v>60</v>
      </c>
      <c r="K296" s="3" t="s">
        <v>4662</v>
      </c>
      <c r="L296" s="3" t="s">
        <v>4666</v>
      </c>
      <c r="M296" s="3" t="s">
        <v>63</v>
      </c>
      <c r="N296" s="3" t="s">
        <v>64</v>
      </c>
      <c r="O296" s="3" t="s">
        <v>65</v>
      </c>
      <c r="P296" s="3" t="s">
        <v>4667</v>
      </c>
      <c r="Q296" s="3" t="s">
        <v>421</v>
      </c>
      <c r="R296" s="3" t="s">
        <v>4668</v>
      </c>
      <c r="S296" s="3" t="s">
        <v>96</v>
      </c>
      <c r="T296" s="17" t="s">
        <v>60</v>
      </c>
      <c r="U296" s="3" t="s">
        <v>97</v>
      </c>
      <c r="V296" s="3" t="s">
        <v>71</v>
      </c>
      <c r="W296" s="3" t="s">
        <v>98</v>
      </c>
      <c r="X296" s="9" t="str">
        <f>HYPERLINK("http://www.yamamacement.com", "www.yamamacement.com")</f>
        <v>www.yamamacement.com</v>
      </c>
      <c r="Y296" s="9" t="str">
        <f>HYPERLINK("http://www.linkedin.com/company/yamama-cement-co-", "http://www.linkedin.com/company/yamama-cement-co-")</f>
        <v>http://www.linkedin.com/company/yamama-cement-co-</v>
      </c>
      <c r="Z296" s="29">
        <v>1086</v>
      </c>
      <c r="AA296" s="3" t="s">
        <v>4669</v>
      </c>
      <c r="AB296" s="3" t="s">
        <v>74</v>
      </c>
      <c r="AC296" s="3" t="s">
        <v>4670</v>
      </c>
      <c r="AD296" s="41">
        <v>1956</v>
      </c>
      <c r="AE296" s="3" t="s">
        <v>60</v>
      </c>
      <c r="AF296" s="53">
        <v>371.03</v>
      </c>
      <c r="AG296" s="53">
        <v>144.31</v>
      </c>
      <c r="AH296" s="53">
        <v>112.38</v>
      </c>
      <c r="AI296" s="53">
        <v>2203.34</v>
      </c>
      <c r="AJ296" s="53">
        <v>183.47</v>
      </c>
      <c r="AK296" s="53">
        <v>132.08000000000001</v>
      </c>
      <c r="AL296" s="53">
        <v>1472.5</v>
      </c>
      <c r="AM296" s="53">
        <v>469.15</v>
      </c>
      <c r="AN296" s="65">
        <v>35.65</v>
      </c>
      <c r="AO296" s="5" t="s">
        <v>179</v>
      </c>
      <c r="AP296" s="3" t="s">
        <v>4671</v>
      </c>
      <c r="AQ296" s="3" t="s">
        <v>4672</v>
      </c>
      <c r="AR296" s="3" t="s">
        <v>4673</v>
      </c>
      <c r="AS296" s="3" t="s">
        <v>4674</v>
      </c>
      <c r="AT296" s="3" t="s">
        <v>4675</v>
      </c>
      <c r="AU296" s="3" t="s">
        <v>106</v>
      </c>
      <c r="AV296" s="3" t="s">
        <v>4676</v>
      </c>
      <c r="AW296" s="3" t="s">
        <v>60</v>
      </c>
      <c r="AX296" s="3" t="s">
        <v>109</v>
      </c>
      <c r="AY296" s="3" t="s">
        <v>60</v>
      </c>
      <c r="AZ296" s="5" t="s">
        <v>4055</v>
      </c>
      <c r="BA296" s="3" t="s">
        <v>87</v>
      </c>
      <c r="BB296" s="5" t="s">
        <v>4675</v>
      </c>
      <c r="BC296" s="5" t="s">
        <v>4677</v>
      </c>
      <c r="BD296" s="3" t="s">
        <v>4678</v>
      </c>
      <c r="BE296" s="3" t="s">
        <v>88</v>
      </c>
      <c r="BF296" s="3" t="s">
        <v>88</v>
      </c>
    </row>
    <row r="297" spans="1:58" x14ac:dyDescent="0.2">
      <c r="A297" s="2" t="s">
        <v>4679</v>
      </c>
      <c r="B297" s="2" t="s">
        <v>4680</v>
      </c>
      <c r="C297" s="2" t="s">
        <v>60</v>
      </c>
      <c r="D297" s="2" t="s">
        <v>60</v>
      </c>
      <c r="E297" s="2" t="s">
        <v>4681</v>
      </c>
      <c r="F297" s="2" t="s">
        <v>60</v>
      </c>
      <c r="G297" s="2" t="s">
        <v>60</v>
      </c>
      <c r="H297" s="2" t="s">
        <v>60</v>
      </c>
      <c r="I297" s="2" t="s">
        <v>60</v>
      </c>
      <c r="J297" s="2" t="s">
        <v>60</v>
      </c>
      <c r="K297" s="2" t="s">
        <v>4679</v>
      </c>
      <c r="L297" s="2" t="s">
        <v>4682</v>
      </c>
      <c r="M297" s="2" t="s">
        <v>63</v>
      </c>
      <c r="N297" s="2" t="s">
        <v>64</v>
      </c>
      <c r="O297" s="2" t="s">
        <v>1128</v>
      </c>
      <c r="P297" s="2" t="s">
        <v>4683</v>
      </c>
      <c r="Q297" s="2" t="s">
        <v>260</v>
      </c>
      <c r="R297" s="2" t="s">
        <v>4684</v>
      </c>
      <c r="S297" s="2" t="s">
        <v>96</v>
      </c>
      <c r="T297" s="16" t="s">
        <v>60</v>
      </c>
      <c r="U297" s="2" t="s">
        <v>1516</v>
      </c>
      <c r="V297" s="2" t="s">
        <v>71</v>
      </c>
      <c r="W297" s="2" t="s">
        <v>98</v>
      </c>
      <c r="X297" s="8" t="str">
        <f>HYPERLINK("http://www.al-sorayai.com/en/index", "www.al-sorayai.com/en/index")</f>
        <v>www.al-sorayai.com/en/index</v>
      </c>
      <c r="Y297" s="8" t="str">
        <f>HYPERLINK("http://www.linkedin.com/company/al-sorayai", "http://www.linkedin.com/company/al-sorayai")</f>
        <v>http://www.linkedin.com/company/al-sorayai</v>
      </c>
      <c r="Z297" s="28">
        <v>2250</v>
      </c>
      <c r="AA297" s="2" t="s">
        <v>4685</v>
      </c>
      <c r="AB297" s="2" t="s">
        <v>74</v>
      </c>
      <c r="AC297" s="2" t="s">
        <v>4686</v>
      </c>
      <c r="AD297" s="40">
        <v>1953</v>
      </c>
      <c r="AE297" s="2" t="s">
        <v>60</v>
      </c>
      <c r="AF297" s="52">
        <v>27.06</v>
      </c>
      <c r="AG297" s="52">
        <v>-0.46</v>
      </c>
      <c r="AH297" s="52">
        <v>-7.21</v>
      </c>
      <c r="AI297" s="52">
        <v>301.04000000000002</v>
      </c>
      <c r="AJ297" s="52">
        <v>0.09</v>
      </c>
      <c r="AK297" s="52">
        <v>-3.37</v>
      </c>
      <c r="AL297" s="52">
        <v>125.48</v>
      </c>
      <c r="AM297" s="52">
        <v>34.9</v>
      </c>
      <c r="AN297" s="64">
        <v>-53.5</v>
      </c>
      <c r="AO297" s="4" t="s">
        <v>179</v>
      </c>
      <c r="AP297" s="2" t="s">
        <v>4687</v>
      </c>
      <c r="AQ297" s="2" t="s">
        <v>4688</v>
      </c>
      <c r="AR297" s="2" t="s">
        <v>124</v>
      </c>
      <c r="AS297" s="2" t="s">
        <v>4689</v>
      </c>
      <c r="AT297" s="2" t="s">
        <v>4690</v>
      </c>
      <c r="AU297" s="2" t="s">
        <v>82</v>
      </c>
      <c r="AV297" s="2" t="s">
        <v>4691</v>
      </c>
      <c r="AW297" s="2" t="s">
        <v>4692</v>
      </c>
      <c r="AX297" s="2" t="s">
        <v>85</v>
      </c>
      <c r="AY297" s="2" t="s">
        <v>60</v>
      </c>
      <c r="AZ297" s="4" t="s">
        <v>4693</v>
      </c>
      <c r="BA297" s="2" t="s">
        <v>87</v>
      </c>
      <c r="BB297" s="4" t="s">
        <v>4690</v>
      </c>
      <c r="BC297" s="4" t="s">
        <v>4694</v>
      </c>
      <c r="BD297" s="2" t="s">
        <v>4695</v>
      </c>
      <c r="BE297" s="2" t="s">
        <v>88</v>
      </c>
      <c r="BF297" s="2" t="s">
        <v>88</v>
      </c>
    </row>
    <row r="298" spans="1:58" x14ac:dyDescent="0.2">
      <c r="A298" s="3" t="s">
        <v>4696</v>
      </c>
      <c r="B298" s="3" t="s">
        <v>4697</v>
      </c>
      <c r="C298" s="3" t="s">
        <v>60</v>
      </c>
      <c r="D298" s="3" t="s">
        <v>60</v>
      </c>
      <c r="E298" s="3" t="s">
        <v>60</v>
      </c>
      <c r="F298" s="3" t="s">
        <v>4698</v>
      </c>
      <c r="G298" s="3" t="s">
        <v>4699</v>
      </c>
      <c r="H298" s="3" t="s">
        <v>60</v>
      </c>
      <c r="I298" s="3" t="s">
        <v>60</v>
      </c>
      <c r="J298" s="3" t="s">
        <v>60</v>
      </c>
      <c r="K298" s="3" t="s">
        <v>4696</v>
      </c>
      <c r="L298" s="3" t="s">
        <v>4700</v>
      </c>
      <c r="M298" s="3" t="s">
        <v>115</v>
      </c>
      <c r="N298" s="3" t="s">
        <v>368</v>
      </c>
      <c r="O298" s="3" t="s">
        <v>470</v>
      </c>
      <c r="P298" s="3" t="s">
        <v>471</v>
      </c>
      <c r="Q298" s="3" t="s">
        <v>60</v>
      </c>
      <c r="R298" s="3" t="s">
        <v>4701</v>
      </c>
      <c r="S298" s="3" t="s">
        <v>96</v>
      </c>
      <c r="T298" s="17" t="s">
        <v>60</v>
      </c>
      <c r="U298" s="3" t="s">
        <v>97</v>
      </c>
      <c r="V298" s="3" t="s">
        <v>71</v>
      </c>
      <c r="W298" s="3" t="s">
        <v>98</v>
      </c>
      <c r="X298" s="9" t="str">
        <f>HYPERLINK("http://www.herfy.com", "www.herfy.com")</f>
        <v>www.herfy.com</v>
      </c>
      <c r="Y298" s="9" t="str">
        <f>HYPERLINK("http://www.linkedin.com/company/herfy-food-services-company", "http://www.linkedin.com/company/herfy-food-services-company")</f>
        <v>http://www.linkedin.com/company/herfy-food-services-company</v>
      </c>
      <c r="Z298" s="29">
        <v>5178</v>
      </c>
      <c r="AA298" s="3" t="s">
        <v>4702</v>
      </c>
      <c r="AB298" s="3" t="s">
        <v>74</v>
      </c>
      <c r="AC298" s="3" t="s">
        <v>4703</v>
      </c>
      <c r="AD298" s="41">
        <v>1981</v>
      </c>
      <c r="AE298" s="3" t="s">
        <v>60</v>
      </c>
      <c r="AF298" s="53">
        <v>285.88</v>
      </c>
      <c r="AG298" s="53">
        <v>62.09</v>
      </c>
      <c r="AH298" s="53">
        <v>-33.479999999999997</v>
      </c>
      <c r="AI298" s="53">
        <v>511.71</v>
      </c>
      <c r="AJ298" s="53">
        <v>23.01</v>
      </c>
      <c r="AK298" s="53">
        <v>-23.86</v>
      </c>
      <c r="AL298" s="53">
        <v>275.13</v>
      </c>
      <c r="AM298" s="53">
        <v>121.53</v>
      </c>
      <c r="AN298" s="65">
        <v>-7.92</v>
      </c>
      <c r="AO298" s="5" t="s">
        <v>179</v>
      </c>
      <c r="AP298" s="3" t="s">
        <v>4704</v>
      </c>
      <c r="AQ298" s="3" t="s">
        <v>4705</v>
      </c>
      <c r="AR298" s="3" t="s">
        <v>1874</v>
      </c>
      <c r="AS298" s="3" t="s">
        <v>60</v>
      </c>
      <c r="AT298" s="3" t="s">
        <v>4706</v>
      </c>
      <c r="AU298" s="3" t="s">
        <v>4707</v>
      </c>
      <c r="AV298" s="3" t="s">
        <v>4708</v>
      </c>
      <c r="AW298" s="3" t="s">
        <v>4709</v>
      </c>
      <c r="AX298" s="3" t="s">
        <v>494</v>
      </c>
      <c r="AY298" s="3" t="s">
        <v>60</v>
      </c>
      <c r="AZ298" s="5" t="s">
        <v>1925</v>
      </c>
      <c r="BA298" s="3" t="s">
        <v>87</v>
      </c>
      <c r="BB298" s="5" t="s">
        <v>4706</v>
      </c>
      <c r="BC298" s="5" t="s">
        <v>4710</v>
      </c>
      <c r="BD298" s="3" t="s">
        <v>4711</v>
      </c>
      <c r="BE298" s="3" t="s">
        <v>88</v>
      </c>
      <c r="BF298" s="3" t="s">
        <v>88</v>
      </c>
    </row>
    <row r="299" spans="1:58" x14ac:dyDescent="0.2">
      <c r="A299" s="2" t="s">
        <v>4712</v>
      </c>
      <c r="B299" s="2" t="s">
        <v>4713</v>
      </c>
      <c r="C299" s="2" t="s">
        <v>60</v>
      </c>
      <c r="D299" s="2" t="s">
        <v>60</v>
      </c>
      <c r="E299" s="2" t="s">
        <v>60</v>
      </c>
      <c r="F299" s="2" t="s">
        <v>60</v>
      </c>
      <c r="G299" s="2" t="s">
        <v>60</v>
      </c>
      <c r="H299" s="2" t="s">
        <v>60</v>
      </c>
      <c r="I299" s="2" t="s">
        <v>60</v>
      </c>
      <c r="J299" s="2" t="s">
        <v>60</v>
      </c>
      <c r="K299" s="2" t="s">
        <v>4712</v>
      </c>
      <c r="L299" s="2" t="s">
        <v>4714</v>
      </c>
      <c r="M299" s="2" t="s">
        <v>134</v>
      </c>
      <c r="N299" s="2" t="s">
        <v>565</v>
      </c>
      <c r="O299" s="2" t="s">
        <v>1666</v>
      </c>
      <c r="P299" s="2" t="s">
        <v>1667</v>
      </c>
      <c r="Q299" s="2" t="s">
        <v>60</v>
      </c>
      <c r="R299" s="2" t="s">
        <v>4715</v>
      </c>
      <c r="S299" s="2" t="s">
        <v>96</v>
      </c>
      <c r="T299" s="16" t="s">
        <v>60</v>
      </c>
      <c r="U299" s="2" t="s">
        <v>97</v>
      </c>
      <c r="V299" s="2" t="s">
        <v>71</v>
      </c>
      <c r="W299" s="2" t="s">
        <v>98</v>
      </c>
      <c r="X299" s="8" t="str">
        <f>HYPERLINK("http://www.livainsurance.sa", "www.livainsurance.sa")</f>
        <v>www.livainsurance.sa</v>
      </c>
      <c r="Y299" s="8" t="str">
        <f>HYPERLINK("http://www.linkedin.com/company/al-alamiya", "http://www.linkedin.com/company/al-alamiya")</f>
        <v>http://www.linkedin.com/company/al-alamiya</v>
      </c>
      <c r="Z299" s="28" t="s">
        <v>60</v>
      </c>
      <c r="AA299" s="2" t="s">
        <v>60</v>
      </c>
      <c r="AB299" s="2" t="s">
        <v>60</v>
      </c>
      <c r="AC299" s="2" t="s">
        <v>60</v>
      </c>
      <c r="AD299" s="40">
        <v>2009</v>
      </c>
      <c r="AE299" s="2" t="s">
        <v>60</v>
      </c>
      <c r="AF299" s="52" t="s">
        <v>60</v>
      </c>
      <c r="AG299" s="52" t="s">
        <v>60</v>
      </c>
      <c r="AH299" s="52" t="s">
        <v>60</v>
      </c>
      <c r="AI299" s="52" t="s">
        <v>60</v>
      </c>
      <c r="AJ299" s="52" t="s">
        <v>60</v>
      </c>
      <c r="AK299" s="52" t="s">
        <v>60</v>
      </c>
      <c r="AL299" s="52" t="s">
        <v>60</v>
      </c>
      <c r="AM299" s="52" t="s">
        <v>60</v>
      </c>
      <c r="AN299" s="64" t="s">
        <v>60</v>
      </c>
      <c r="AO299" s="4" t="s">
        <v>60</v>
      </c>
      <c r="AP299" s="2" t="s">
        <v>4716</v>
      </c>
      <c r="AQ299" s="2" t="s">
        <v>4717</v>
      </c>
      <c r="AR299" s="2" t="s">
        <v>124</v>
      </c>
      <c r="AS299" s="2" t="s">
        <v>60</v>
      </c>
      <c r="AT299" s="2" t="s">
        <v>60</v>
      </c>
      <c r="AU299" s="2" t="s">
        <v>106</v>
      </c>
      <c r="AV299" s="2" t="s">
        <v>4718</v>
      </c>
      <c r="AW299" s="2" t="s">
        <v>60</v>
      </c>
      <c r="AX299" s="2" t="s">
        <v>109</v>
      </c>
      <c r="AY299" s="2" t="s">
        <v>60</v>
      </c>
      <c r="AZ299" s="4" t="s">
        <v>1381</v>
      </c>
      <c r="BA299" s="2" t="s">
        <v>87</v>
      </c>
      <c r="BB299" s="4" t="s">
        <v>60</v>
      </c>
      <c r="BC299" s="4" t="s">
        <v>60</v>
      </c>
      <c r="BD299" s="2" t="s">
        <v>4719</v>
      </c>
      <c r="BE299" s="2" t="s">
        <v>88</v>
      </c>
      <c r="BF299" s="2" t="s">
        <v>88</v>
      </c>
    </row>
    <row r="300" spans="1:58" x14ac:dyDescent="0.2">
      <c r="A300" s="3" t="s">
        <v>4720</v>
      </c>
      <c r="B300" s="3" t="s">
        <v>4721</v>
      </c>
      <c r="C300" s="3" t="s">
        <v>60</v>
      </c>
      <c r="D300" s="3" t="s">
        <v>60</v>
      </c>
      <c r="E300" s="3" t="s">
        <v>60</v>
      </c>
      <c r="F300" s="3" t="s">
        <v>60</v>
      </c>
      <c r="G300" s="3" t="s">
        <v>4722</v>
      </c>
      <c r="H300" s="3" t="s">
        <v>60</v>
      </c>
      <c r="I300" s="3" t="s">
        <v>60</v>
      </c>
      <c r="J300" s="3" t="s">
        <v>4723</v>
      </c>
      <c r="K300" s="3" t="s">
        <v>4720</v>
      </c>
      <c r="L300" s="3" t="s">
        <v>4724</v>
      </c>
      <c r="M300" s="3" t="s">
        <v>328</v>
      </c>
      <c r="N300" s="3" t="s">
        <v>401</v>
      </c>
      <c r="O300" s="3" t="s">
        <v>402</v>
      </c>
      <c r="P300" s="3" t="s">
        <v>1429</v>
      </c>
      <c r="Q300" s="3" t="s">
        <v>4725</v>
      </c>
      <c r="R300" s="3" t="s">
        <v>4726</v>
      </c>
      <c r="S300" s="3" t="s">
        <v>372</v>
      </c>
      <c r="T300" s="17">
        <v>88.03</v>
      </c>
      <c r="U300" s="3" t="s">
        <v>97</v>
      </c>
      <c r="V300" s="3" t="s">
        <v>71</v>
      </c>
      <c r="W300" s="3" t="s">
        <v>373</v>
      </c>
      <c r="X300" s="9" t="str">
        <f>HYPERLINK("http://www.mouwasat.com", "www.mouwasat.com")</f>
        <v>www.mouwasat.com</v>
      </c>
      <c r="Y300" s="9" t="str">
        <f>HYPERLINK("http://www.linkedin.com/company/244606", "http://www.linkedin.com/company/244606")</f>
        <v>http://www.linkedin.com/company/244606</v>
      </c>
      <c r="Z300" s="29">
        <v>2389</v>
      </c>
      <c r="AA300" s="3" t="s">
        <v>4727</v>
      </c>
      <c r="AB300" s="3" t="s">
        <v>74</v>
      </c>
      <c r="AC300" s="3" t="s">
        <v>4728</v>
      </c>
      <c r="AD300" s="41">
        <v>1975</v>
      </c>
      <c r="AE300" s="3" t="s">
        <v>60</v>
      </c>
      <c r="AF300" s="53">
        <v>823.66</v>
      </c>
      <c r="AG300" s="53">
        <v>358.1</v>
      </c>
      <c r="AH300" s="53">
        <v>201.15</v>
      </c>
      <c r="AI300" s="53">
        <v>4127.3599999999997</v>
      </c>
      <c r="AJ300" s="53">
        <v>281.89</v>
      </c>
      <c r="AK300" s="53">
        <v>216.37</v>
      </c>
      <c r="AL300" s="53">
        <v>3603.83</v>
      </c>
      <c r="AM300" s="53">
        <v>130.47</v>
      </c>
      <c r="AN300" s="65">
        <v>6.79</v>
      </c>
      <c r="AO300" s="5" t="s">
        <v>179</v>
      </c>
      <c r="AP300" s="3" t="s">
        <v>4729</v>
      </c>
      <c r="AQ300" s="3" t="s">
        <v>4730</v>
      </c>
      <c r="AR300" s="3" t="s">
        <v>299</v>
      </c>
      <c r="AS300" s="3" t="s">
        <v>60</v>
      </c>
      <c r="AT300" s="3" t="s">
        <v>4731</v>
      </c>
      <c r="AU300" s="3" t="s">
        <v>847</v>
      </c>
      <c r="AV300" s="3" t="s">
        <v>4732</v>
      </c>
      <c r="AW300" s="3" t="s">
        <v>4733</v>
      </c>
      <c r="AX300" s="3" t="s">
        <v>849</v>
      </c>
      <c r="AY300" s="3" t="s">
        <v>60</v>
      </c>
      <c r="AZ300" s="5" t="s">
        <v>4734</v>
      </c>
      <c r="BA300" s="3" t="s">
        <v>87</v>
      </c>
      <c r="BB300" s="5" t="s">
        <v>4731</v>
      </c>
      <c r="BC300" s="5" t="s">
        <v>4735</v>
      </c>
      <c r="BD300" s="3" t="s">
        <v>4736</v>
      </c>
      <c r="BE300" s="3" t="s">
        <v>88</v>
      </c>
      <c r="BF300" s="3" t="s">
        <v>88</v>
      </c>
    </row>
    <row r="301" spans="1:58" x14ac:dyDescent="0.2">
      <c r="A301" s="2" t="s">
        <v>4737</v>
      </c>
      <c r="B301" s="2" t="s">
        <v>4738</v>
      </c>
      <c r="C301" s="2" t="s">
        <v>60</v>
      </c>
      <c r="D301" s="2" t="s">
        <v>60</v>
      </c>
      <c r="E301" s="2" t="s">
        <v>4739</v>
      </c>
      <c r="F301" s="2" t="s">
        <v>60</v>
      </c>
      <c r="G301" s="2" t="s">
        <v>4740</v>
      </c>
      <c r="H301" s="2" t="s">
        <v>60</v>
      </c>
      <c r="I301" s="2" t="s">
        <v>60</v>
      </c>
      <c r="J301" s="2" t="s">
        <v>60</v>
      </c>
      <c r="K301" s="2" t="s">
        <v>4737</v>
      </c>
      <c r="L301" s="2" t="s">
        <v>4741</v>
      </c>
      <c r="M301" s="2" t="s">
        <v>134</v>
      </c>
      <c r="N301" s="2" t="s">
        <v>565</v>
      </c>
      <c r="O301" s="2" t="s">
        <v>4742</v>
      </c>
      <c r="P301" s="2" t="s">
        <v>4743</v>
      </c>
      <c r="Q301" s="2" t="s">
        <v>60</v>
      </c>
      <c r="R301" s="2" t="s">
        <v>4744</v>
      </c>
      <c r="S301" s="2" t="s">
        <v>96</v>
      </c>
      <c r="T301" s="16" t="s">
        <v>60</v>
      </c>
      <c r="U301" s="2" t="s">
        <v>97</v>
      </c>
      <c r="V301" s="2" t="s">
        <v>71</v>
      </c>
      <c r="W301" s="2" t="s">
        <v>98</v>
      </c>
      <c r="X301" s="8" t="str">
        <f>HYPERLINK("http://www.chubb.com.sa", "www.chubb.com.sa")</f>
        <v>www.chubb.com.sa</v>
      </c>
      <c r="Y301" s="8" t="str">
        <f>HYPERLINK("http://www.linkedin.com/company/chubb-arabia-cooperative-insurance-company", "http://www.linkedin.com/company/chubb-arabia-cooperative-insurance-company")</f>
        <v>http://www.linkedin.com/company/chubb-arabia-cooperative-insurance-company</v>
      </c>
      <c r="Z301" s="28">
        <v>18000</v>
      </c>
      <c r="AA301" s="2" t="s">
        <v>4745</v>
      </c>
      <c r="AB301" s="2" t="s">
        <v>74</v>
      </c>
      <c r="AC301" s="2" t="s">
        <v>4746</v>
      </c>
      <c r="AD301" s="40">
        <v>2008</v>
      </c>
      <c r="AE301" s="2" t="s">
        <v>60</v>
      </c>
      <c r="AF301" s="52">
        <v>51.17</v>
      </c>
      <c r="AG301" s="52" t="s">
        <v>60</v>
      </c>
      <c r="AH301" s="52">
        <v>3.45</v>
      </c>
      <c r="AI301" s="52">
        <v>278.49</v>
      </c>
      <c r="AJ301" s="52">
        <v>5.61</v>
      </c>
      <c r="AK301" s="52">
        <v>4.76</v>
      </c>
      <c r="AL301" s="52">
        <v>239.3</v>
      </c>
      <c r="AM301" s="52">
        <v>-9.57</v>
      </c>
      <c r="AN301" s="64">
        <v>9.58</v>
      </c>
      <c r="AO301" s="4" t="s">
        <v>179</v>
      </c>
      <c r="AP301" s="2" t="s">
        <v>4747</v>
      </c>
      <c r="AQ301" s="2" t="s">
        <v>4748</v>
      </c>
      <c r="AR301" s="2" t="s">
        <v>124</v>
      </c>
      <c r="AS301" s="2" t="s">
        <v>4749</v>
      </c>
      <c r="AT301" s="2" t="s">
        <v>4750</v>
      </c>
      <c r="AU301" s="2" t="s">
        <v>700</v>
      </c>
      <c r="AV301" s="2" t="s">
        <v>4751</v>
      </c>
      <c r="AW301" s="2" t="s">
        <v>4752</v>
      </c>
      <c r="AX301" s="2" t="s">
        <v>703</v>
      </c>
      <c r="AY301" s="2" t="s">
        <v>60</v>
      </c>
      <c r="AZ301" s="4" t="s">
        <v>917</v>
      </c>
      <c r="BA301" s="2" t="s">
        <v>87</v>
      </c>
      <c r="BB301" s="4" t="s">
        <v>4750</v>
      </c>
      <c r="BC301" s="4" t="s">
        <v>4753</v>
      </c>
      <c r="BD301" s="2" t="s">
        <v>4754</v>
      </c>
      <c r="BE301" s="2" t="s">
        <v>88</v>
      </c>
      <c r="BF301" s="2" t="s">
        <v>88</v>
      </c>
    </row>
    <row r="302" spans="1:58" x14ac:dyDescent="0.2">
      <c r="A302" s="3" t="s">
        <v>4755</v>
      </c>
      <c r="B302" s="3" t="s">
        <v>4756</v>
      </c>
      <c r="C302" s="3" t="s">
        <v>60</v>
      </c>
      <c r="D302" s="3" t="s">
        <v>60</v>
      </c>
      <c r="E302" s="3" t="s">
        <v>60</v>
      </c>
      <c r="F302" s="3" t="s">
        <v>60</v>
      </c>
      <c r="G302" s="3" t="s">
        <v>4757</v>
      </c>
      <c r="H302" s="3" t="s">
        <v>60</v>
      </c>
      <c r="I302" s="3" t="s">
        <v>60</v>
      </c>
      <c r="J302" s="3" t="s">
        <v>60</v>
      </c>
      <c r="K302" s="3" t="s">
        <v>4755</v>
      </c>
      <c r="L302" s="3" t="s">
        <v>4758</v>
      </c>
      <c r="M302" s="3" t="s">
        <v>134</v>
      </c>
      <c r="N302" s="3" t="s">
        <v>565</v>
      </c>
      <c r="O302" s="3" t="s">
        <v>1666</v>
      </c>
      <c r="P302" s="3" t="s">
        <v>1667</v>
      </c>
      <c r="Q302" s="3" t="s">
        <v>60</v>
      </c>
      <c r="R302" s="3" t="s">
        <v>4759</v>
      </c>
      <c r="S302" s="3" t="s">
        <v>96</v>
      </c>
      <c r="T302" s="17" t="s">
        <v>60</v>
      </c>
      <c r="U302" s="3" t="s">
        <v>97</v>
      </c>
      <c r="V302" s="3" t="s">
        <v>71</v>
      </c>
      <c r="W302" s="3" t="s">
        <v>98</v>
      </c>
      <c r="X302" s="9" t="str">
        <f>HYPERLINK("http://www.alrajhitakaful.com", "www.alrajhitakaful.com")</f>
        <v>www.alrajhitakaful.com</v>
      </c>
      <c r="Y302" s="9" t="str">
        <f>HYPERLINK("http://www.linkedin.com/company/al-rajhi-takaful-al-rajhi-company-for-cooperative-insurance-", "http://www.linkedin.com/company/al-rajhi-takaful-al-rajhi-company-for-cooperative-insurance-")</f>
        <v>http://www.linkedin.com/company/al-rajhi-takaful-al-rajhi-company-for-cooperative-insurance-</v>
      </c>
      <c r="Z302" s="29">
        <v>115</v>
      </c>
      <c r="AA302" s="3" t="s">
        <v>4760</v>
      </c>
      <c r="AB302" s="3" t="s">
        <v>74</v>
      </c>
      <c r="AC302" s="3" t="s">
        <v>4761</v>
      </c>
      <c r="AD302" s="41">
        <v>2008</v>
      </c>
      <c r="AE302" s="3" t="s">
        <v>60</v>
      </c>
      <c r="AF302" s="53">
        <v>1379.03</v>
      </c>
      <c r="AG302" s="53" t="s">
        <v>60</v>
      </c>
      <c r="AH302" s="53">
        <v>89.71</v>
      </c>
      <c r="AI302" s="53">
        <v>3053.71</v>
      </c>
      <c r="AJ302" s="53">
        <v>108.18</v>
      </c>
      <c r="AK302" s="53">
        <v>95.83</v>
      </c>
      <c r="AL302" s="53">
        <v>2181.48</v>
      </c>
      <c r="AM302" s="53">
        <v>-164.62</v>
      </c>
      <c r="AN302" s="65">
        <v>0.43</v>
      </c>
      <c r="AO302" s="5" t="s">
        <v>179</v>
      </c>
      <c r="AP302" s="3" t="s">
        <v>4762</v>
      </c>
      <c r="AQ302" s="3" t="s">
        <v>4763</v>
      </c>
      <c r="AR302" s="3" t="s">
        <v>79</v>
      </c>
      <c r="AS302" s="3" t="s">
        <v>4764</v>
      </c>
      <c r="AT302" s="3" t="s">
        <v>4765</v>
      </c>
      <c r="AU302" s="3" t="s">
        <v>106</v>
      </c>
      <c r="AV302" s="3" t="s">
        <v>4766</v>
      </c>
      <c r="AW302" s="3" t="s">
        <v>4767</v>
      </c>
      <c r="AX302" s="3" t="s">
        <v>109</v>
      </c>
      <c r="AY302" s="3" t="s">
        <v>2600</v>
      </c>
      <c r="AZ302" s="5" t="s">
        <v>4768</v>
      </c>
      <c r="BA302" s="3" t="s">
        <v>87</v>
      </c>
      <c r="BB302" s="5" t="s">
        <v>4765</v>
      </c>
      <c r="BC302" s="5" t="s">
        <v>4769</v>
      </c>
      <c r="BD302" s="3" t="s">
        <v>4770</v>
      </c>
      <c r="BE302" s="3" t="s">
        <v>88</v>
      </c>
      <c r="BF302" s="3" t="s">
        <v>88</v>
      </c>
    </row>
    <row r="303" spans="1:58" x14ac:dyDescent="0.2">
      <c r="A303" s="2" t="s">
        <v>4771</v>
      </c>
      <c r="B303" s="2" t="s">
        <v>4772</v>
      </c>
      <c r="C303" s="2" t="s">
        <v>60</v>
      </c>
      <c r="D303" s="2" t="s">
        <v>60</v>
      </c>
      <c r="E303" s="2" t="s">
        <v>4773</v>
      </c>
      <c r="F303" s="2" t="s">
        <v>60</v>
      </c>
      <c r="G303" s="2" t="s">
        <v>4774</v>
      </c>
      <c r="H303" s="2" t="s">
        <v>60</v>
      </c>
      <c r="I303" s="2" t="s">
        <v>60</v>
      </c>
      <c r="J303" s="2" t="s">
        <v>60</v>
      </c>
      <c r="K303" s="2" t="s">
        <v>4771</v>
      </c>
      <c r="L303" s="2" t="s">
        <v>4775</v>
      </c>
      <c r="M303" s="2" t="s">
        <v>241</v>
      </c>
      <c r="N303" s="2" t="s">
        <v>839</v>
      </c>
      <c r="O303" s="2" t="s">
        <v>2402</v>
      </c>
      <c r="P303" s="2" t="s">
        <v>2403</v>
      </c>
      <c r="Q303" s="2" t="s">
        <v>67</v>
      </c>
      <c r="R303" s="2" t="s">
        <v>4776</v>
      </c>
      <c r="S303" s="2" t="s">
        <v>96</v>
      </c>
      <c r="T303" s="16" t="s">
        <v>60</v>
      </c>
      <c r="U303" s="2" t="s">
        <v>1516</v>
      </c>
      <c r="V303" s="2" t="s">
        <v>71</v>
      </c>
      <c r="W303" s="2" t="s">
        <v>98</v>
      </c>
      <c r="X303" s="8" t="str">
        <f>HYPERLINK("http://www.chemanol.com", "www.chemanol.com")</f>
        <v>www.chemanol.com</v>
      </c>
      <c r="Y303" s="8" t="str">
        <f>HYPERLINK("http://www.linkedin.com/company/chemanol", "http://www.linkedin.com/company/chemanol")</f>
        <v>http://www.linkedin.com/company/chemanol</v>
      </c>
      <c r="Z303" s="28">
        <v>532</v>
      </c>
      <c r="AA303" s="2" t="s">
        <v>4777</v>
      </c>
      <c r="AB303" s="2" t="s">
        <v>74</v>
      </c>
      <c r="AC303" s="2" t="s">
        <v>4778</v>
      </c>
      <c r="AD303" s="40">
        <v>1989</v>
      </c>
      <c r="AE303" s="2" t="s">
        <v>60</v>
      </c>
      <c r="AF303" s="52">
        <v>174.84</v>
      </c>
      <c r="AG303" s="52">
        <v>11.47</v>
      </c>
      <c r="AH303" s="52">
        <v>-191.53</v>
      </c>
      <c r="AI303" s="52">
        <v>312.68</v>
      </c>
      <c r="AJ303" s="52">
        <v>-164.65</v>
      </c>
      <c r="AK303" s="52">
        <v>-194.35</v>
      </c>
      <c r="AL303" s="52">
        <v>127.83</v>
      </c>
      <c r="AM303" s="52">
        <v>131.53</v>
      </c>
      <c r="AN303" s="64">
        <v>-6.69</v>
      </c>
      <c r="AO303" s="4" t="s">
        <v>179</v>
      </c>
      <c r="AP303" s="2" t="s">
        <v>4779</v>
      </c>
      <c r="AQ303" s="2" t="s">
        <v>4780</v>
      </c>
      <c r="AR303" s="2" t="s">
        <v>1067</v>
      </c>
      <c r="AS303" s="2" t="s">
        <v>4781</v>
      </c>
      <c r="AT303" s="2" t="s">
        <v>4782</v>
      </c>
      <c r="AU303" s="2" t="s">
        <v>847</v>
      </c>
      <c r="AV303" s="2" t="s">
        <v>4783</v>
      </c>
      <c r="AW303" s="2" t="s">
        <v>4784</v>
      </c>
      <c r="AX303" s="2" t="s">
        <v>849</v>
      </c>
      <c r="AY303" s="2" t="s">
        <v>60</v>
      </c>
      <c r="AZ303" s="4" t="s">
        <v>2759</v>
      </c>
      <c r="BA303" s="2" t="s">
        <v>87</v>
      </c>
      <c r="BB303" s="4" t="s">
        <v>4782</v>
      </c>
      <c r="BC303" s="4" t="s">
        <v>4785</v>
      </c>
      <c r="BD303" s="2" t="s">
        <v>60</v>
      </c>
      <c r="BE303" s="2" t="s">
        <v>88</v>
      </c>
      <c r="BF303" s="2" t="s">
        <v>88</v>
      </c>
    </row>
    <row r="304" spans="1:58" x14ac:dyDescent="0.2">
      <c r="A304" s="3" t="s">
        <v>4786</v>
      </c>
      <c r="B304" s="3" t="s">
        <v>4787</v>
      </c>
      <c r="C304" s="3" t="s">
        <v>60</v>
      </c>
      <c r="D304" s="3" t="s">
        <v>60</v>
      </c>
      <c r="E304" s="3" t="s">
        <v>60</v>
      </c>
      <c r="F304" s="3" t="s">
        <v>4788</v>
      </c>
      <c r="G304" s="3" t="s">
        <v>4789</v>
      </c>
      <c r="H304" s="3" t="s">
        <v>60</v>
      </c>
      <c r="I304" s="3" t="s">
        <v>60</v>
      </c>
      <c r="J304" s="3" t="s">
        <v>60</v>
      </c>
      <c r="K304" s="3" t="s">
        <v>4786</v>
      </c>
      <c r="L304" s="3" t="s">
        <v>4790</v>
      </c>
      <c r="M304" s="3" t="s">
        <v>63</v>
      </c>
      <c r="N304" s="3" t="s">
        <v>292</v>
      </c>
      <c r="O304" s="3" t="s">
        <v>4791</v>
      </c>
      <c r="P304" s="3" t="s">
        <v>4792</v>
      </c>
      <c r="Q304" s="3" t="s">
        <v>421</v>
      </c>
      <c r="R304" s="3" t="s">
        <v>4793</v>
      </c>
      <c r="S304" s="3" t="s">
        <v>96</v>
      </c>
      <c r="T304" s="17" t="s">
        <v>60</v>
      </c>
      <c r="U304" s="3" t="s">
        <v>97</v>
      </c>
      <c r="V304" s="3" t="s">
        <v>71</v>
      </c>
      <c r="W304" s="3" t="s">
        <v>98</v>
      </c>
      <c r="X304" s="9" t="str">
        <f>HYPERLINK("http://www.aig.sa", "www.aig.sa")</f>
        <v>www.aig.sa</v>
      </c>
      <c r="Y304" s="3" t="s">
        <v>60</v>
      </c>
      <c r="Z304" s="29">
        <v>3800</v>
      </c>
      <c r="AA304" s="3" t="s">
        <v>4794</v>
      </c>
      <c r="AB304" s="3" t="s">
        <v>74</v>
      </c>
      <c r="AC304" s="3" t="s">
        <v>4795</v>
      </c>
      <c r="AD304" s="41">
        <v>2006</v>
      </c>
      <c r="AE304" s="3" t="s">
        <v>60</v>
      </c>
      <c r="AF304" s="53">
        <v>798.88</v>
      </c>
      <c r="AG304" s="53">
        <v>366.24</v>
      </c>
      <c r="AH304" s="53">
        <v>171.91</v>
      </c>
      <c r="AI304" s="53">
        <v>2882.79</v>
      </c>
      <c r="AJ304" s="53">
        <v>210.53</v>
      </c>
      <c r="AK304" s="53">
        <v>188.1</v>
      </c>
      <c r="AL304" s="53">
        <v>3155.81</v>
      </c>
      <c r="AM304" s="53">
        <v>-134.72999999999999</v>
      </c>
      <c r="AN304" s="65">
        <v>-3.75</v>
      </c>
      <c r="AO304" s="5" t="s">
        <v>179</v>
      </c>
      <c r="AP304" s="3" t="s">
        <v>4796</v>
      </c>
      <c r="AQ304" s="3" t="s">
        <v>4797</v>
      </c>
      <c r="AR304" s="3" t="s">
        <v>1874</v>
      </c>
      <c r="AS304" s="3" t="s">
        <v>60</v>
      </c>
      <c r="AT304" s="3" t="s">
        <v>4798</v>
      </c>
      <c r="AU304" s="3" t="s">
        <v>106</v>
      </c>
      <c r="AV304" s="3" t="s">
        <v>4799</v>
      </c>
      <c r="AW304" s="3" t="s">
        <v>60</v>
      </c>
      <c r="AX304" s="3" t="s">
        <v>109</v>
      </c>
      <c r="AY304" s="3" t="s">
        <v>60</v>
      </c>
      <c r="AZ304" s="5" t="s">
        <v>4800</v>
      </c>
      <c r="BA304" s="3" t="s">
        <v>87</v>
      </c>
      <c r="BB304" s="5" t="s">
        <v>4798</v>
      </c>
      <c r="BC304" s="5" t="s">
        <v>4801</v>
      </c>
      <c r="BD304" s="3" t="s">
        <v>4802</v>
      </c>
      <c r="BE304" s="3" t="s">
        <v>88</v>
      </c>
      <c r="BF304" s="3" t="s">
        <v>88</v>
      </c>
    </row>
    <row r="305" spans="1:58" x14ac:dyDescent="0.2">
      <c r="A305" s="2" t="s">
        <v>4803</v>
      </c>
      <c r="B305" s="2" t="s">
        <v>4804</v>
      </c>
      <c r="C305" s="2" t="s">
        <v>60</v>
      </c>
      <c r="D305" s="2" t="s">
        <v>60</v>
      </c>
      <c r="E305" s="2" t="s">
        <v>60</v>
      </c>
      <c r="F305" s="2" t="s">
        <v>4805</v>
      </c>
      <c r="G305" s="2" t="s">
        <v>4806</v>
      </c>
      <c r="H305" s="2" t="s">
        <v>60</v>
      </c>
      <c r="I305" s="2" t="s">
        <v>60</v>
      </c>
      <c r="J305" s="2" t="s">
        <v>4807</v>
      </c>
      <c r="K305" s="2" t="s">
        <v>4803</v>
      </c>
      <c r="L305" s="2" t="s">
        <v>4808</v>
      </c>
      <c r="M305" s="2" t="s">
        <v>241</v>
      </c>
      <c r="N305" s="2" t="s">
        <v>2257</v>
      </c>
      <c r="O305" s="2" t="s">
        <v>4809</v>
      </c>
      <c r="P305" s="2" t="s">
        <v>4810</v>
      </c>
      <c r="Q305" s="2" t="s">
        <v>60</v>
      </c>
      <c r="R305" s="2" t="s">
        <v>4811</v>
      </c>
      <c r="S305" s="2" t="s">
        <v>96</v>
      </c>
      <c r="T305" s="16" t="s">
        <v>60</v>
      </c>
      <c r="U305" s="2" t="s">
        <v>97</v>
      </c>
      <c r="V305" s="2" t="s">
        <v>71</v>
      </c>
      <c r="W305" s="2" t="s">
        <v>98</v>
      </c>
      <c r="X305" s="8" t="str">
        <f>HYPERLINK("http://www.maaden.com", "www.maaden.com")</f>
        <v>www.maaden.com</v>
      </c>
      <c r="Y305" s="8" t="str">
        <f>HYPERLINK("http://www.linkedin.com/company/maaden", "http://www.linkedin.com/company/maaden")</f>
        <v>http://www.linkedin.com/company/maaden</v>
      </c>
      <c r="Z305" s="28">
        <v>7197</v>
      </c>
      <c r="AA305" s="2" t="s">
        <v>4812</v>
      </c>
      <c r="AB305" s="2" t="s">
        <v>74</v>
      </c>
      <c r="AC305" s="2" t="s">
        <v>4813</v>
      </c>
      <c r="AD305" s="40">
        <v>1997</v>
      </c>
      <c r="AE305" s="2" t="s">
        <v>60</v>
      </c>
      <c r="AF305" s="52">
        <v>10092.700000000001</v>
      </c>
      <c r="AG305" s="52">
        <v>3437.95</v>
      </c>
      <c r="AH305" s="52">
        <v>1483.34</v>
      </c>
      <c r="AI305" s="52">
        <v>74443.7</v>
      </c>
      <c r="AJ305" s="52">
        <v>3530.2</v>
      </c>
      <c r="AK305" s="52">
        <v>2344.63</v>
      </c>
      <c r="AL305" s="52">
        <v>79285.509999999995</v>
      </c>
      <c r="AM305" s="52">
        <v>6420.88</v>
      </c>
      <c r="AN305" s="64">
        <v>23.83</v>
      </c>
      <c r="AO305" s="4" t="s">
        <v>179</v>
      </c>
      <c r="AP305" s="2" t="s">
        <v>4814</v>
      </c>
      <c r="AQ305" s="2" t="s">
        <v>4815</v>
      </c>
      <c r="AR305" s="2" t="s">
        <v>299</v>
      </c>
      <c r="AS305" s="2" t="s">
        <v>4816</v>
      </c>
      <c r="AT305" s="2" t="s">
        <v>4817</v>
      </c>
      <c r="AU305" s="2" t="s">
        <v>106</v>
      </c>
      <c r="AV305" s="2" t="s">
        <v>4818</v>
      </c>
      <c r="AW305" s="2" t="s">
        <v>60</v>
      </c>
      <c r="AX305" s="2" t="s">
        <v>109</v>
      </c>
      <c r="AY305" s="2" t="s">
        <v>60</v>
      </c>
      <c r="AZ305" s="4" t="s">
        <v>4819</v>
      </c>
      <c r="BA305" s="2" t="s">
        <v>87</v>
      </c>
      <c r="BB305" s="4" t="s">
        <v>4817</v>
      </c>
      <c r="BC305" s="4" t="s">
        <v>60</v>
      </c>
      <c r="BD305" s="2" t="s">
        <v>4820</v>
      </c>
      <c r="BE305" s="2" t="s">
        <v>88</v>
      </c>
      <c r="BF305" s="2" t="s">
        <v>88</v>
      </c>
    </row>
    <row r="306" spans="1:58" x14ac:dyDescent="0.2">
      <c r="A306" s="3" t="s">
        <v>4821</v>
      </c>
      <c r="B306" s="3" t="s">
        <v>4822</v>
      </c>
      <c r="C306" s="3" t="s">
        <v>60</v>
      </c>
      <c r="D306" s="3" t="s">
        <v>60</v>
      </c>
      <c r="E306" s="3" t="s">
        <v>60</v>
      </c>
      <c r="F306" s="3" t="s">
        <v>4823</v>
      </c>
      <c r="G306" s="3" t="s">
        <v>4824</v>
      </c>
      <c r="H306" s="3" t="s">
        <v>60</v>
      </c>
      <c r="I306" s="3" t="s">
        <v>60</v>
      </c>
      <c r="J306" s="3" t="s">
        <v>60</v>
      </c>
      <c r="K306" s="3" t="s">
        <v>4821</v>
      </c>
      <c r="L306" s="3" t="s">
        <v>4825</v>
      </c>
      <c r="M306" s="3" t="s">
        <v>115</v>
      </c>
      <c r="N306" s="3" t="s">
        <v>208</v>
      </c>
      <c r="O306" s="3" t="s">
        <v>226</v>
      </c>
      <c r="P306" s="3" t="s">
        <v>227</v>
      </c>
      <c r="Q306" s="3" t="s">
        <v>67</v>
      </c>
      <c r="R306" s="3" t="s">
        <v>4826</v>
      </c>
      <c r="S306" s="3" t="s">
        <v>96</v>
      </c>
      <c r="T306" s="17" t="s">
        <v>60</v>
      </c>
      <c r="U306" s="3" t="s">
        <v>97</v>
      </c>
      <c r="V306" s="3" t="s">
        <v>71</v>
      </c>
      <c r="W306" s="3" t="s">
        <v>98</v>
      </c>
      <c r="X306" s="9" t="str">
        <f>HYPERLINK("http://www.halwani.com", "www.halwani.com")</f>
        <v>www.halwani.com</v>
      </c>
      <c r="Y306" s="9" t="str">
        <f>HYPERLINK("http://www.linkedin.com/company/halwani-bros-ksa", "http://www.linkedin.com/company/halwani-bros-ksa")</f>
        <v>http://www.linkedin.com/company/halwani-bros-ksa</v>
      </c>
      <c r="Z306" s="29">
        <v>2302</v>
      </c>
      <c r="AA306" s="3" t="s">
        <v>4827</v>
      </c>
      <c r="AB306" s="3" t="s">
        <v>74</v>
      </c>
      <c r="AC306" s="3" t="s">
        <v>4828</v>
      </c>
      <c r="AD306" s="41">
        <v>1950</v>
      </c>
      <c r="AE306" s="3" t="s">
        <v>60</v>
      </c>
      <c r="AF306" s="53">
        <v>244.91</v>
      </c>
      <c r="AG306" s="53">
        <v>69.959999999999994</v>
      </c>
      <c r="AH306" s="53">
        <v>12.08</v>
      </c>
      <c r="AI306" s="53">
        <v>448.13</v>
      </c>
      <c r="AJ306" s="53">
        <v>34.409999999999997</v>
      </c>
      <c r="AK306" s="53">
        <v>24.33</v>
      </c>
      <c r="AL306" s="53">
        <v>315.3</v>
      </c>
      <c r="AM306" s="53">
        <v>57</v>
      </c>
      <c r="AN306" s="65">
        <v>-4.74</v>
      </c>
      <c r="AO306" s="5" t="s">
        <v>179</v>
      </c>
      <c r="AP306" s="3" t="s">
        <v>4829</v>
      </c>
      <c r="AQ306" s="3" t="s">
        <v>4830</v>
      </c>
      <c r="AR306" s="3" t="s">
        <v>1874</v>
      </c>
      <c r="AS306" s="3" t="s">
        <v>60</v>
      </c>
      <c r="AT306" s="3" t="s">
        <v>4831</v>
      </c>
      <c r="AU306" s="3" t="s">
        <v>594</v>
      </c>
      <c r="AV306" s="3" t="s">
        <v>4832</v>
      </c>
      <c r="AW306" s="3" t="s">
        <v>4833</v>
      </c>
      <c r="AX306" s="3" t="s">
        <v>596</v>
      </c>
      <c r="AY306" s="3" t="s">
        <v>60</v>
      </c>
      <c r="AZ306" s="5" t="s">
        <v>60</v>
      </c>
      <c r="BA306" s="3" t="s">
        <v>87</v>
      </c>
      <c r="BB306" s="5" t="s">
        <v>4831</v>
      </c>
      <c r="BC306" s="5" t="s">
        <v>4834</v>
      </c>
      <c r="BD306" s="3" t="s">
        <v>60</v>
      </c>
      <c r="BE306" s="3" t="s">
        <v>88</v>
      </c>
      <c r="BF306" s="3" t="s">
        <v>88</v>
      </c>
    </row>
    <row r="307" spans="1:58" x14ac:dyDescent="0.2">
      <c r="A307" s="2" t="s">
        <v>4835</v>
      </c>
      <c r="B307" s="2" t="s">
        <v>4836</v>
      </c>
      <c r="C307" s="2" t="s">
        <v>60</v>
      </c>
      <c r="D307" s="2" t="s">
        <v>60</v>
      </c>
      <c r="E307" s="2" t="s">
        <v>60</v>
      </c>
      <c r="F307" s="2" t="s">
        <v>4837</v>
      </c>
      <c r="G307" s="2" t="s">
        <v>4838</v>
      </c>
      <c r="H307" s="2" t="s">
        <v>60</v>
      </c>
      <c r="I307" s="2" t="s">
        <v>60</v>
      </c>
      <c r="J307" s="2" t="s">
        <v>60</v>
      </c>
      <c r="K307" s="2" t="s">
        <v>4835</v>
      </c>
      <c r="L307" s="2" t="s">
        <v>4839</v>
      </c>
      <c r="M307" s="2" t="s">
        <v>115</v>
      </c>
      <c r="N307" s="2" t="s">
        <v>275</v>
      </c>
      <c r="O307" s="2" t="s">
        <v>2383</v>
      </c>
      <c r="P307" s="2" t="s">
        <v>4357</v>
      </c>
      <c r="Q307" s="2" t="s">
        <v>60</v>
      </c>
      <c r="R307" s="2" t="s">
        <v>4840</v>
      </c>
      <c r="S307" s="2" t="s">
        <v>96</v>
      </c>
      <c r="T307" s="16" t="s">
        <v>60</v>
      </c>
      <c r="U307" s="2" t="s">
        <v>97</v>
      </c>
      <c r="V307" s="2" t="s">
        <v>71</v>
      </c>
      <c r="W307" s="2" t="s">
        <v>98</v>
      </c>
      <c r="X307" s="8" t="str">
        <f>HYPERLINK("http://www.othaimmarkets.com", "www.othaimmarkets.com")</f>
        <v>www.othaimmarkets.com</v>
      </c>
      <c r="Y307" s="8" t="str">
        <f>HYPERLINK("http://www.linkedin.com/company/abdullah-al-othaim-markets-egypt", "http://www.linkedin.com/company/abdullah-al-othaim-markets-egypt")</f>
        <v>http://www.linkedin.com/company/abdullah-al-othaim-markets-egypt</v>
      </c>
      <c r="Z307" s="28">
        <v>18000</v>
      </c>
      <c r="AA307" s="2" t="s">
        <v>4841</v>
      </c>
      <c r="AB307" s="2" t="s">
        <v>74</v>
      </c>
      <c r="AC307" s="2" t="s">
        <v>4842</v>
      </c>
      <c r="AD307" s="40">
        <v>1956</v>
      </c>
      <c r="AE307" s="2" t="s">
        <v>60</v>
      </c>
      <c r="AF307" s="52">
        <v>2937.92</v>
      </c>
      <c r="AG307" s="52">
        <v>653.52</v>
      </c>
      <c r="AH307" s="52">
        <v>112.21</v>
      </c>
      <c r="AI307" s="52">
        <v>2622.06</v>
      </c>
      <c r="AJ307" s="52">
        <v>282.18</v>
      </c>
      <c r="AK307" s="52">
        <v>165.04</v>
      </c>
      <c r="AL307" s="52">
        <v>1572.58</v>
      </c>
      <c r="AM307" s="52">
        <v>743.02</v>
      </c>
      <c r="AN307" s="64">
        <v>3.63</v>
      </c>
      <c r="AO307" s="4" t="s">
        <v>179</v>
      </c>
      <c r="AP307" s="2" t="s">
        <v>4843</v>
      </c>
      <c r="AQ307" s="2" t="s">
        <v>4844</v>
      </c>
      <c r="AR307" s="2" t="s">
        <v>299</v>
      </c>
      <c r="AS307" s="2" t="s">
        <v>60</v>
      </c>
      <c r="AT307" s="2" t="s">
        <v>4845</v>
      </c>
      <c r="AU307" s="2" t="s">
        <v>106</v>
      </c>
      <c r="AV307" s="2" t="s">
        <v>4846</v>
      </c>
      <c r="AW307" s="2" t="s">
        <v>4847</v>
      </c>
      <c r="AX307" s="2" t="s">
        <v>109</v>
      </c>
      <c r="AY307" s="2" t="s">
        <v>60</v>
      </c>
      <c r="AZ307" s="4" t="s">
        <v>4848</v>
      </c>
      <c r="BA307" s="2" t="s">
        <v>87</v>
      </c>
      <c r="BB307" s="4" t="s">
        <v>4845</v>
      </c>
      <c r="BC307" s="4" t="s">
        <v>4849</v>
      </c>
      <c r="BD307" s="2" t="s">
        <v>4850</v>
      </c>
      <c r="BE307" s="2" t="s">
        <v>88</v>
      </c>
      <c r="BF307" s="2" t="s">
        <v>88</v>
      </c>
    </row>
    <row r="308" spans="1:58" x14ac:dyDescent="0.2">
      <c r="A308" s="3" t="s">
        <v>4851</v>
      </c>
      <c r="B308" s="3" t="s">
        <v>4852</v>
      </c>
      <c r="C308" s="3" t="s">
        <v>60</v>
      </c>
      <c r="D308" s="3" t="s">
        <v>60</v>
      </c>
      <c r="E308" s="3" t="s">
        <v>60</v>
      </c>
      <c r="F308" s="3" t="s">
        <v>4853</v>
      </c>
      <c r="G308" s="3" t="s">
        <v>4854</v>
      </c>
      <c r="H308" s="3" t="s">
        <v>60</v>
      </c>
      <c r="I308" s="3" t="s">
        <v>60</v>
      </c>
      <c r="J308" s="3" t="s">
        <v>60</v>
      </c>
      <c r="K308" s="3" t="s">
        <v>4851</v>
      </c>
      <c r="L308" s="3" t="s">
        <v>4855</v>
      </c>
      <c r="M308" s="3" t="s">
        <v>241</v>
      </c>
      <c r="N308" s="3" t="s">
        <v>839</v>
      </c>
      <c r="O308" s="3" t="s">
        <v>840</v>
      </c>
      <c r="P308" s="3" t="s">
        <v>841</v>
      </c>
      <c r="Q308" s="3" t="s">
        <v>67</v>
      </c>
      <c r="R308" s="3" t="s">
        <v>4856</v>
      </c>
      <c r="S308" s="3" t="s">
        <v>96</v>
      </c>
      <c r="T308" s="17" t="s">
        <v>60</v>
      </c>
      <c r="U308" s="3" t="s">
        <v>97</v>
      </c>
      <c r="V308" s="3" t="s">
        <v>71</v>
      </c>
      <c r="W308" s="3" t="s">
        <v>98</v>
      </c>
      <c r="X308" s="9" t="str">
        <f>HYPERLINK("http://www.bci.sa", "www.bci.sa")</f>
        <v>www.bci.sa</v>
      </c>
      <c r="Y308" s="9" t="str">
        <f>HYPERLINK("http://www.linkedin.com/company/basic-chemical-industries", "http://www.linkedin.com/company/basic-chemical-industries")</f>
        <v>http://www.linkedin.com/company/basic-chemical-industries</v>
      </c>
      <c r="Z308" s="29">
        <v>376</v>
      </c>
      <c r="AA308" s="3" t="s">
        <v>4857</v>
      </c>
      <c r="AB308" s="3" t="s">
        <v>74</v>
      </c>
      <c r="AC308" s="3" t="s">
        <v>4858</v>
      </c>
      <c r="AD308" s="41">
        <v>1973</v>
      </c>
      <c r="AE308" s="3" t="s">
        <v>60</v>
      </c>
      <c r="AF308" s="53">
        <v>194.55</v>
      </c>
      <c r="AG308" s="53">
        <v>47.37</v>
      </c>
      <c r="AH308" s="53">
        <v>3.91</v>
      </c>
      <c r="AI308" s="53">
        <v>305.3</v>
      </c>
      <c r="AJ308" s="53">
        <v>30.59</v>
      </c>
      <c r="AK308" s="53">
        <v>21.08</v>
      </c>
      <c r="AL308" s="53">
        <v>186.93</v>
      </c>
      <c r="AM308" s="53">
        <v>74.36</v>
      </c>
      <c r="AN308" s="65">
        <v>-2.65</v>
      </c>
      <c r="AO308" s="5" t="s">
        <v>179</v>
      </c>
      <c r="AP308" s="3" t="s">
        <v>4859</v>
      </c>
      <c r="AQ308" s="3" t="s">
        <v>4860</v>
      </c>
      <c r="AR308" s="3" t="s">
        <v>124</v>
      </c>
      <c r="AS308" s="3" t="s">
        <v>4861</v>
      </c>
      <c r="AT308" s="3" t="s">
        <v>4862</v>
      </c>
      <c r="AU308" s="3" t="s">
        <v>847</v>
      </c>
      <c r="AV308" s="3" t="s">
        <v>4863</v>
      </c>
      <c r="AW308" s="3" t="s">
        <v>60</v>
      </c>
      <c r="AX308" s="3" t="s">
        <v>849</v>
      </c>
      <c r="AY308" s="3" t="s">
        <v>60</v>
      </c>
      <c r="AZ308" s="5" t="s">
        <v>4864</v>
      </c>
      <c r="BA308" s="3" t="s">
        <v>87</v>
      </c>
      <c r="BB308" s="5" t="s">
        <v>4862</v>
      </c>
      <c r="BC308" s="5" t="s">
        <v>60</v>
      </c>
      <c r="BD308" s="3" t="s">
        <v>60</v>
      </c>
      <c r="BE308" s="3" t="s">
        <v>88</v>
      </c>
      <c r="BF308" s="3" t="s">
        <v>88</v>
      </c>
    </row>
    <row r="309" spans="1:58" x14ac:dyDescent="0.2">
      <c r="A309" s="2" t="s">
        <v>4865</v>
      </c>
      <c r="B309" s="2" t="s">
        <v>4866</v>
      </c>
      <c r="C309" s="2" t="s">
        <v>60</v>
      </c>
      <c r="D309" s="2" t="s">
        <v>60</v>
      </c>
      <c r="E309" s="2" t="s">
        <v>60</v>
      </c>
      <c r="F309" s="2" t="s">
        <v>4867</v>
      </c>
      <c r="G309" s="2" t="s">
        <v>4868</v>
      </c>
      <c r="H309" s="2" t="s">
        <v>60</v>
      </c>
      <c r="I309" s="2" t="s">
        <v>60</v>
      </c>
      <c r="J309" s="2" t="s">
        <v>4869</v>
      </c>
      <c r="K309" s="2" t="s">
        <v>4865</v>
      </c>
      <c r="L309" s="2" t="s">
        <v>4870</v>
      </c>
      <c r="M309" s="2" t="s">
        <v>134</v>
      </c>
      <c r="N309" s="2" t="s">
        <v>728</v>
      </c>
      <c r="O309" s="2" t="s">
        <v>729</v>
      </c>
      <c r="P309" s="2" t="s">
        <v>730</v>
      </c>
      <c r="Q309" s="2" t="s">
        <v>60</v>
      </c>
      <c r="R309" s="2" t="s">
        <v>4871</v>
      </c>
      <c r="S309" s="2" t="s">
        <v>96</v>
      </c>
      <c r="T309" s="16" t="s">
        <v>60</v>
      </c>
      <c r="U309" s="2" t="s">
        <v>97</v>
      </c>
      <c r="V309" s="2" t="s">
        <v>71</v>
      </c>
      <c r="W309" s="2" t="s">
        <v>98</v>
      </c>
      <c r="X309" s="8" t="str">
        <f>HYPERLINK("http://www.alinma.com", "www.alinma.com")</f>
        <v>www.alinma.com</v>
      </c>
      <c r="Y309" s="8" t="str">
        <f>HYPERLINK("http://www.linkedin.com/company/alinma", "http://www.linkedin.com/company/alinma")</f>
        <v>http://www.linkedin.com/company/alinma</v>
      </c>
      <c r="Z309" s="28">
        <v>4174</v>
      </c>
      <c r="AA309" s="2" t="s">
        <v>4872</v>
      </c>
      <c r="AB309" s="2" t="s">
        <v>74</v>
      </c>
      <c r="AC309" s="2" t="s">
        <v>4873</v>
      </c>
      <c r="AD309" s="40">
        <v>2006</v>
      </c>
      <c r="AE309" s="2" t="s">
        <v>60</v>
      </c>
      <c r="AF309" s="52">
        <v>3066.9</v>
      </c>
      <c r="AG309" s="52" t="s">
        <v>60</v>
      </c>
      <c r="AH309" s="52">
        <v>1651.32</v>
      </c>
      <c r="AI309" s="52" t="s">
        <v>60</v>
      </c>
      <c r="AJ309" s="52" t="s">
        <v>60</v>
      </c>
      <c r="AK309" s="52" t="s">
        <v>60</v>
      </c>
      <c r="AL309" s="52">
        <v>18896.86</v>
      </c>
      <c r="AM309" s="52">
        <v>60814.080000000002</v>
      </c>
      <c r="AN309" s="64">
        <v>8.0299999999999994</v>
      </c>
      <c r="AO309" s="4" t="s">
        <v>179</v>
      </c>
      <c r="AP309" s="2" t="s">
        <v>4874</v>
      </c>
      <c r="AQ309" s="2" t="s">
        <v>4875</v>
      </c>
      <c r="AR309" s="2" t="s">
        <v>4876</v>
      </c>
      <c r="AS309" s="2" t="s">
        <v>4877</v>
      </c>
      <c r="AT309" s="2" t="s">
        <v>4878</v>
      </c>
      <c r="AU309" s="2" t="s">
        <v>106</v>
      </c>
      <c r="AV309" s="2" t="s">
        <v>4879</v>
      </c>
      <c r="AW309" s="2" t="s">
        <v>4880</v>
      </c>
      <c r="AX309" s="2" t="s">
        <v>109</v>
      </c>
      <c r="AY309" s="2" t="s">
        <v>60</v>
      </c>
      <c r="AZ309" s="4" t="s">
        <v>4881</v>
      </c>
      <c r="BA309" s="2" t="s">
        <v>87</v>
      </c>
      <c r="BB309" s="4" t="s">
        <v>4878</v>
      </c>
      <c r="BC309" s="4" t="s">
        <v>4882</v>
      </c>
      <c r="BD309" s="2" t="s">
        <v>4883</v>
      </c>
      <c r="BE309" s="2" t="s">
        <v>88</v>
      </c>
      <c r="BF309" s="2" t="s">
        <v>88</v>
      </c>
    </row>
    <row r="310" spans="1:58" x14ac:dyDescent="0.2">
      <c r="A310" s="3" t="s">
        <v>4884</v>
      </c>
      <c r="B310" s="3" t="s">
        <v>4885</v>
      </c>
      <c r="C310" s="3" t="s">
        <v>60</v>
      </c>
      <c r="D310" s="3" t="s">
        <v>60</v>
      </c>
      <c r="E310" s="3" t="s">
        <v>60</v>
      </c>
      <c r="F310" s="3" t="s">
        <v>60</v>
      </c>
      <c r="G310" s="3" t="s">
        <v>4886</v>
      </c>
      <c r="H310" s="3" t="s">
        <v>60</v>
      </c>
      <c r="I310" s="3" t="s">
        <v>60</v>
      </c>
      <c r="J310" s="3" t="s">
        <v>60</v>
      </c>
      <c r="K310" s="3" t="s">
        <v>4884</v>
      </c>
      <c r="L310" s="3" t="s">
        <v>4887</v>
      </c>
      <c r="M310" s="3" t="s">
        <v>485</v>
      </c>
      <c r="N310" s="3" t="s">
        <v>2291</v>
      </c>
      <c r="O310" s="3" t="s">
        <v>4888</v>
      </c>
      <c r="P310" s="3" t="s">
        <v>4889</v>
      </c>
      <c r="Q310" s="3" t="s">
        <v>4890</v>
      </c>
      <c r="R310" s="3" t="s">
        <v>4891</v>
      </c>
      <c r="S310" s="3" t="s">
        <v>96</v>
      </c>
      <c r="T310" s="17" t="s">
        <v>60</v>
      </c>
      <c r="U310" s="3" t="s">
        <v>97</v>
      </c>
      <c r="V310" s="3" t="s">
        <v>71</v>
      </c>
      <c r="W310" s="3" t="s">
        <v>98</v>
      </c>
      <c r="X310" s="9" t="str">
        <f>HYPERLINK("http://www.sa.zain.com", "www.sa.zain.com")</f>
        <v>www.sa.zain.com</v>
      </c>
      <c r="Y310" s="9" t="str">
        <f>HYPERLINK("http://www.linkedin.com/company/zain-ksa", "http://www.linkedin.com/company/zain-ksa")</f>
        <v>http://www.linkedin.com/company/zain-ksa</v>
      </c>
      <c r="Z310" s="29">
        <v>1503</v>
      </c>
      <c r="AA310" s="3" t="s">
        <v>4892</v>
      </c>
      <c r="AB310" s="3" t="s">
        <v>74</v>
      </c>
      <c r="AC310" s="3" t="s">
        <v>4893</v>
      </c>
      <c r="AD310" s="41" t="s">
        <v>60</v>
      </c>
      <c r="AE310" s="3" t="s">
        <v>60</v>
      </c>
      <c r="AF310" s="53">
        <v>2872.72</v>
      </c>
      <c r="AG310" s="53">
        <v>1736.32</v>
      </c>
      <c r="AH310" s="53">
        <v>172.35</v>
      </c>
      <c r="AI310" s="53">
        <v>5225.37</v>
      </c>
      <c r="AJ310" s="53">
        <v>904.55</v>
      </c>
      <c r="AK310" s="53">
        <v>332.44</v>
      </c>
      <c r="AL310" s="53">
        <v>2661.95</v>
      </c>
      <c r="AM310" s="53">
        <v>2535.44</v>
      </c>
      <c r="AN310" s="65">
        <v>5.64</v>
      </c>
      <c r="AO310" s="5" t="s">
        <v>179</v>
      </c>
      <c r="AP310" s="3" t="s">
        <v>4894</v>
      </c>
      <c r="AQ310" s="3" t="s">
        <v>4895</v>
      </c>
      <c r="AR310" s="3" t="s">
        <v>124</v>
      </c>
      <c r="AS310" s="3" t="s">
        <v>60</v>
      </c>
      <c r="AT310" s="3" t="s">
        <v>4896</v>
      </c>
      <c r="AU310" s="3" t="s">
        <v>106</v>
      </c>
      <c r="AV310" s="3" t="s">
        <v>4897</v>
      </c>
      <c r="AW310" s="3" t="s">
        <v>4898</v>
      </c>
      <c r="AX310" s="3" t="s">
        <v>109</v>
      </c>
      <c r="AY310" s="3" t="s">
        <v>60</v>
      </c>
      <c r="AZ310" s="5" t="s">
        <v>2807</v>
      </c>
      <c r="BA310" s="3" t="s">
        <v>87</v>
      </c>
      <c r="BB310" s="5" t="s">
        <v>4896</v>
      </c>
      <c r="BC310" s="5" t="s">
        <v>60</v>
      </c>
      <c r="BD310" s="3" t="s">
        <v>4899</v>
      </c>
      <c r="BE310" s="3" t="s">
        <v>88</v>
      </c>
      <c r="BF310" s="3" t="s">
        <v>88</v>
      </c>
    </row>
    <row r="311" spans="1:58" x14ac:dyDescent="0.2">
      <c r="A311" s="2" t="s">
        <v>4900</v>
      </c>
      <c r="B311" s="2" t="s">
        <v>4901</v>
      </c>
      <c r="C311" s="2" t="s">
        <v>60</v>
      </c>
      <c r="D311" s="2" t="s">
        <v>60</v>
      </c>
      <c r="E311" s="2" t="s">
        <v>4902</v>
      </c>
      <c r="F311" s="2" t="s">
        <v>4903</v>
      </c>
      <c r="G311" s="2" t="s">
        <v>4904</v>
      </c>
      <c r="H311" s="2" t="s">
        <v>60</v>
      </c>
      <c r="I311" s="2" t="s">
        <v>60</v>
      </c>
      <c r="J311" s="2" t="s">
        <v>60</v>
      </c>
      <c r="K311" s="2" t="s">
        <v>4900</v>
      </c>
      <c r="L311" s="2" t="s">
        <v>4905</v>
      </c>
      <c r="M311" s="2" t="s">
        <v>134</v>
      </c>
      <c r="N311" s="2" t="s">
        <v>565</v>
      </c>
      <c r="O311" s="2" t="s">
        <v>1666</v>
      </c>
      <c r="P311" s="2" t="s">
        <v>4906</v>
      </c>
      <c r="Q311" s="2" t="s">
        <v>60</v>
      </c>
      <c r="R311" s="2" t="s">
        <v>4907</v>
      </c>
      <c r="S311" s="2" t="s">
        <v>96</v>
      </c>
      <c r="T311" s="16" t="s">
        <v>60</v>
      </c>
      <c r="U311" s="2" t="s">
        <v>97</v>
      </c>
      <c r="V311" s="2" t="s">
        <v>71</v>
      </c>
      <c r="W311" s="2" t="s">
        <v>98</v>
      </c>
      <c r="X311" s="8" t="str">
        <f>HYPERLINK("http://www.aletihad.sa", "www.aletihad.sa")</f>
        <v>www.aletihad.sa</v>
      </c>
      <c r="Y311" s="8" t="str">
        <f>HYPERLINK("http://www.linkedin.com/company/aletihadins", "http://www.linkedin.com/company/aletihadins")</f>
        <v>http://www.linkedin.com/company/aletihadins</v>
      </c>
      <c r="Z311" s="28">
        <v>141</v>
      </c>
      <c r="AA311" s="2" t="s">
        <v>4908</v>
      </c>
      <c r="AB311" s="2" t="s">
        <v>74</v>
      </c>
      <c r="AC311" s="2" t="s">
        <v>4909</v>
      </c>
      <c r="AD311" s="40">
        <v>2008</v>
      </c>
      <c r="AE311" s="2" t="s">
        <v>60</v>
      </c>
      <c r="AF311" s="52">
        <v>316.81</v>
      </c>
      <c r="AG311" s="52" t="s">
        <v>60</v>
      </c>
      <c r="AH311" s="52">
        <v>-30.87</v>
      </c>
      <c r="AI311" s="52">
        <v>129.81</v>
      </c>
      <c r="AJ311" s="52">
        <v>-25.92</v>
      </c>
      <c r="AK311" s="52">
        <v>-28.41</v>
      </c>
      <c r="AL311" s="52">
        <v>106.81</v>
      </c>
      <c r="AM311" s="52">
        <v>-14.32</v>
      </c>
      <c r="AN311" s="64">
        <v>-17</v>
      </c>
      <c r="AO311" s="4" t="s">
        <v>179</v>
      </c>
      <c r="AP311" s="2" t="s">
        <v>4910</v>
      </c>
      <c r="AQ311" s="2" t="s">
        <v>4911</v>
      </c>
      <c r="AR311" s="2" t="s">
        <v>4912</v>
      </c>
      <c r="AS311" s="2" t="s">
        <v>60</v>
      </c>
      <c r="AT311" s="2" t="s">
        <v>60</v>
      </c>
      <c r="AU311" s="2" t="s">
        <v>1402</v>
      </c>
      <c r="AV311" s="2" t="s">
        <v>4913</v>
      </c>
      <c r="AW311" s="2" t="s">
        <v>4914</v>
      </c>
      <c r="AX311" s="2" t="s">
        <v>1404</v>
      </c>
      <c r="AY311" s="2" t="s">
        <v>60</v>
      </c>
      <c r="AZ311" s="4" t="s">
        <v>4915</v>
      </c>
      <c r="BA311" s="2" t="s">
        <v>87</v>
      </c>
      <c r="BB311" s="4" t="s">
        <v>60</v>
      </c>
      <c r="BC311" s="4" t="s">
        <v>60</v>
      </c>
      <c r="BD311" s="2" t="s">
        <v>4916</v>
      </c>
      <c r="BE311" s="2" t="s">
        <v>88</v>
      </c>
      <c r="BF311" s="2" t="s">
        <v>88</v>
      </c>
    </row>
    <row r="312" spans="1:58" x14ac:dyDescent="0.2">
      <c r="A312" s="3" t="s">
        <v>4917</v>
      </c>
      <c r="B312" s="3" t="s">
        <v>4918</v>
      </c>
      <c r="C312" s="3" t="s">
        <v>60</v>
      </c>
      <c r="D312" s="3" t="s">
        <v>60</v>
      </c>
      <c r="E312" s="3" t="s">
        <v>60</v>
      </c>
      <c r="F312" s="3" t="s">
        <v>60</v>
      </c>
      <c r="G312" s="3" t="s">
        <v>4919</v>
      </c>
      <c r="H312" s="3" t="s">
        <v>60</v>
      </c>
      <c r="I312" s="3" t="s">
        <v>60</v>
      </c>
      <c r="J312" s="3" t="s">
        <v>60</v>
      </c>
      <c r="K312" s="3" t="s">
        <v>4917</v>
      </c>
      <c r="L312" s="3" t="s">
        <v>4920</v>
      </c>
      <c r="M312" s="3" t="s">
        <v>134</v>
      </c>
      <c r="N312" s="3" t="s">
        <v>565</v>
      </c>
      <c r="O312" s="3" t="s">
        <v>1239</v>
      </c>
      <c r="P312" s="3" t="s">
        <v>4921</v>
      </c>
      <c r="Q312" s="3" t="s">
        <v>60</v>
      </c>
      <c r="R312" s="3" t="s">
        <v>4922</v>
      </c>
      <c r="S312" s="3" t="s">
        <v>96</v>
      </c>
      <c r="T312" s="17" t="s">
        <v>60</v>
      </c>
      <c r="U312" s="3" t="s">
        <v>97</v>
      </c>
      <c r="V312" s="3" t="s">
        <v>71</v>
      </c>
      <c r="W312" s="3" t="s">
        <v>98</v>
      </c>
      <c r="X312" s="9" t="str">
        <f>HYPERLINK("http://www.aicc.com.sa", "www.aicc.com.sa")</f>
        <v>www.aicc.com.sa</v>
      </c>
      <c r="Y312" s="9" t="str">
        <f>HYPERLINK("http://www.linkedin.com/company/arabia-insurance-cooperative-co", "http://www.linkedin.com/company/arabia-insurance-cooperative-co")</f>
        <v>http://www.linkedin.com/company/arabia-insurance-cooperative-co</v>
      </c>
      <c r="Z312" s="29">
        <v>200</v>
      </c>
      <c r="AA312" s="3" t="s">
        <v>4923</v>
      </c>
      <c r="AB312" s="3" t="s">
        <v>74</v>
      </c>
      <c r="AC312" s="3" t="s">
        <v>4924</v>
      </c>
      <c r="AD312" s="41">
        <v>2007</v>
      </c>
      <c r="AE312" s="3" t="s">
        <v>60</v>
      </c>
      <c r="AF312" s="53">
        <v>160.03</v>
      </c>
      <c r="AG312" s="53" t="s">
        <v>60</v>
      </c>
      <c r="AH312" s="53">
        <v>1.36</v>
      </c>
      <c r="AI312" s="53">
        <v>73.23</v>
      </c>
      <c r="AJ312" s="53">
        <v>5.67</v>
      </c>
      <c r="AK312" s="53">
        <v>3.33</v>
      </c>
      <c r="AL312" s="53">
        <v>130.86000000000001</v>
      </c>
      <c r="AM312" s="53">
        <v>-37.53</v>
      </c>
      <c r="AN312" s="65">
        <v>-4.07</v>
      </c>
      <c r="AO312" s="5" t="s">
        <v>179</v>
      </c>
      <c r="AP312" s="3" t="s">
        <v>4925</v>
      </c>
      <c r="AQ312" s="3" t="s">
        <v>4926</v>
      </c>
      <c r="AR312" s="3" t="s">
        <v>4927</v>
      </c>
      <c r="AS312" s="3" t="s">
        <v>4928</v>
      </c>
      <c r="AT312" s="3" t="s">
        <v>4929</v>
      </c>
      <c r="AU312" s="3" t="s">
        <v>106</v>
      </c>
      <c r="AV312" s="3" t="s">
        <v>4930</v>
      </c>
      <c r="AW312" s="3" t="s">
        <v>60</v>
      </c>
      <c r="AX312" s="3" t="s">
        <v>109</v>
      </c>
      <c r="AY312" s="3" t="s">
        <v>60</v>
      </c>
      <c r="AZ312" s="5" t="s">
        <v>650</v>
      </c>
      <c r="BA312" s="3" t="s">
        <v>87</v>
      </c>
      <c r="BB312" s="5" t="s">
        <v>4929</v>
      </c>
      <c r="BC312" s="5" t="s">
        <v>4931</v>
      </c>
      <c r="BD312" s="3" t="s">
        <v>4932</v>
      </c>
      <c r="BE312" s="3" t="s">
        <v>88</v>
      </c>
      <c r="BF312" s="3" t="s">
        <v>88</v>
      </c>
    </row>
    <row r="313" spans="1:58" x14ac:dyDescent="0.2">
      <c r="A313" s="2" t="s">
        <v>4933</v>
      </c>
      <c r="B313" s="2" t="s">
        <v>4934</v>
      </c>
      <c r="C313" s="2" t="s">
        <v>60</v>
      </c>
      <c r="D313" s="2" t="s">
        <v>60</v>
      </c>
      <c r="E313" s="2" t="s">
        <v>4935</v>
      </c>
      <c r="F313" s="2" t="s">
        <v>60</v>
      </c>
      <c r="G313" s="2" t="s">
        <v>4936</v>
      </c>
      <c r="H313" s="2" t="s">
        <v>60</v>
      </c>
      <c r="I313" s="2" t="s">
        <v>60</v>
      </c>
      <c r="J313" s="2" t="s">
        <v>60</v>
      </c>
      <c r="K313" s="2" t="s">
        <v>4933</v>
      </c>
      <c r="L313" s="2" t="s">
        <v>4937</v>
      </c>
      <c r="M313" s="2" t="s">
        <v>63</v>
      </c>
      <c r="N313" s="2" t="s">
        <v>92</v>
      </c>
      <c r="O313" s="2" t="s">
        <v>545</v>
      </c>
      <c r="P313" s="2" t="s">
        <v>546</v>
      </c>
      <c r="Q313" s="2" t="s">
        <v>60</v>
      </c>
      <c r="R313" s="2" t="s">
        <v>4938</v>
      </c>
      <c r="S313" s="2" t="s">
        <v>96</v>
      </c>
      <c r="T313" s="16" t="s">
        <v>60</v>
      </c>
      <c r="U313" s="2" t="s">
        <v>1516</v>
      </c>
      <c r="V313" s="2" t="s">
        <v>71</v>
      </c>
      <c r="W313" s="2" t="s">
        <v>98</v>
      </c>
      <c r="X313" s="8" t="str">
        <f>HYPERLINK("http://www.alkhaleej.com.sa", "www.alkhaleej.com.sa")</f>
        <v>www.alkhaleej.com.sa</v>
      </c>
      <c r="Y313" s="8" t="str">
        <f>HYPERLINK("http://www.linkedin.com/company/khaleejtraining", "http://www.linkedin.com/company/khaleejtraining")</f>
        <v>http://www.linkedin.com/company/khaleejtraining</v>
      </c>
      <c r="Z313" s="28">
        <v>1331</v>
      </c>
      <c r="AA313" s="2" t="s">
        <v>4939</v>
      </c>
      <c r="AB313" s="2" t="s">
        <v>74</v>
      </c>
      <c r="AC313" s="2" t="s">
        <v>4940</v>
      </c>
      <c r="AD313" s="40">
        <v>1992</v>
      </c>
      <c r="AE313" s="2" t="s">
        <v>60</v>
      </c>
      <c r="AF313" s="52">
        <v>316.16000000000003</v>
      </c>
      <c r="AG313" s="52">
        <v>63.78</v>
      </c>
      <c r="AH313" s="52">
        <v>5.61</v>
      </c>
      <c r="AI313" s="52">
        <v>798.53</v>
      </c>
      <c r="AJ313" s="52">
        <v>50.12</v>
      </c>
      <c r="AK313" s="52">
        <v>26.85</v>
      </c>
      <c r="AL313" s="52">
        <v>351.46</v>
      </c>
      <c r="AM313" s="52">
        <v>322.62</v>
      </c>
      <c r="AN313" s="64">
        <v>4.16</v>
      </c>
      <c r="AO313" s="4" t="s">
        <v>179</v>
      </c>
      <c r="AP313" s="2" t="s">
        <v>4941</v>
      </c>
      <c r="AQ313" s="2" t="s">
        <v>4942</v>
      </c>
      <c r="AR313" s="2" t="s">
        <v>4943</v>
      </c>
      <c r="AS313" s="2" t="s">
        <v>4944</v>
      </c>
      <c r="AT313" s="2" t="s">
        <v>4945</v>
      </c>
      <c r="AU313" s="2" t="s">
        <v>106</v>
      </c>
      <c r="AV313" s="2" t="s">
        <v>4946</v>
      </c>
      <c r="AW313" s="2" t="s">
        <v>4947</v>
      </c>
      <c r="AX313" s="2" t="s">
        <v>109</v>
      </c>
      <c r="AY313" s="2" t="s">
        <v>60</v>
      </c>
      <c r="AZ313" s="4" t="s">
        <v>4948</v>
      </c>
      <c r="BA313" s="2" t="s">
        <v>87</v>
      </c>
      <c r="BB313" s="4" t="s">
        <v>4945</v>
      </c>
      <c r="BC313" s="4" t="s">
        <v>60</v>
      </c>
      <c r="BD313" s="2" t="s">
        <v>4949</v>
      </c>
      <c r="BE313" s="2" t="s">
        <v>88</v>
      </c>
      <c r="BF313" s="2" t="s">
        <v>88</v>
      </c>
    </row>
    <row r="314" spans="1:58" x14ac:dyDescent="0.2">
      <c r="A314" s="3" t="s">
        <v>4950</v>
      </c>
      <c r="B314" s="3" t="s">
        <v>4951</v>
      </c>
      <c r="C314" s="3" t="s">
        <v>60</v>
      </c>
      <c r="D314" s="3" t="s">
        <v>60</v>
      </c>
      <c r="E314" s="3" t="s">
        <v>60</v>
      </c>
      <c r="F314" s="3" t="s">
        <v>4952</v>
      </c>
      <c r="G314" s="3" t="s">
        <v>4953</v>
      </c>
      <c r="H314" s="3" t="s">
        <v>60</v>
      </c>
      <c r="I314" s="3" t="s">
        <v>60</v>
      </c>
      <c r="J314" s="3" t="s">
        <v>60</v>
      </c>
      <c r="K314" s="3" t="s">
        <v>4950</v>
      </c>
      <c r="L314" s="3" t="s">
        <v>4954</v>
      </c>
      <c r="M314" s="3" t="s">
        <v>63</v>
      </c>
      <c r="N314" s="3" t="s">
        <v>64</v>
      </c>
      <c r="O314" s="3" t="s">
        <v>2174</v>
      </c>
      <c r="P314" s="3" t="s">
        <v>2175</v>
      </c>
      <c r="Q314" s="3" t="s">
        <v>3223</v>
      </c>
      <c r="R314" s="3" t="s">
        <v>4955</v>
      </c>
      <c r="S314" s="3" t="s">
        <v>96</v>
      </c>
      <c r="T314" s="17" t="s">
        <v>60</v>
      </c>
      <c r="U314" s="3" t="s">
        <v>97</v>
      </c>
      <c r="V314" s="3" t="s">
        <v>71</v>
      </c>
      <c r="W314" s="3" t="s">
        <v>98</v>
      </c>
      <c r="X314" s="9" t="str">
        <f>HYPERLINK("http://www.mesccables.com", "www.mesccables.com")</f>
        <v>www.mesccables.com</v>
      </c>
      <c r="Y314" s="9" t="str">
        <f>HYPERLINK("http://www.linkedin.com/company/middle-east-specialized-cables-mesc-", "http://www.linkedin.com/company/middle-east-specialized-cables-mesc-")</f>
        <v>http://www.linkedin.com/company/middle-east-specialized-cables-mesc-</v>
      </c>
      <c r="Z314" s="29">
        <v>877</v>
      </c>
      <c r="AA314" s="3" t="s">
        <v>4956</v>
      </c>
      <c r="AB314" s="3" t="s">
        <v>74</v>
      </c>
      <c r="AC314" s="3" t="s">
        <v>4957</v>
      </c>
      <c r="AD314" s="41">
        <v>1993</v>
      </c>
      <c r="AE314" s="3" t="s">
        <v>60</v>
      </c>
      <c r="AF314" s="53">
        <v>376.47</v>
      </c>
      <c r="AG314" s="53">
        <v>56.8</v>
      </c>
      <c r="AH314" s="53">
        <v>24.42</v>
      </c>
      <c r="AI314" s="53">
        <v>383.38</v>
      </c>
      <c r="AJ314" s="53">
        <v>35.36</v>
      </c>
      <c r="AK314" s="53">
        <v>29.66</v>
      </c>
      <c r="AL314" s="53">
        <v>242.39</v>
      </c>
      <c r="AM314" s="53">
        <v>31.07</v>
      </c>
      <c r="AN314" s="65">
        <v>29.38</v>
      </c>
      <c r="AO314" s="5" t="s">
        <v>179</v>
      </c>
      <c r="AP314" s="3" t="s">
        <v>4958</v>
      </c>
      <c r="AQ314" s="3" t="s">
        <v>4959</v>
      </c>
      <c r="AR314" s="3" t="s">
        <v>4960</v>
      </c>
      <c r="AS314" s="3" t="s">
        <v>60</v>
      </c>
      <c r="AT314" s="3" t="s">
        <v>4961</v>
      </c>
      <c r="AU314" s="3" t="s">
        <v>106</v>
      </c>
      <c r="AV314" s="3" t="s">
        <v>4962</v>
      </c>
      <c r="AW314" s="3" t="s">
        <v>4963</v>
      </c>
      <c r="AX314" s="3" t="s">
        <v>109</v>
      </c>
      <c r="AY314" s="3" t="s">
        <v>60</v>
      </c>
      <c r="AZ314" s="5" t="s">
        <v>3936</v>
      </c>
      <c r="BA314" s="3" t="s">
        <v>87</v>
      </c>
      <c r="BB314" s="5" t="s">
        <v>4961</v>
      </c>
      <c r="BC314" s="5" t="s">
        <v>4964</v>
      </c>
      <c r="BD314" s="3" t="s">
        <v>60</v>
      </c>
      <c r="BE314" s="3" t="s">
        <v>88</v>
      </c>
      <c r="BF314" s="3" t="s">
        <v>88</v>
      </c>
    </row>
    <row r="315" spans="1:58" x14ac:dyDescent="0.2">
      <c r="A315" s="2" t="s">
        <v>4965</v>
      </c>
      <c r="B315" s="2" t="s">
        <v>4966</v>
      </c>
      <c r="C315" s="2" t="s">
        <v>60</v>
      </c>
      <c r="D315" s="2" t="s">
        <v>60</v>
      </c>
      <c r="E315" s="2" t="s">
        <v>60</v>
      </c>
      <c r="F315" s="2" t="s">
        <v>4967</v>
      </c>
      <c r="G315" s="2" t="s">
        <v>4968</v>
      </c>
      <c r="H315" s="2" t="s">
        <v>60</v>
      </c>
      <c r="I315" s="2" t="s">
        <v>60</v>
      </c>
      <c r="J315" s="2" t="s">
        <v>4969</v>
      </c>
      <c r="K315" s="2" t="s">
        <v>4965</v>
      </c>
      <c r="L315" s="2" t="s">
        <v>4970</v>
      </c>
      <c r="M315" s="2" t="s">
        <v>115</v>
      </c>
      <c r="N315" s="2" t="s">
        <v>116</v>
      </c>
      <c r="O315" s="2" t="s">
        <v>117</v>
      </c>
      <c r="P315" s="2" t="s">
        <v>118</v>
      </c>
      <c r="Q315" s="2" t="s">
        <v>60</v>
      </c>
      <c r="R315" s="2" t="s">
        <v>4971</v>
      </c>
      <c r="S315" s="2" t="s">
        <v>96</v>
      </c>
      <c r="T315" s="16">
        <v>548.17999999999995</v>
      </c>
      <c r="U315" s="2" t="s">
        <v>97</v>
      </c>
      <c r="V315" s="2" t="s">
        <v>71</v>
      </c>
      <c r="W315" s="2" t="s">
        <v>98</v>
      </c>
      <c r="X315" s="8" t="str">
        <f>HYPERLINK("http://www.jabalomar.com.sa", "www.jabalomar.com.sa")</f>
        <v>www.jabalomar.com.sa</v>
      </c>
      <c r="Y315" s="8" t="str">
        <f>HYPERLINK("http://www.linkedin.com/company/jabal-omar-development-co", "http://www.linkedin.com/company/jabal-omar-development-co")</f>
        <v>http://www.linkedin.com/company/jabal-omar-development-co</v>
      </c>
      <c r="Z315" s="28">
        <v>22</v>
      </c>
      <c r="AA315" s="2" t="s">
        <v>4972</v>
      </c>
      <c r="AB315" s="2" t="s">
        <v>74</v>
      </c>
      <c r="AC315" s="2" t="s">
        <v>4973</v>
      </c>
      <c r="AD315" s="40">
        <v>2006</v>
      </c>
      <c r="AE315" s="2" t="s">
        <v>60</v>
      </c>
      <c r="AF315" s="52">
        <v>532.69000000000005</v>
      </c>
      <c r="AG315" s="52">
        <v>166</v>
      </c>
      <c r="AH315" s="52">
        <v>386.89</v>
      </c>
      <c r="AI315" s="52">
        <v>8748.25</v>
      </c>
      <c r="AJ315" s="52">
        <v>675.35</v>
      </c>
      <c r="AK315" s="52">
        <v>556.70000000000005</v>
      </c>
      <c r="AL315" s="52">
        <v>5189.24</v>
      </c>
      <c r="AM315" s="52">
        <v>2446.61</v>
      </c>
      <c r="AN315" s="64">
        <v>11.49</v>
      </c>
      <c r="AO315" s="4" t="s">
        <v>179</v>
      </c>
      <c r="AP315" s="2" t="s">
        <v>4974</v>
      </c>
      <c r="AQ315" s="2" t="s">
        <v>4975</v>
      </c>
      <c r="AR315" s="2" t="s">
        <v>124</v>
      </c>
      <c r="AS315" s="2" t="s">
        <v>4976</v>
      </c>
      <c r="AT315" s="2" t="s">
        <v>4977</v>
      </c>
      <c r="AU315" s="2" t="s">
        <v>82</v>
      </c>
      <c r="AV315" s="2" t="s">
        <v>4978</v>
      </c>
      <c r="AW315" s="2" t="s">
        <v>4979</v>
      </c>
      <c r="AX315" s="2" t="s">
        <v>85</v>
      </c>
      <c r="AY315" s="2" t="s">
        <v>60</v>
      </c>
      <c r="AZ315" s="4" t="s">
        <v>60</v>
      </c>
      <c r="BA315" s="2" t="s">
        <v>87</v>
      </c>
      <c r="BB315" s="4" t="s">
        <v>4977</v>
      </c>
      <c r="BC315" s="4" t="s">
        <v>60</v>
      </c>
      <c r="BD315" s="2" t="s">
        <v>4980</v>
      </c>
      <c r="BE315" s="2" t="s">
        <v>88</v>
      </c>
      <c r="BF315" s="2" t="s">
        <v>88</v>
      </c>
    </row>
    <row r="316" spans="1:58" x14ac:dyDescent="0.2">
      <c r="A316" s="3" t="s">
        <v>4981</v>
      </c>
      <c r="B316" s="3" t="s">
        <v>4982</v>
      </c>
      <c r="C316" s="3" t="s">
        <v>60</v>
      </c>
      <c r="D316" s="3" t="s">
        <v>60</v>
      </c>
      <c r="E316" s="3" t="s">
        <v>60</v>
      </c>
      <c r="F316" s="3" t="s">
        <v>60</v>
      </c>
      <c r="G316" s="3" t="s">
        <v>4983</v>
      </c>
      <c r="H316" s="3" t="s">
        <v>60</v>
      </c>
      <c r="I316" s="3" t="s">
        <v>60</v>
      </c>
      <c r="J316" s="3" t="s">
        <v>60</v>
      </c>
      <c r="K316" s="3" t="s">
        <v>4981</v>
      </c>
      <c r="L316" s="3" t="s">
        <v>4984</v>
      </c>
      <c r="M316" s="3" t="s">
        <v>134</v>
      </c>
      <c r="N316" s="3" t="s">
        <v>565</v>
      </c>
      <c r="O316" s="3" t="s">
        <v>4386</v>
      </c>
      <c r="P316" s="3" t="s">
        <v>4387</v>
      </c>
      <c r="Q316" s="3" t="s">
        <v>60</v>
      </c>
      <c r="R316" s="3" t="s">
        <v>4985</v>
      </c>
      <c r="S316" s="3" t="s">
        <v>96</v>
      </c>
      <c r="T316" s="17" t="s">
        <v>60</v>
      </c>
      <c r="U316" s="3" t="s">
        <v>97</v>
      </c>
      <c r="V316" s="3" t="s">
        <v>71</v>
      </c>
      <c r="W316" s="3" t="s">
        <v>98</v>
      </c>
      <c r="X316" s="9" t="str">
        <f>HYPERLINK("http://gulfunion.com.sa", "gulfunion.com.sa")</f>
        <v>gulfunion.com.sa</v>
      </c>
      <c r="Y316" s="9" t="str">
        <f>HYPERLINK("http://www.linkedin.com/company/gulf-union-al-ahlia-cooperative-insurance-co", "http://www.linkedin.com/company/gulf-union-al-ahlia-cooperative-insurance-co")</f>
        <v>http://www.linkedin.com/company/gulf-union-al-ahlia-cooperative-insurance-co</v>
      </c>
      <c r="Z316" s="29">
        <v>413</v>
      </c>
      <c r="AA316" s="3" t="s">
        <v>4986</v>
      </c>
      <c r="AB316" s="3" t="s">
        <v>74</v>
      </c>
      <c r="AC316" s="3" t="s">
        <v>4987</v>
      </c>
      <c r="AD316" s="41">
        <v>1983</v>
      </c>
      <c r="AE316" s="3" t="s">
        <v>60</v>
      </c>
      <c r="AF316" s="53">
        <v>243.88</v>
      </c>
      <c r="AG316" s="53" t="s">
        <v>60</v>
      </c>
      <c r="AH316" s="53">
        <v>-21.11</v>
      </c>
      <c r="AI316" s="53">
        <v>159.69</v>
      </c>
      <c r="AJ316" s="53">
        <v>-13.12</v>
      </c>
      <c r="AK316" s="53">
        <v>-18.3</v>
      </c>
      <c r="AL316" s="53">
        <v>136.66999999999999</v>
      </c>
      <c r="AM316" s="53">
        <v>-15.43</v>
      </c>
      <c r="AN316" s="65">
        <v>28.05</v>
      </c>
      <c r="AO316" s="5" t="s">
        <v>179</v>
      </c>
      <c r="AP316" s="3" t="s">
        <v>4988</v>
      </c>
      <c r="AQ316" s="3" t="s">
        <v>4989</v>
      </c>
      <c r="AR316" s="3" t="s">
        <v>79</v>
      </c>
      <c r="AS316" s="3" t="s">
        <v>4990</v>
      </c>
      <c r="AT316" s="3" t="s">
        <v>4991</v>
      </c>
      <c r="AU316" s="3" t="s">
        <v>847</v>
      </c>
      <c r="AV316" s="3" t="s">
        <v>4992</v>
      </c>
      <c r="AW316" s="3" t="s">
        <v>4993</v>
      </c>
      <c r="AX316" s="3" t="s">
        <v>849</v>
      </c>
      <c r="AY316" s="3" t="s">
        <v>60</v>
      </c>
      <c r="AZ316" s="5" t="s">
        <v>4994</v>
      </c>
      <c r="BA316" s="3" t="s">
        <v>87</v>
      </c>
      <c r="BB316" s="5" t="s">
        <v>4991</v>
      </c>
      <c r="BC316" s="5" t="s">
        <v>60</v>
      </c>
      <c r="BD316" s="3" t="s">
        <v>60</v>
      </c>
      <c r="BE316" s="3" t="s">
        <v>88</v>
      </c>
      <c r="BF316" s="3" t="s">
        <v>88</v>
      </c>
    </row>
    <row r="317" spans="1:58" x14ac:dyDescent="0.2">
      <c r="A317" s="2" t="s">
        <v>4995</v>
      </c>
      <c r="B317" s="2" t="s">
        <v>4996</v>
      </c>
      <c r="C317" s="2" t="s">
        <v>60</v>
      </c>
      <c r="D317" s="2" t="s">
        <v>60</v>
      </c>
      <c r="E317" s="2" t="s">
        <v>60</v>
      </c>
      <c r="F317" s="2" t="s">
        <v>4997</v>
      </c>
      <c r="G317" s="2" t="s">
        <v>4998</v>
      </c>
      <c r="H317" s="2" t="s">
        <v>60</v>
      </c>
      <c r="I317" s="2" t="s">
        <v>60</v>
      </c>
      <c r="J317" s="2" t="s">
        <v>60</v>
      </c>
      <c r="K317" s="2" t="s">
        <v>4995</v>
      </c>
      <c r="L317" s="2" t="s">
        <v>4999</v>
      </c>
      <c r="M317" s="2" t="s">
        <v>134</v>
      </c>
      <c r="N317" s="2" t="s">
        <v>565</v>
      </c>
      <c r="O317" s="2" t="s">
        <v>3188</v>
      </c>
      <c r="P317" s="2" t="s">
        <v>5000</v>
      </c>
      <c r="Q317" s="2" t="s">
        <v>60</v>
      </c>
      <c r="R317" s="2" t="s">
        <v>5001</v>
      </c>
      <c r="S317" s="2" t="s">
        <v>96</v>
      </c>
      <c r="T317" s="16" t="s">
        <v>60</v>
      </c>
      <c r="U317" s="2" t="s">
        <v>97</v>
      </c>
      <c r="V317" s="2" t="s">
        <v>71</v>
      </c>
      <c r="W317" s="2" t="s">
        <v>98</v>
      </c>
      <c r="X317" s="8" t="str">
        <f>HYPERLINK("http://www.saico.com.sa", "www.saico.com.sa")</f>
        <v>www.saico.com.sa</v>
      </c>
      <c r="Y317" s="8" t="str">
        <f>HYPERLINK("http://www.linkedin.com/company/saudi-arabian-cooperative-insurance-company-saico-", "http://www.linkedin.com/company/saudi-arabian-cooperative-insurance-company-saico-")</f>
        <v>http://www.linkedin.com/company/saudi-arabian-cooperative-insurance-company-saico-</v>
      </c>
      <c r="Z317" s="28">
        <v>23</v>
      </c>
      <c r="AA317" s="2" t="s">
        <v>5002</v>
      </c>
      <c r="AB317" s="2" t="s">
        <v>74</v>
      </c>
      <c r="AC317" s="2" t="s">
        <v>5003</v>
      </c>
      <c r="AD317" s="40">
        <v>1952</v>
      </c>
      <c r="AE317" s="2" t="s">
        <v>60</v>
      </c>
      <c r="AF317" s="52">
        <v>195.22</v>
      </c>
      <c r="AG317" s="52" t="s">
        <v>60</v>
      </c>
      <c r="AH317" s="52">
        <v>12.62</v>
      </c>
      <c r="AI317" s="52">
        <v>84.28</v>
      </c>
      <c r="AJ317" s="52">
        <v>14.72</v>
      </c>
      <c r="AK317" s="52">
        <v>13.48</v>
      </c>
      <c r="AL317" s="52">
        <v>91.65</v>
      </c>
      <c r="AM317" s="52">
        <v>-31.36</v>
      </c>
      <c r="AN317" s="64">
        <v>2.44</v>
      </c>
      <c r="AO317" s="4" t="s">
        <v>179</v>
      </c>
      <c r="AP317" s="2" t="s">
        <v>5004</v>
      </c>
      <c r="AQ317" s="2" t="s">
        <v>5005</v>
      </c>
      <c r="AR317" s="2" t="s">
        <v>79</v>
      </c>
      <c r="AS317" s="2" t="s">
        <v>5006</v>
      </c>
      <c r="AT317" s="2" t="s">
        <v>5007</v>
      </c>
      <c r="AU317" s="2" t="s">
        <v>106</v>
      </c>
      <c r="AV317" s="2" t="s">
        <v>5008</v>
      </c>
      <c r="AW317" s="2" t="s">
        <v>5009</v>
      </c>
      <c r="AX317" s="2" t="s">
        <v>109</v>
      </c>
      <c r="AY317" s="2" t="s">
        <v>60</v>
      </c>
      <c r="AZ317" s="4" t="s">
        <v>5010</v>
      </c>
      <c r="BA317" s="2" t="s">
        <v>87</v>
      </c>
      <c r="BB317" s="4" t="s">
        <v>5007</v>
      </c>
      <c r="BC317" s="4" t="s">
        <v>5011</v>
      </c>
      <c r="BD317" s="2" t="s">
        <v>5012</v>
      </c>
      <c r="BE317" s="2" t="s">
        <v>88</v>
      </c>
      <c r="BF317" s="2" t="s">
        <v>88</v>
      </c>
    </row>
    <row r="318" spans="1:58" x14ac:dyDescent="0.2">
      <c r="A318" s="3" t="s">
        <v>5013</v>
      </c>
      <c r="B318" s="3" t="s">
        <v>5014</v>
      </c>
      <c r="C318" s="3" t="s">
        <v>60</v>
      </c>
      <c r="D318" s="3" t="s">
        <v>60</v>
      </c>
      <c r="E318" s="3" t="s">
        <v>60</v>
      </c>
      <c r="F318" s="3" t="s">
        <v>60</v>
      </c>
      <c r="G318" s="3" t="s">
        <v>5015</v>
      </c>
      <c r="H318" s="3" t="s">
        <v>60</v>
      </c>
      <c r="I318" s="3" t="s">
        <v>60</v>
      </c>
      <c r="J318" s="3" t="s">
        <v>60</v>
      </c>
      <c r="K318" s="3" t="s">
        <v>5013</v>
      </c>
      <c r="L318" s="3" t="s">
        <v>5016</v>
      </c>
      <c r="M318" s="3" t="s">
        <v>63</v>
      </c>
      <c r="N318" s="3" t="s">
        <v>418</v>
      </c>
      <c r="O318" s="3" t="s">
        <v>763</v>
      </c>
      <c r="P318" s="3" t="s">
        <v>5017</v>
      </c>
      <c r="Q318" s="3" t="s">
        <v>421</v>
      </c>
      <c r="R318" s="3" t="s">
        <v>5018</v>
      </c>
      <c r="S318" s="3" t="s">
        <v>96</v>
      </c>
      <c r="T318" s="17" t="s">
        <v>60</v>
      </c>
      <c r="U318" s="3" t="s">
        <v>97</v>
      </c>
      <c r="V318" s="3" t="s">
        <v>71</v>
      </c>
      <c r="W318" s="3" t="s">
        <v>98</v>
      </c>
      <c r="X318" s="9" t="str">
        <f>HYPERLINK("http://www.budgetsaudi.com", "www.budgetsaudi.com")</f>
        <v>www.budgetsaudi.com</v>
      </c>
      <c r="Y318" s="9" t="str">
        <f>HYPERLINK("http://www.linkedin.com/company/budget-rent-a-car-saudi-arabia", "http://www.linkedin.com/company/budget-rent-a-car-saudi-arabia")</f>
        <v>http://www.linkedin.com/company/budget-rent-a-car-saudi-arabia</v>
      </c>
      <c r="Z318" s="29">
        <v>1100</v>
      </c>
      <c r="AA318" s="3" t="s">
        <v>5019</v>
      </c>
      <c r="AB318" s="3" t="s">
        <v>74</v>
      </c>
      <c r="AC318" s="3" t="s">
        <v>5020</v>
      </c>
      <c r="AD318" s="41">
        <v>1978</v>
      </c>
      <c r="AE318" s="3" t="s">
        <v>60</v>
      </c>
      <c r="AF318" s="53">
        <v>623.39</v>
      </c>
      <c r="AG318" s="53">
        <v>178.55</v>
      </c>
      <c r="AH318" s="53">
        <v>93.36</v>
      </c>
      <c r="AI318" s="53">
        <v>2009.79</v>
      </c>
      <c r="AJ318" s="53">
        <v>253.54</v>
      </c>
      <c r="AK318" s="53">
        <v>104.78</v>
      </c>
      <c r="AL318" s="53">
        <v>1255.47</v>
      </c>
      <c r="AM318" s="53">
        <v>455.78</v>
      </c>
      <c r="AN318" s="65">
        <v>36.32</v>
      </c>
      <c r="AO318" s="5" t="s">
        <v>179</v>
      </c>
      <c r="AP318" s="3" t="s">
        <v>5021</v>
      </c>
      <c r="AQ318" s="3" t="s">
        <v>5022</v>
      </c>
      <c r="AR318" s="3" t="s">
        <v>1874</v>
      </c>
      <c r="AS318" s="3" t="s">
        <v>60</v>
      </c>
      <c r="AT318" s="3" t="s">
        <v>5023</v>
      </c>
      <c r="AU318" s="3" t="s">
        <v>82</v>
      </c>
      <c r="AV318" s="3" t="s">
        <v>5024</v>
      </c>
      <c r="AW318" s="3" t="s">
        <v>5025</v>
      </c>
      <c r="AX318" s="3" t="s">
        <v>85</v>
      </c>
      <c r="AY318" s="3" t="s">
        <v>60</v>
      </c>
      <c r="AZ318" s="5" t="s">
        <v>4282</v>
      </c>
      <c r="BA318" s="3" t="s">
        <v>87</v>
      </c>
      <c r="BB318" s="5" t="s">
        <v>5023</v>
      </c>
      <c r="BC318" s="5" t="s">
        <v>5026</v>
      </c>
      <c r="BD318" s="3" t="s">
        <v>5027</v>
      </c>
      <c r="BE318" s="3" t="s">
        <v>88</v>
      </c>
      <c r="BF318" s="3" t="s">
        <v>88</v>
      </c>
    </row>
    <row r="319" spans="1:58" x14ac:dyDescent="0.2">
      <c r="A319" s="2" t="s">
        <v>5028</v>
      </c>
      <c r="B319" s="2" t="s">
        <v>5029</v>
      </c>
      <c r="C319" s="2" t="s">
        <v>60</v>
      </c>
      <c r="D319" s="2" t="s">
        <v>60</v>
      </c>
      <c r="E319" s="2" t="s">
        <v>60</v>
      </c>
      <c r="F319" s="2" t="s">
        <v>5030</v>
      </c>
      <c r="G319" s="2" t="s">
        <v>5031</v>
      </c>
      <c r="H319" s="2" t="s">
        <v>60</v>
      </c>
      <c r="I319" s="2" t="s">
        <v>60</v>
      </c>
      <c r="J319" s="2" t="s">
        <v>60</v>
      </c>
      <c r="K319" s="2" t="s">
        <v>5028</v>
      </c>
      <c r="L319" s="2" t="s">
        <v>5032</v>
      </c>
      <c r="M319" s="2" t="s">
        <v>134</v>
      </c>
      <c r="N319" s="2" t="s">
        <v>565</v>
      </c>
      <c r="O319" s="2" t="s">
        <v>3188</v>
      </c>
      <c r="P319" s="2" t="s">
        <v>5033</v>
      </c>
      <c r="Q319" s="2" t="s">
        <v>60</v>
      </c>
      <c r="R319" s="2" t="s">
        <v>5034</v>
      </c>
      <c r="S319" s="2" t="s">
        <v>96</v>
      </c>
      <c r="T319" s="16" t="s">
        <v>60</v>
      </c>
      <c r="U319" s="2" t="s">
        <v>97</v>
      </c>
      <c r="V319" s="2" t="s">
        <v>71</v>
      </c>
      <c r="W319" s="2" t="s">
        <v>98</v>
      </c>
      <c r="X319" s="8" t="str">
        <f>HYPERLINK("http://www.acig.com.sa", "www.acig.com.sa")</f>
        <v>www.acig.com.sa</v>
      </c>
      <c r="Y319" s="8" t="str">
        <f>HYPERLINK("http://www.linkedin.com/company/allied-cooperative-insurance-group-acig", "http://www.linkedin.com/company/allied-cooperative-insurance-group-acig")</f>
        <v>http://www.linkedin.com/company/allied-cooperative-insurance-group-acig</v>
      </c>
      <c r="Z319" s="28">
        <v>258</v>
      </c>
      <c r="AA319" s="2" t="s">
        <v>5035</v>
      </c>
      <c r="AB319" s="2" t="s">
        <v>74</v>
      </c>
      <c r="AC319" s="2" t="s">
        <v>5036</v>
      </c>
      <c r="AD319" s="40">
        <v>2006</v>
      </c>
      <c r="AE319" s="2" t="s">
        <v>60</v>
      </c>
      <c r="AF319" s="52">
        <v>208.62</v>
      </c>
      <c r="AG319" s="52" t="s">
        <v>60</v>
      </c>
      <c r="AH319" s="52">
        <v>-23.91</v>
      </c>
      <c r="AI319" s="52">
        <v>-21.97</v>
      </c>
      <c r="AJ319" s="52">
        <v>-20.29</v>
      </c>
      <c r="AK319" s="52">
        <v>-22.29</v>
      </c>
      <c r="AL319" s="52">
        <v>57.2</v>
      </c>
      <c r="AM319" s="52">
        <v>-102.09</v>
      </c>
      <c r="AN319" s="64">
        <v>-14.35</v>
      </c>
      <c r="AO319" s="4" t="s">
        <v>179</v>
      </c>
      <c r="AP319" s="2" t="s">
        <v>5037</v>
      </c>
      <c r="AQ319" s="2" t="s">
        <v>5038</v>
      </c>
      <c r="AR319" s="2" t="s">
        <v>5039</v>
      </c>
      <c r="AS319" s="2" t="s">
        <v>60</v>
      </c>
      <c r="AT319" s="2" t="s">
        <v>5040</v>
      </c>
      <c r="AU319" s="2" t="s">
        <v>106</v>
      </c>
      <c r="AV319" s="2" t="s">
        <v>5041</v>
      </c>
      <c r="AW319" s="2" t="s">
        <v>60</v>
      </c>
      <c r="AX319" s="2" t="s">
        <v>109</v>
      </c>
      <c r="AY319" s="2" t="s">
        <v>60</v>
      </c>
      <c r="AZ319" s="4" t="s">
        <v>4114</v>
      </c>
      <c r="BA319" s="2" t="s">
        <v>87</v>
      </c>
      <c r="BB319" s="4" t="s">
        <v>5040</v>
      </c>
      <c r="BC319" s="4" t="s">
        <v>5042</v>
      </c>
      <c r="BD319" s="2" t="s">
        <v>60</v>
      </c>
      <c r="BE319" s="2" t="s">
        <v>88</v>
      </c>
      <c r="BF319" s="2" t="s">
        <v>88</v>
      </c>
    </row>
    <row r="320" spans="1:58" x14ac:dyDescent="0.2">
      <c r="A320" s="3" t="s">
        <v>5043</v>
      </c>
      <c r="B320" s="3" t="s">
        <v>5044</v>
      </c>
      <c r="C320" s="3" t="s">
        <v>60</v>
      </c>
      <c r="D320" s="3" t="s">
        <v>60</v>
      </c>
      <c r="E320" s="3" t="s">
        <v>60</v>
      </c>
      <c r="F320" s="3" t="s">
        <v>5045</v>
      </c>
      <c r="G320" s="3" t="s">
        <v>5046</v>
      </c>
      <c r="H320" s="3" t="s">
        <v>60</v>
      </c>
      <c r="I320" s="3" t="s">
        <v>60</v>
      </c>
      <c r="J320" s="3" t="s">
        <v>60</v>
      </c>
      <c r="K320" s="3" t="s">
        <v>5043</v>
      </c>
      <c r="L320" s="3" t="s">
        <v>5047</v>
      </c>
      <c r="M320" s="3" t="s">
        <v>134</v>
      </c>
      <c r="N320" s="3" t="s">
        <v>565</v>
      </c>
      <c r="O320" s="3" t="s">
        <v>3188</v>
      </c>
      <c r="P320" s="3" t="s">
        <v>5033</v>
      </c>
      <c r="Q320" s="3" t="s">
        <v>60</v>
      </c>
      <c r="R320" s="3" t="s">
        <v>5048</v>
      </c>
      <c r="S320" s="3" t="s">
        <v>96</v>
      </c>
      <c r="T320" s="17" t="s">
        <v>60</v>
      </c>
      <c r="U320" s="3" t="s">
        <v>97</v>
      </c>
      <c r="V320" s="3" t="s">
        <v>71</v>
      </c>
      <c r="W320" s="3" t="s">
        <v>98</v>
      </c>
      <c r="X320" s="9" t="str">
        <f>HYPERLINK("http://www.walaa.com", "www.walaa.com")</f>
        <v>www.walaa.com</v>
      </c>
      <c r="Y320" s="9" t="str">
        <f>HYPERLINK("http://www.linkedin.com/company/walaainsurance", "http://www.linkedin.com/company/walaainsurance")</f>
        <v>http://www.linkedin.com/company/walaainsurance</v>
      </c>
      <c r="Z320" s="29">
        <v>10</v>
      </c>
      <c r="AA320" s="3" t="s">
        <v>5049</v>
      </c>
      <c r="AB320" s="3" t="s">
        <v>74</v>
      </c>
      <c r="AC320" s="3" t="s">
        <v>5050</v>
      </c>
      <c r="AD320" s="41">
        <v>2007</v>
      </c>
      <c r="AE320" s="3" t="s">
        <v>60</v>
      </c>
      <c r="AF320" s="53">
        <v>912.55</v>
      </c>
      <c r="AG320" s="53" t="s">
        <v>60</v>
      </c>
      <c r="AH320" s="53">
        <v>-39.17</v>
      </c>
      <c r="AI320" s="53">
        <v>281.5</v>
      </c>
      <c r="AJ320" s="53">
        <v>-24.63</v>
      </c>
      <c r="AK320" s="53">
        <v>-32.49</v>
      </c>
      <c r="AL320" s="53">
        <v>378.5</v>
      </c>
      <c r="AM320" s="53">
        <v>-132.07</v>
      </c>
      <c r="AN320" s="65">
        <v>-25.97</v>
      </c>
      <c r="AO320" s="5" t="s">
        <v>179</v>
      </c>
      <c r="AP320" s="3" t="s">
        <v>5051</v>
      </c>
      <c r="AQ320" s="3" t="s">
        <v>5052</v>
      </c>
      <c r="AR320" s="3" t="s">
        <v>124</v>
      </c>
      <c r="AS320" s="3" t="s">
        <v>5053</v>
      </c>
      <c r="AT320" s="3" t="s">
        <v>5054</v>
      </c>
      <c r="AU320" s="3" t="s">
        <v>2578</v>
      </c>
      <c r="AV320" s="3" t="s">
        <v>5055</v>
      </c>
      <c r="AW320" s="3" t="s">
        <v>5056</v>
      </c>
      <c r="AX320" s="3" t="s">
        <v>2580</v>
      </c>
      <c r="AY320" s="3" t="s">
        <v>60</v>
      </c>
      <c r="AZ320" s="5" t="s">
        <v>917</v>
      </c>
      <c r="BA320" s="3" t="s">
        <v>87</v>
      </c>
      <c r="BB320" s="5" t="s">
        <v>5054</v>
      </c>
      <c r="BC320" s="5" t="s">
        <v>5057</v>
      </c>
      <c r="BD320" s="3" t="s">
        <v>5058</v>
      </c>
      <c r="BE320" s="3" t="s">
        <v>88</v>
      </c>
      <c r="BF320" s="3" t="s">
        <v>88</v>
      </c>
    </row>
    <row r="321" spans="1:58" x14ac:dyDescent="0.2">
      <c r="A321" s="2" t="s">
        <v>5059</v>
      </c>
      <c r="B321" s="2" t="s">
        <v>5060</v>
      </c>
      <c r="C321" s="2" t="s">
        <v>60</v>
      </c>
      <c r="D321" s="2" t="s">
        <v>60</v>
      </c>
      <c r="E321" s="2" t="s">
        <v>60</v>
      </c>
      <c r="F321" s="2" t="s">
        <v>60</v>
      </c>
      <c r="G321" s="2" t="s">
        <v>5061</v>
      </c>
      <c r="H321" s="2" t="s">
        <v>60</v>
      </c>
      <c r="I321" s="2" t="s">
        <v>60</v>
      </c>
      <c r="J321" s="2" t="s">
        <v>60</v>
      </c>
      <c r="K321" s="2" t="s">
        <v>5059</v>
      </c>
      <c r="L321" s="2" t="s">
        <v>5062</v>
      </c>
      <c r="M321" s="2" t="s">
        <v>134</v>
      </c>
      <c r="N321" s="2" t="s">
        <v>135</v>
      </c>
      <c r="O321" s="2" t="s">
        <v>135</v>
      </c>
      <c r="P321" s="2" t="s">
        <v>1793</v>
      </c>
      <c r="Q321" s="2" t="s">
        <v>60</v>
      </c>
      <c r="R321" s="2" t="s">
        <v>5063</v>
      </c>
      <c r="S321" s="2" t="s">
        <v>96</v>
      </c>
      <c r="T321" s="16" t="s">
        <v>60</v>
      </c>
      <c r="U321" s="2" t="s">
        <v>1516</v>
      </c>
      <c r="V321" s="2" t="s">
        <v>71</v>
      </c>
      <c r="W321" s="2" t="s">
        <v>98</v>
      </c>
      <c r="X321" s="8" t="str">
        <f>HYPERLINK("http://www.saudikayan.com", "www.saudikayan.com")</f>
        <v>www.saudikayan.com</v>
      </c>
      <c r="Y321" s="8" t="str">
        <f>HYPERLINK("http://www.linkedin.com/company/saudi-kayan-petrochemical-company", "http://www.linkedin.com/company/saudi-kayan-petrochemical-company")</f>
        <v>http://www.linkedin.com/company/saudi-kayan-petrochemical-company</v>
      </c>
      <c r="Z321" s="28">
        <v>1415</v>
      </c>
      <c r="AA321" s="2" t="s">
        <v>5064</v>
      </c>
      <c r="AB321" s="2" t="s">
        <v>74</v>
      </c>
      <c r="AC321" s="2" t="s">
        <v>5065</v>
      </c>
      <c r="AD321" s="40" t="s">
        <v>60</v>
      </c>
      <c r="AE321" s="2" t="s">
        <v>60</v>
      </c>
      <c r="AF321" s="52">
        <v>2314.0100000000002</v>
      </c>
      <c r="AG321" s="52">
        <v>-262.49</v>
      </c>
      <c r="AH321" s="52">
        <v>-610.77</v>
      </c>
      <c r="AI321" s="52">
        <v>4602.9799999999996</v>
      </c>
      <c r="AJ321" s="52">
        <v>202.3</v>
      </c>
      <c r="AK321" s="52">
        <v>-440.31</v>
      </c>
      <c r="AL321" s="52">
        <v>1881.82</v>
      </c>
      <c r="AM321" s="52">
        <v>2317.98</v>
      </c>
      <c r="AN321" s="64">
        <v>0.8</v>
      </c>
      <c r="AO321" s="4" t="s">
        <v>179</v>
      </c>
      <c r="AP321" s="2" t="s">
        <v>5066</v>
      </c>
      <c r="AQ321" s="2" t="s">
        <v>5067</v>
      </c>
      <c r="AR321" s="2" t="s">
        <v>5068</v>
      </c>
      <c r="AS321" s="2" t="s">
        <v>5069</v>
      </c>
      <c r="AT321" s="2" t="s">
        <v>5070</v>
      </c>
      <c r="AU321" s="2" t="s">
        <v>2508</v>
      </c>
      <c r="AV321" s="2" t="s">
        <v>5071</v>
      </c>
      <c r="AW321" s="2" t="s">
        <v>2510</v>
      </c>
      <c r="AX321" s="2" t="s">
        <v>2511</v>
      </c>
      <c r="AY321" s="2" t="s">
        <v>60</v>
      </c>
      <c r="AZ321" s="4" t="s">
        <v>5072</v>
      </c>
      <c r="BA321" s="2" t="s">
        <v>87</v>
      </c>
      <c r="BB321" s="4" t="s">
        <v>5070</v>
      </c>
      <c r="BC321" s="4" t="s">
        <v>5073</v>
      </c>
      <c r="BD321" s="2" t="s">
        <v>60</v>
      </c>
      <c r="BE321" s="2" t="s">
        <v>88</v>
      </c>
      <c r="BF321" s="2" t="s">
        <v>88</v>
      </c>
    </row>
    <row r="322" spans="1:58" x14ac:dyDescent="0.2">
      <c r="A322" s="3" t="s">
        <v>5074</v>
      </c>
      <c r="B322" s="3" t="s">
        <v>5075</v>
      </c>
      <c r="C322" s="3" t="s">
        <v>60</v>
      </c>
      <c r="D322" s="3" t="s">
        <v>60</v>
      </c>
      <c r="E322" s="3" t="s">
        <v>60</v>
      </c>
      <c r="F322" s="3" t="s">
        <v>60</v>
      </c>
      <c r="G322" s="3" t="s">
        <v>5076</v>
      </c>
      <c r="H322" s="3" t="s">
        <v>60</v>
      </c>
      <c r="I322" s="3" t="s">
        <v>60</v>
      </c>
      <c r="J322" s="3" t="s">
        <v>60</v>
      </c>
      <c r="K322" s="3" t="s">
        <v>5074</v>
      </c>
      <c r="L322" s="3" t="s">
        <v>5077</v>
      </c>
      <c r="M322" s="3" t="s">
        <v>63</v>
      </c>
      <c r="N322" s="3" t="s">
        <v>64</v>
      </c>
      <c r="O322" s="3" t="s">
        <v>530</v>
      </c>
      <c r="P322" s="3" t="s">
        <v>1371</v>
      </c>
      <c r="Q322" s="3" t="s">
        <v>67</v>
      </c>
      <c r="R322" s="3" t="s">
        <v>5078</v>
      </c>
      <c r="S322" s="3" t="s">
        <v>96</v>
      </c>
      <c r="T322" s="17" t="s">
        <v>60</v>
      </c>
      <c r="U322" s="3" t="s">
        <v>1516</v>
      </c>
      <c r="V322" s="3" t="s">
        <v>71</v>
      </c>
      <c r="W322" s="3" t="s">
        <v>98</v>
      </c>
      <c r="X322" s="9" t="str">
        <f>HYPERLINK("http://www.svcp-sa.com", "www.svcp-sa.com")</f>
        <v>www.svcp-sa.com</v>
      </c>
      <c r="Y322" s="9" t="str">
        <f>HYPERLINK("http://www.linkedin.com/company/saudi-vitrified-clay-pipe-co-ltd-svcp-", "http://www.linkedin.com/company/saudi-vitrified-clay-pipe-co-ltd-svcp-")</f>
        <v>http://www.linkedin.com/company/saudi-vitrified-clay-pipe-co-ltd-svcp-</v>
      </c>
      <c r="Z322" s="29">
        <v>765</v>
      </c>
      <c r="AA322" s="3" t="s">
        <v>5079</v>
      </c>
      <c r="AB322" s="3" t="s">
        <v>74</v>
      </c>
      <c r="AC322" s="3" t="s">
        <v>5080</v>
      </c>
      <c r="AD322" s="41">
        <v>1977</v>
      </c>
      <c r="AE322" s="3" t="s">
        <v>60</v>
      </c>
      <c r="AF322" s="53">
        <v>16.54</v>
      </c>
      <c r="AG322" s="53">
        <v>0.35</v>
      </c>
      <c r="AH322" s="53">
        <v>-10.72</v>
      </c>
      <c r="AI322" s="53">
        <v>124.36</v>
      </c>
      <c r="AJ322" s="53">
        <v>-8.18</v>
      </c>
      <c r="AK322" s="53">
        <v>-9.6</v>
      </c>
      <c r="AL322" s="53">
        <v>87.7</v>
      </c>
      <c r="AM322" s="53">
        <v>11.75</v>
      </c>
      <c r="AN322" s="65">
        <v>11.8</v>
      </c>
      <c r="AO322" s="5" t="s">
        <v>179</v>
      </c>
      <c r="AP322" s="3" t="s">
        <v>5081</v>
      </c>
      <c r="AQ322" s="3" t="s">
        <v>5082</v>
      </c>
      <c r="AR322" s="3" t="s">
        <v>124</v>
      </c>
      <c r="AS322" s="3" t="s">
        <v>60</v>
      </c>
      <c r="AT322" s="3" t="s">
        <v>5083</v>
      </c>
      <c r="AU322" s="3" t="s">
        <v>106</v>
      </c>
      <c r="AV322" s="3" t="s">
        <v>5084</v>
      </c>
      <c r="AW322" s="3" t="s">
        <v>60</v>
      </c>
      <c r="AX322" s="3" t="s">
        <v>109</v>
      </c>
      <c r="AY322" s="3" t="s">
        <v>60</v>
      </c>
      <c r="AZ322" s="5" t="s">
        <v>1381</v>
      </c>
      <c r="BA322" s="3" t="s">
        <v>87</v>
      </c>
      <c r="BB322" s="5" t="s">
        <v>5083</v>
      </c>
      <c r="BC322" s="5" t="s">
        <v>5085</v>
      </c>
      <c r="BD322" s="3" t="s">
        <v>5086</v>
      </c>
      <c r="BE322" s="3" t="s">
        <v>88</v>
      </c>
      <c r="BF322" s="3" t="s">
        <v>88</v>
      </c>
    </row>
    <row r="323" spans="1:58" x14ac:dyDescent="0.2">
      <c r="A323" s="2" t="s">
        <v>5087</v>
      </c>
      <c r="B323" s="2" t="s">
        <v>5088</v>
      </c>
      <c r="C323" s="2" t="s">
        <v>60</v>
      </c>
      <c r="D323" s="2" t="s">
        <v>60</v>
      </c>
      <c r="E323" s="2" t="s">
        <v>60</v>
      </c>
      <c r="F323" s="2" t="s">
        <v>5089</v>
      </c>
      <c r="G323" s="2" t="s">
        <v>5090</v>
      </c>
      <c r="H323" s="2" t="s">
        <v>60</v>
      </c>
      <c r="I323" s="2" t="s">
        <v>60</v>
      </c>
      <c r="J323" s="2" t="s">
        <v>60</v>
      </c>
      <c r="K323" s="2" t="s">
        <v>5087</v>
      </c>
      <c r="L323" s="2" t="s">
        <v>5091</v>
      </c>
      <c r="M323" s="2" t="s">
        <v>134</v>
      </c>
      <c r="N323" s="2" t="s">
        <v>565</v>
      </c>
      <c r="O323" s="2" t="s">
        <v>566</v>
      </c>
      <c r="P323" s="2" t="s">
        <v>779</v>
      </c>
      <c r="Q323" s="2" t="s">
        <v>60</v>
      </c>
      <c r="R323" s="2" t="s">
        <v>5092</v>
      </c>
      <c r="S323" s="2" t="s">
        <v>96</v>
      </c>
      <c r="T323" s="16" t="s">
        <v>60</v>
      </c>
      <c r="U323" s="2" t="s">
        <v>97</v>
      </c>
      <c r="V323" s="2" t="s">
        <v>71</v>
      </c>
      <c r="W323" s="2" t="s">
        <v>98</v>
      </c>
      <c r="X323" s="8" t="str">
        <f>HYPERLINK("http://www.medgulf.com.sa", "www.medgulf.com.sa")</f>
        <v>www.medgulf.com.sa</v>
      </c>
      <c r="Y323" s="8" t="str">
        <f>HYPERLINK("http://www.linkedin.com/company/medgulfsaudi", "http://www.linkedin.com/company/medgulfsaudi")</f>
        <v>http://www.linkedin.com/company/medgulfsaudi</v>
      </c>
      <c r="Z323" s="28">
        <v>748</v>
      </c>
      <c r="AA323" s="2" t="s">
        <v>5093</v>
      </c>
      <c r="AB323" s="2" t="s">
        <v>74</v>
      </c>
      <c r="AC323" s="2" t="s">
        <v>5094</v>
      </c>
      <c r="AD323" s="40">
        <v>2006</v>
      </c>
      <c r="AE323" s="2" t="s">
        <v>60</v>
      </c>
      <c r="AF323" s="52">
        <v>995.81</v>
      </c>
      <c r="AG323" s="52" t="s">
        <v>60</v>
      </c>
      <c r="AH323" s="52">
        <v>10.4</v>
      </c>
      <c r="AI323" s="52">
        <v>332.35</v>
      </c>
      <c r="AJ323" s="52">
        <v>19.739999999999998</v>
      </c>
      <c r="AK323" s="52">
        <v>11.3</v>
      </c>
      <c r="AL323" s="52">
        <v>564.5</v>
      </c>
      <c r="AM323" s="52">
        <v>-213.79</v>
      </c>
      <c r="AN323" s="64">
        <v>6.7</v>
      </c>
      <c r="AO323" s="4" t="s">
        <v>179</v>
      </c>
      <c r="AP323" s="2" t="s">
        <v>5095</v>
      </c>
      <c r="AQ323" s="2" t="s">
        <v>5096</v>
      </c>
      <c r="AR323" s="2" t="s">
        <v>5097</v>
      </c>
      <c r="AS323" s="2" t="s">
        <v>5098</v>
      </c>
      <c r="AT323" s="2" t="s">
        <v>5099</v>
      </c>
      <c r="AU323" s="2" t="s">
        <v>106</v>
      </c>
      <c r="AV323" s="2" t="s">
        <v>5100</v>
      </c>
      <c r="AW323" s="2" t="s">
        <v>5101</v>
      </c>
      <c r="AX323" s="2" t="s">
        <v>109</v>
      </c>
      <c r="AY323" s="2" t="s">
        <v>60</v>
      </c>
      <c r="AZ323" s="4" t="s">
        <v>5102</v>
      </c>
      <c r="BA323" s="2" t="s">
        <v>87</v>
      </c>
      <c r="BB323" s="4" t="s">
        <v>60</v>
      </c>
      <c r="BC323" s="4" t="s">
        <v>60</v>
      </c>
      <c r="BD323" s="2" t="s">
        <v>5103</v>
      </c>
      <c r="BE323" s="2" t="s">
        <v>88</v>
      </c>
      <c r="BF323" s="2" t="s">
        <v>88</v>
      </c>
    </row>
    <row r="324" spans="1:58" x14ac:dyDescent="0.2">
      <c r="A324" s="3" t="s">
        <v>5104</v>
      </c>
      <c r="B324" s="3" t="s">
        <v>5105</v>
      </c>
      <c r="C324" s="3" t="s">
        <v>60</v>
      </c>
      <c r="D324" s="3" t="s">
        <v>60</v>
      </c>
      <c r="E324" s="3" t="s">
        <v>5106</v>
      </c>
      <c r="F324" s="3" t="s">
        <v>5107</v>
      </c>
      <c r="G324" s="3" t="s">
        <v>5108</v>
      </c>
      <c r="H324" s="3" t="s">
        <v>60</v>
      </c>
      <c r="I324" s="3" t="s">
        <v>60</v>
      </c>
      <c r="J324" s="3" t="s">
        <v>60</v>
      </c>
      <c r="K324" s="3" t="s">
        <v>5104</v>
      </c>
      <c r="L324" s="3" t="s">
        <v>5109</v>
      </c>
      <c r="M324" s="3" t="s">
        <v>241</v>
      </c>
      <c r="N324" s="3" t="s">
        <v>5110</v>
      </c>
      <c r="O324" s="3" t="s">
        <v>5111</v>
      </c>
      <c r="P324" s="3" t="s">
        <v>5112</v>
      </c>
      <c r="Q324" s="3" t="s">
        <v>67</v>
      </c>
      <c r="R324" s="3" t="s">
        <v>5113</v>
      </c>
      <c r="S324" s="3" t="s">
        <v>96</v>
      </c>
      <c r="T324" s="17" t="s">
        <v>60</v>
      </c>
      <c r="U324" s="3" t="s">
        <v>1516</v>
      </c>
      <c r="V324" s="3" t="s">
        <v>71</v>
      </c>
      <c r="W324" s="3" t="s">
        <v>98</v>
      </c>
      <c r="X324" s="9" t="str">
        <f>HYPERLINK("http://www.carpets.com", "www.carpets.com")</f>
        <v>www.carpets.com</v>
      </c>
      <c r="Y324" s="9" t="str">
        <f>HYPERLINK("http://www.linkedin.com/company/aiic", "http://www.linkedin.com/company/aiic")</f>
        <v>http://www.linkedin.com/company/aiic</v>
      </c>
      <c r="Z324" s="29">
        <v>3700</v>
      </c>
      <c r="AA324" s="3" t="s">
        <v>5114</v>
      </c>
      <c r="AB324" s="3" t="s">
        <v>74</v>
      </c>
      <c r="AC324" s="3" t="s">
        <v>5115</v>
      </c>
      <c r="AD324" s="41">
        <v>1981</v>
      </c>
      <c r="AE324" s="3" t="s">
        <v>60</v>
      </c>
      <c r="AF324" s="53">
        <v>154.27000000000001</v>
      </c>
      <c r="AG324" s="53">
        <v>6.91</v>
      </c>
      <c r="AH324" s="53">
        <v>-32.78</v>
      </c>
      <c r="AI324" s="53">
        <v>335.41</v>
      </c>
      <c r="AJ324" s="53">
        <v>-20.9</v>
      </c>
      <c r="AK324" s="53">
        <v>-31.82</v>
      </c>
      <c r="AL324" s="53">
        <v>226.15</v>
      </c>
      <c r="AM324" s="53">
        <v>57.27</v>
      </c>
      <c r="AN324" s="65">
        <v>10.73</v>
      </c>
      <c r="AO324" s="5" t="s">
        <v>179</v>
      </c>
      <c r="AP324" s="3" t="s">
        <v>5116</v>
      </c>
      <c r="AQ324" s="3" t="s">
        <v>5117</v>
      </c>
      <c r="AR324" s="3" t="s">
        <v>124</v>
      </c>
      <c r="AS324" s="3" t="s">
        <v>60</v>
      </c>
      <c r="AT324" s="3" t="s">
        <v>5118</v>
      </c>
      <c r="AU324" s="3" t="s">
        <v>106</v>
      </c>
      <c r="AV324" s="3" t="s">
        <v>5119</v>
      </c>
      <c r="AW324" s="3" t="s">
        <v>5120</v>
      </c>
      <c r="AX324" s="3" t="s">
        <v>109</v>
      </c>
      <c r="AY324" s="3" t="s">
        <v>60</v>
      </c>
      <c r="AZ324" s="5" t="s">
        <v>1990</v>
      </c>
      <c r="BA324" s="3" t="s">
        <v>87</v>
      </c>
      <c r="BB324" s="5" t="s">
        <v>5118</v>
      </c>
      <c r="BC324" s="5" t="s">
        <v>5121</v>
      </c>
      <c r="BD324" s="3" t="s">
        <v>5122</v>
      </c>
      <c r="BE324" s="3" t="s">
        <v>88</v>
      </c>
      <c r="BF324" s="3" t="s">
        <v>88</v>
      </c>
    </row>
    <row r="325" spans="1:58" x14ac:dyDescent="0.2">
      <c r="A325" s="2" t="s">
        <v>5123</v>
      </c>
      <c r="B325" s="2" t="s">
        <v>5124</v>
      </c>
      <c r="C325" s="2" t="s">
        <v>60</v>
      </c>
      <c r="D325" s="2" t="s">
        <v>60</v>
      </c>
      <c r="E325" s="2" t="s">
        <v>60</v>
      </c>
      <c r="F325" s="2" t="s">
        <v>60</v>
      </c>
      <c r="G325" s="2" t="s">
        <v>5125</v>
      </c>
      <c r="H325" s="2" t="s">
        <v>60</v>
      </c>
      <c r="I325" s="2" t="s">
        <v>60</v>
      </c>
      <c r="J325" s="2" t="s">
        <v>5126</v>
      </c>
      <c r="K325" s="2" t="s">
        <v>5123</v>
      </c>
      <c r="L325" s="2" t="s">
        <v>5127</v>
      </c>
      <c r="M325" s="2" t="s">
        <v>241</v>
      </c>
      <c r="N325" s="2" t="s">
        <v>839</v>
      </c>
      <c r="O325" s="2" t="s">
        <v>2402</v>
      </c>
      <c r="P325" s="2" t="s">
        <v>2403</v>
      </c>
      <c r="Q325" s="2" t="s">
        <v>67</v>
      </c>
      <c r="R325" s="2" t="s">
        <v>5128</v>
      </c>
      <c r="S325" s="2" t="s">
        <v>372</v>
      </c>
      <c r="T325" s="16">
        <v>176.98</v>
      </c>
      <c r="U325" s="2" t="s">
        <v>1516</v>
      </c>
      <c r="V325" s="2" t="s">
        <v>71</v>
      </c>
      <c r="W325" s="2" t="s">
        <v>373</v>
      </c>
      <c r="X325" s="8" t="str">
        <f>HYPERLINK("http://advancedpetrochem.com", "advancedpetrochem.com")</f>
        <v>advancedpetrochem.com</v>
      </c>
      <c r="Y325" s="8" t="str">
        <f>HYPERLINK("http://www.linkedin.com/company/advanced-petrochemical-company", "http://www.linkedin.com/company/advanced-petrochemical-company")</f>
        <v>http://www.linkedin.com/company/advanced-petrochemical-company</v>
      </c>
      <c r="Z325" s="28">
        <v>261</v>
      </c>
      <c r="AA325" s="2" t="s">
        <v>5129</v>
      </c>
      <c r="AB325" s="2" t="s">
        <v>74</v>
      </c>
      <c r="AC325" s="2" t="s">
        <v>5130</v>
      </c>
      <c r="AD325" s="40">
        <v>2004</v>
      </c>
      <c r="AE325" s="2" t="s">
        <v>60</v>
      </c>
      <c r="AF325" s="52">
        <v>774.7</v>
      </c>
      <c r="AG325" s="52">
        <v>131.83000000000001</v>
      </c>
      <c r="AH325" s="52">
        <v>-16.71</v>
      </c>
      <c r="AI325" s="52">
        <v>4920.01</v>
      </c>
      <c r="AJ325" s="52">
        <v>92.03</v>
      </c>
      <c r="AK325" s="52">
        <v>22.36</v>
      </c>
      <c r="AL325" s="52">
        <v>1759.03</v>
      </c>
      <c r="AM325" s="52">
        <v>2437.9699999999998</v>
      </c>
      <c r="AN325" s="64">
        <v>33.22</v>
      </c>
      <c r="AO325" s="4" t="s">
        <v>179</v>
      </c>
      <c r="AP325" s="2" t="s">
        <v>5131</v>
      </c>
      <c r="AQ325" s="2" t="s">
        <v>5132</v>
      </c>
      <c r="AR325" s="2" t="s">
        <v>266</v>
      </c>
      <c r="AS325" s="2" t="s">
        <v>60</v>
      </c>
      <c r="AT325" s="2" t="s">
        <v>5133</v>
      </c>
      <c r="AU325" s="2" t="s">
        <v>2508</v>
      </c>
      <c r="AV325" s="2" t="s">
        <v>5134</v>
      </c>
      <c r="AW325" s="2" t="s">
        <v>60</v>
      </c>
      <c r="AX325" s="2" t="s">
        <v>2511</v>
      </c>
      <c r="AY325" s="2" t="s">
        <v>60</v>
      </c>
      <c r="AZ325" s="4" t="s">
        <v>2512</v>
      </c>
      <c r="BA325" s="2" t="s">
        <v>87</v>
      </c>
      <c r="BB325" s="4" t="s">
        <v>5133</v>
      </c>
      <c r="BC325" s="4" t="s">
        <v>5135</v>
      </c>
      <c r="BD325" s="2" t="s">
        <v>5136</v>
      </c>
      <c r="BE325" s="2" t="s">
        <v>88</v>
      </c>
      <c r="BF325" s="2" t="s">
        <v>88</v>
      </c>
    </row>
    <row r="326" spans="1:58" x14ac:dyDescent="0.2">
      <c r="A326" s="3" t="s">
        <v>5137</v>
      </c>
      <c r="B326" s="3" t="s">
        <v>5138</v>
      </c>
      <c r="C326" s="3" t="s">
        <v>60</v>
      </c>
      <c r="D326" s="3" t="s">
        <v>60</v>
      </c>
      <c r="E326" s="3" t="s">
        <v>5139</v>
      </c>
      <c r="F326" s="3" t="s">
        <v>60</v>
      </c>
      <c r="G326" s="3" t="s">
        <v>5140</v>
      </c>
      <c r="H326" s="3" t="s">
        <v>60</v>
      </c>
      <c r="I326" s="3" t="s">
        <v>60</v>
      </c>
      <c r="J326" s="3" t="s">
        <v>60</v>
      </c>
      <c r="K326" s="3" t="s">
        <v>5137</v>
      </c>
      <c r="L326" s="3" t="s">
        <v>5141</v>
      </c>
      <c r="M326" s="3" t="s">
        <v>63</v>
      </c>
      <c r="N326" s="3" t="s">
        <v>64</v>
      </c>
      <c r="O326" s="3" t="s">
        <v>2174</v>
      </c>
      <c r="P326" s="3" t="s">
        <v>5142</v>
      </c>
      <c r="Q326" s="3" t="s">
        <v>421</v>
      </c>
      <c r="R326" s="3" t="s">
        <v>5143</v>
      </c>
      <c r="S326" s="3" t="s">
        <v>96</v>
      </c>
      <c r="T326" s="17" t="s">
        <v>60</v>
      </c>
      <c r="U326" s="3" t="s">
        <v>97</v>
      </c>
      <c r="V326" s="3" t="s">
        <v>71</v>
      </c>
      <c r="W326" s="3" t="s">
        <v>98</v>
      </c>
      <c r="X326" s="9" t="str">
        <f>HYPERLINK("http://www.al-babtain.com.sa", "www.al-babtain.com.sa")</f>
        <v>www.al-babtain.com.sa</v>
      </c>
      <c r="Y326" s="9" t="str">
        <f>HYPERLINK("http://www.linkedin.com/company/al-babtain-power-&amp;-telecommunication-co-", "http://www.linkedin.com/company/al-babtain-power-&amp;-telecommunication-co-")</f>
        <v>http://www.linkedin.com/company/al-babtain-power-&amp;-telecommunication-co-</v>
      </c>
      <c r="Z326" s="29">
        <v>1502</v>
      </c>
      <c r="AA326" s="3" t="s">
        <v>5144</v>
      </c>
      <c r="AB326" s="3" t="s">
        <v>74</v>
      </c>
      <c r="AC326" s="3" t="s">
        <v>5145</v>
      </c>
      <c r="AD326" s="41">
        <v>1955</v>
      </c>
      <c r="AE326" s="3" t="s">
        <v>60</v>
      </c>
      <c r="AF326" s="53">
        <v>738.69</v>
      </c>
      <c r="AG326" s="53">
        <v>167.17</v>
      </c>
      <c r="AH326" s="53">
        <v>106.03</v>
      </c>
      <c r="AI326" s="53">
        <v>1185.75</v>
      </c>
      <c r="AJ326" s="53">
        <v>148.57</v>
      </c>
      <c r="AK326" s="53">
        <v>139.86000000000001</v>
      </c>
      <c r="AL326" s="53">
        <v>1197.4100000000001</v>
      </c>
      <c r="AM326" s="53">
        <v>174.7</v>
      </c>
      <c r="AN326" s="65">
        <v>3.34</v>
      </c>
      <c r="AO326" s="5" t="s">
        <v>179</v>
      </c>
      <c r="AP326" s="3" t="s">
        <v>5146</v>
      </c>
      <c r="AQ326" s="3" t="s">
        <v>5147</v>
      </c>
      <c r="AR326" s="3" t="s">
        <v>79</v>
      </c>
      <c r="AS326" s="3" t="s">
        <v>5148</v>
      </c>
      <c r="AT326" s="3" t="s">
        <v>5149</v>
      </c>
      <c r="AU326" s="3" t="s">
        <v>106</v>
      </c>
      <c r="AV326" s="3" t="s">
        <v>5150</v>
      </c>
      <c r="AW326" s="3" t="s">
        <v>60</v>
      </c>
      <c r="AX326" s="3" t="s">
        <v>109</v>
      </c>
      <c r="AY326" s="3" t="s">
        <v>60</v>
      </c>
      <c r="AZ326" s="5" t="s">
        <v>5151</v>
      </c>
      <c r="BA326" s="3" t="s">
        <v>87</v>
      </c>
      <c r="BB326" s="5" t="s">
        <v>5149</v>
      </c>
      <c r="BC326" s="5" t="s">
        <v>5152</v>
      </c>
      <c r="BD326" s="3" t="s">
        <v>5153</v>
      </c>
      <c r="BE326" s="3" t="s">
        <v>88</v>
      </c>
      <c r="BF326" s="3" t="s">
        <v>88</v>
      </c>
    </row>
    <row r="327" spans="1:58" x14ac:dyDescent="0.2">
      <c r="A327" s="2" t="s">
        <v>5154</v>
      </c>
      <c r="B327" s="2" t="s">
        <v>5155</v>
      </c>
      <c r="C327" s="2" t="s">
        <v>60</v>
      </c>
      <c r="D327" s="2" t="s">
        <v>60</v>
      </c>
      <c r="E327" s="2" t="s">
        <v>60</v>
      </c>
      <c r="F327" s="2" t="s">
        <v>5156</v>
      </c>
      <c r="G327" s="2" t="s">
        <v>5157</v>
      </c>
      <c r="H327" s="2" t="s">
        <v>60</v>
      </c>
      <c r="I327" s="2" t="s">
        <v>60</v>
      </c>
      <c r="J327" s="2" t="s">
        <v>60</v>
      </c>
      <c r="K327" s="2" t="s">
        <v>5154</v>
      </c>
      <c r="L327" s="2" t="s">
        <v>5158</v>
      </c>
      <c r="M327" s="2" t="s">
        <v>115</v>
      </c>
      <c r="N327" s="2" t="s">
        <v>116</v>
      </c>
      <c r="O327" s="2" t="s">
        <v>117</v>
      </c>
      <c r="P327" s="2" t="s">
        <v>118</v>
      </c>
      <c r="Q327" s="2" t="s">
        <v>60</v>
      </c>
      <c r="R327" s="2" t="s">
        <v>5159</v>
      </c>
      <c r="S327" s="2" t="s">
        <v>96</v>
      </c>
      <c r="T327" s="16" t="s">
        <v>60</v>
      </c>
      <c r="U327" s="2" t="s">
        <v>1516</v>
      </c>
      <c r="V327" s="2" t="s">
        <v>71</v>
      </c>
      <c r="W327" s="2" t="s">
        <v>98</v>
      </c>
      <c r="X327" s="8" t="str">
        <f>HYPERLINK("http://www.redseaintl.com", "www.redseaintl.com")</f>
        <v>www.redseaintl.com</v>
      </c>
      <c r="Y327" s="8" t="str">
        <f>HYPERLINK("http://www.linkedin.com/company/red-sea-international-company", "http://www.linkedin.com/company/red-sea-international-company")</f>
        <v>http://www.linkedin.com/company/red-sea-international-company</v>
      </c>
      <c r="Z327" s="28">
        <v>15000</v>
      </c>
      <c r="AA327" s="2" t="s">
        <v>5160</v>
      </c>
      <c r="AB327" s="2" t="s">
        <v>74</v>
      </c>
      <c r="AC327" s="2" t="s">
        <v>5161</v>
      </c>
      <c r="AD327" s="40">
        <v>1967</v>
      </c>
      <c r="AE327" s="2" t="s">
        <v>60</v>
      </c>
      <c r="AF327" s="52">
        <v>887.52</v>
      </c>
      <c r="AG327" s="52">
        <v>100.19</v>
      </c>
      <c r="AH327" s="52">
        <v>-5.87</v>
      </c>
      <c r="AI327" s="52">
        <v>630.99</v>
      </c>
      <c r="AJ327" s="52">
        <v>77.680000000000007</v>
      </c>
      <c r="AK327" s="52">
        <v>28.4</v>
      </c>
      <c r="AL327" s="52">
        <v>343.78</v>
      </c>
      <c r="AM327" s="52">
        <v>110.27</v>
      </c>
      <c r="AN327" s="64">
        <v>5.78</v>
      </c>
      <c r="AO327" s="4" t="s">
        <v>179</v>
      </c>
      <c r="AP327" s="2" t="s">
        <v>5162</v>
      </c>
      <c r="AQ327" s="2" t="s">
        <v>5163</v>
      </c>
      <c r="AR327" s="2" t="s">
        <v>124</v>
      </c>
      <c r="AS327" s="2" t="s">
        <v>5164</v>
      </c>
      <c r="AT327" s="2" t="s">
        <v>60</v>
      </c>
      <c r="AU327" s="2" t="s">
        <v>82</v>
      </c>
      <c r="AV327" s="2" t="s">
        <v>85</v>
      </c>
      <c r="AW327" s="2" t="s">
        <v>60</v>
      </c>
      <c r="AX327" s="2" t="s">
        <v>85</v>
      </c>
      <c r="AY327" s="2" t="s">
        <v>60</v>
      </c>
      <c r="AZ327" s="4" t="s">
        <v>60</v>
      </c>
      <c r="BA327" s="2" t="s">
        <v>87</v>
      </c>
      <c r="BB327" s="4" t="s">
        <v>60</v>
      </c>
      <c r="BC327" s="4" t="s">
        <v>60</v>
      </c>
      <c r="BD327" s="2" t="s">
        <v>60</v>
      </c>
      <c r="BE327" s="2" t="s">
        <v>88</v>
      </c>
      <c r="BF327" s="2" t="s">
        <v>88</v>
      </c>
    </row>
    <row r="328" spans="1:58" x14ac:dyDescent="0.2">
      <c r="A328" s="3" t="s">
        <v>5165</v>
      </c>
      <c r="B328" s="3" t="s">
        <v>5166</v>
      </c>
      <c r="C328" s="3" t="s">
        <v>60</v>
      </c>
      <c r="D328" s="3" t="s">
        <v>60</v>
      </c>
      <c r="E328" s="3" t="s">
        <v>5167</v>
      </c>
      <c r="F328" s="3" t="s">
        <v>5168</v>
      </c>
      <c r="G328" s="3" t="s">
        <v>5169</v>
      </c>
      <c r="H328" s="3" t="s">
        <v>60</v>
      </c>
      <c r="I328" s="3" t="s">
        <v>60</v>
      </c>
      <c r="J328" s="3" t="s">
        <v>60</v>
      </c>
      <c r="K328" s="3" t="s">
        <v>5165</v>
      </c>
      <c r="L328" s="3" t="s">
        <v>5170</v>
      </c>
      <c r="M328" s="3" t="s">
        <v>1175</v>
      </c>
      <c r="N328" s="3" t="s">
        <v>1176</v>
      </c>
      <c r="O328" s="3" t="s">
        <v>1390</v>
      </c>
      <c r="P328" s="3" t="s">
        <v>5171</v>
      </c>
      <c r="Q328" s="3" t="s">
        <v>1392</v>
      </c>
      <c r="R328" s="3" t="s">
        <v>5172</v>
      </c>
      <c r="S328" s="3" t="s">
        <v>96</v>
      </c>
      <c r="T328" s="17">
        <v>59.2</v>
      </c>
      <c r="U328" s="3" t="s">
        <v>97</v>
      </c>
      <c r="V328" s="3" t="s">
        <v>71</v>
      </c>
      <c r="W328" s="3" t="s">
        <v>98</v>
      </c>
      <c r="X328" s="9" t="str">
        <f>HYPERLINK("http://www.aldrees.com", "www.aldrees.com")</f>
        <v>www.aldrees.com</v>
      </c>
      <c r="Y328" s="9" t="str">
        <f>HYPERLINK("http://www.linkedin.com/company/aldreesco", "http://www.linkedin.com/company/aldreesco")</f>
        <v>http://www.linkedin.com/company/aldreesco</v>
      </c>
      <c r="Z328" s="29">
        <v>5815</v>
      </c>
      <c r="AA328" s="3" t="s">
        <v>5173</v>
      </c>
      <c r="AB328" s="3" t="s">
        <v>74</v>
      </c>
      <c r="AC328" s="3" t="s">
        <v>5174</v>
      </c>
      <c r="AD328" s="41">
        <v>1957</v>
      </c>
      <c r="AE328" s="3" t="s">
        <v>60</v>
      </c>
      <c r="AF328" s="53">
        <v>6427.07</v>
      </c>
      <c r="AG328" s="53">
        <v>242.04</v>
      </c>
      <c r="AH328" s="53">
        <v>108.4</v>
      </c>
      <c r="AI328" s="53">
        <v>4473.46</v>
      </c>
      <c r="AJ328" s="53">
        <v>320.51</v>
      </c>
      <c r="AK328" s="53">
        <v>162.01</v>
      </c>
      <c r="AL328" s="53">
        <v>3236.25</v>
      </c>
      <c r="AM328" s="53">
        <v>1057.29</v>
      </c>
      <c r="AN328" s="65">
        <v>34.18</v>
      </c>
      <c r="AO328" s="5" t="s">
        <v>179</v>
      </c>
      <c r="AP328" s="3" t="s">
        <v>5175</v>
      </c>
      <c r="AQ328" s="3" t="s">
        <v>5176</v>
      </c>
      <c r="AR328" s="3" t="s">
        <v>79</v>
      </c>
      <c r="AS328" s="3" t="s">
        <v>60</v>
      </c>
      <c r="AT328" s="3" t="s">
        <v>5177</v>
      </c>
      <c r="AU328" s="3" t="s">
        <v>106</v>
      </c>
      <c r="AV328" s="3" t="s">
        <v>5178</v>
      </c>
      <c r="AW328" s="3" t="s">
        <v>60</v>
      </c>
      <c r="AX328" s="3" t="s">
        <v>109</v>
      </c>
      <c r="AY328" s="3" t="s">
        <v>60</v>
      </c>
      <c r="AZ328" s="5" t="s">
        <v>5179</v>
      </c>
      <c r="BA328" s="3" t="s">
        <v>87</v>
      </c>
      <c r="BB328" s="5" t="s">
        <v>5177</v>
      </c>
      <c r="BC328" s="5" t="s">
        <v>5180</v>
      </c>
      <c r="BD328" s="3" t="s">
        <v>5181</v>
      </c>
      <c r="BE328" s="3" t="s">
        <v>88</v>
      </c>
      <c r="BF328" s="3" t="s">
        <v>88</v>
      </c>
    </row>
    <row r="329" spans="1:58" x14ac:dyDescent="0.2">
      <c r="A329" s="2" t="s">
        <v>5182</v>
      </c>
      <c r="B329" s="2" t="s">
        <v>5183</v>
      </c>
      <c r="C329" s="2" t="s">
        <v>60</v>
      </c>
      <c r="D329" s="2" t="s">
        <v>60</v>
      </c>
      <c r="E329" s="2" t="s">
        <v>60</v>
      </c>
      <c r="F329" s="2" t="s">
        <v>5184</v>
      </c>
      <c r="G329" s="2" t="s">
        <v>5185</v>
      </c>
      <c r="H329" s="2" t="s">
        <v>60</v>
      </c>
      <c r="I329" s="2" t="s">
        <v>60</v>
      </c>
      <c r="J329" s="2" t="s">
        <v>60</v>
      </c>
      <c r="K329" s="2" t="s">
        <v>5182</v>
      </c>
      <c r="L329" s="2" t="s">
        <v>5186</v>
      </c>
      <c r="M329" s="2" t="s">
        <v>241</v>
      </c>
      <c r="N329" s="2" t="s">
        <v>839</v>
      </c>
      <c r="O329" s="2" t="s">
        <v>2402</v>
      </c>
      <c r="P329" s="2" t="s">
        <v>2403</v>
      </c>
      <c r="Q329" s="2" t="s">
        <v>60</v>
      </c>
      <c r="R329" s="2" t="s">
        <v>5187</v>
      </c>
      <c r="S329" s="2" t="s">
        <v>96</v>
      </c>
      <c r="T329" s="16" t="s">
        <v>60</v>
      </c>
      <c r="U329" s="2" t="s">
        <v>1516</v>
      </c>
      <c r="V329" s="2" t="s">
        <v>71</v>
      </c>
      <c r="W329" s="2" t="s">
        <v>98</v>
      </c>
      <c r="X329" s="8" t="str">
        <f>HYPERLINK("http://www.yansab.com.sa", "www.yansab.com.sa")</f>
        <v>www.yansab.com.sa</v>
      </c>
      <c r="Y329" s="2" t="s">
        <v>60</v>
      </c>
      <c r="Z329" s="28">
        <v>1138</v>
      </c>
      <c r="AA329" s="2" t="s">
        <v>5188</v>
      </c>
      <c r="AB329" s="2" t="s">
        <v>74</v>
      </c>
      <c r="AC329" s="2" t="s">
        <v>5189</v>
      </c>
      <c r="AD329" s="40">
        <v>2006</v>
      </c>
      <c r="AE329" s="2" t="s">
        <v>60</v>
      </c>
      <c r="AF329" s="52">
        <v>1519.58</v>
      </c>
      <c r="AG329" s="52">
        <v>172.65</v>
      </c>
      <c r="AH329" s="52">
        <v>26.06</v>
      </c>
      <c r="AI329" s="52">
        <v>4451.91</v>
      </c>
      <c r="AJ329" s="52">
        <v>332.83</v>
      </c>
      <c r="AK329" s="52">
        <v>59.93</v>
      </c>
      <c r="AL329" s="52">
        <v>4054.31</v>
      </c>
      <c r="AM329" s="52">
        <v>-737.63</v>
      </c>
      <c r="AN329" s="64">
        <v>-6.74</v>
      </c>
      <c r="AO329" s="4" t="s">
        <v>179</v>
      </c>
      <c r="AP329" s="2" t="s">
        <v>5190</v>
      </c>
      <c r="AQ329" s="2" t="s">
        <v>3519</v>
      </c>
      <c r="AR329" s="2" t="s">
        <v>2743</v>
      </c>
      <c r="AS329" s="2" t="s">
        <v>60</v>
      </c>
      <c r="AT329" s="2" t="s">
        <v>5191</v>
      </c>
      <c r="AU329" s="2" t="s">
        <v>5192</v>
      </c>
      <c r="AV329" s="2" t="s">
        <v>5193</v>
      </c>
      <c r="AW329" s="2" t="s">
        <v>60</v>
      </c>
      <c r="AX329" s="2" t="s">
        <v>5194</v>
      </c>
      <c r="AY329" s="2" t="s">
        <v>60</v>
      </c>
      <c r="AZ329" s="4" t="s">
        <v>5195</v>
      </c>
      <c r="BA329" s="2" t="s">
        <v>87</v>
      </c>
      <c r="BB329" s="4" t="s">
        <v>5191</v>
      </c>
      <c r="BC329" s="4" t="s">
        <v>5196</v>
      </c>
      <c r="BD329" s="2" t="s">
        <v>5197</v>
      </c>
      <c r="BE329" s="2" t="s">
        <v>88</v>
      </c>
      <c r="BF329" s="2" t="s">
        <v>88</v>
      </c>
    </row>
    <row r="330" spans="1:58" x14ac:dyDescent="0.2">
      <c r="A330" s="3" t="s">
        <v>5198</v>
      </c>
      <c r="B330" s="3" t="s">
        <v>5199</v>
      </c>
      <c r="C330" s="3" t="s">
        <v>60</v>
      </c>
      <c r="D330" s="3" t="s">
        <v>60</v>
      </c>
      <c r="E330" s="3" t="s">
        <v>60</v>
      </c>
      <c r="F330" s="3" t="s">
        <v>5200</v>
      </c>
      <c r="G330" s="3" t="s">
        <v>5201</v>
      </c>
      <c r="H330" s="3" t="s">
        <v>60</v>
      </c>
      <c r="I330" s="3" t="s">
        <v>60</v>
      </c>
      <c r="J330" s="3" t="s">
        <v>60</v>
      </c>
      <c r="K330" s="3" t="s">
        <v>5198</v>
      </c>
      <c r="L330" s="3" t="s">
        <v>5202</v>
      </c>
      <c r="M330" s="3" t="s">
        <v>63</v>
      </c>
      <c r="N330" s="3" t="s">
        <v>64</v>
      </c>
      <c r="O330" s="3" t="s">
        <v>530</v>
      </c>
      <c r="P330" s="3" t="s">
        <v>1371</v>
      </c>
      <c r="Q330" s="3" t="s">
        <v>5203</v>
      </c>
      <c r="R330" s="3" t="s">
        <v>5204</v>
      </c>
      <c r="S330" s="3" t="s">
        <v>96</v>
      </c>
      <c r="T330" s="17">
        <v>112.92</v>
      </c>
      <c r="U330" s="3" t="s">
        <v>97</v>
      </c>
      <c r="V330" s="3" t="s">
        <v>71</v>
      </c>
      <c r="W330" s="3" t="s">
        <v>98</v>
      </c>
      <c r="X330" s="9" t="str">
        <f>HYPERLINK("http://www.amiantit.com", "www.amiantit.com")</f>
        <v>www.amiantit.com</v>
      </c>
      <c r="Y330" s="9" t="str">
        <f>HYPERLINK("http://www.linkedin.com/company/amiantit", "http://www.linkedin.com/company/amiantit")</f>
        <v>http://www.linkedin.com/company/amiantit</v>
      </c>
      <c r="Z330" s="29">
        <v>363</v>
      </c>
      <c r="AA330" s="3" t="s">
        <v>5205</v>
      </c>
      <c r="AB330" s="3" t="s">
        <v>74</v>
      </c>
      <c r="AC330" s="3" t="s">
        <v>5206</v>
      </c>
      <c r="AD330" s="41">
        <v>1968</v>
      </c>
      <c r="AE330" s="3" t="s">
        <v>60</v>
      </c>
      <c r="AF330" s="53">
        <v>201.76</v>
      </c>
      <c r="AG330" s="53">
        <v>13.91</v>
      </c>
      <c r="AH330" s="53">
        <v>-17.89</v>
      </c>
      <c r="AI330" s="53">
        <v>316.07</v>
      </c>
      <c r="AJ330" s="53">
        <v>-8.0299999999999994</v>
      </c>
      <c r="AK330" s="53">
        <v>-15.07</v>
      </c>
      <c r="AL330" s="53">
        <v>179.84</v>
      </c>
      <c r="AM330" s="53">
        <v>53.11</v>
      </c>
      <c r="AN330" s="65">
        <v>-6.09</v>
      </c>
      <c r="AO330" s="5" t="s">
        <v>179</v>
      </c>
      <c r="AP330" s="3" t="s">
        <v>5207</v>
      </c>
      <c r="AQ330" s="3" t="s">
        <v>5208</v>
      </c>
      <c r="AR330" s="3" t="s">
        <v>79</v>
      </c>
      <c r="AS330" s="3" t="s">
        <v>5209</v>
      </c>
      <c r="AT330" s="3" t="s">
        <v>5210</v>
      </c>
      <c r="AU330" s="3" t="s">
        <v>847</v>
      </c>
      <c r="AV330" s="3" t="s">
        <v>5211</v>
      </c>
      <c r="AW330" s="3" t="s">
        <v>60</v>
      </c>
      <c r="AX330" s="3" t="s">
        <v>849</v>
      </c>
      <c r="AY330" s="3" t="s">
        <v>2639</v>
      </c>
      <c r="AZ330" s="5" t="s">
        <v>5212</v>
      </c>
      <c r="BA330" s="3" t="s">
        <v>87</v>
      </c>
      <c r="BB330" s="5" t="s">
        <v>5210</v>
      </c>
      <c r="BC330" s="5" t="s">
        <v>5213</v>
      </c>
      <c r="BD330" s="3" t="s">
        <v>5214</v>
      </c>
      <c r="BE330" s="3" t="s">
        <v>88</v>
      </c>
      <c r="BF330" s="3" t="s">
        <v>88</v>
      </c>
    </row>
    <row r="331" spans="1:58" x14ac:dyDescent="0.2">
      <c r="A331" s="2" t="s">
        <v>5215</v>
      </c>
      <c r="B331" s="2" t="s">
        <v>5216</v>
      </c>
      <c r="C331" s="2" t="s">
        <v>60</v>
      </c>
      <c r="D331" s="2" t="s">
        <v>60</v>
      </c>
      <c r="E331" s="2" t="s">
        <v>60</v>
      </c>
      <c r="F331" s="2" t="s">
        <v>5217</v>
      </c>
      <c r="G331" s="2" t="s">
        <v>5218</v>
      </c>
      <c r="H331" s="2" t="s">
        <v>60</v>
      </c>
      <c r="I331" s="2" t="s">
        <v>60</v>
      </c>
      <c r="J331" s="2" t="s">
        <v>5219</v>
      </c>
      <c r="K331" s="2" t="s">
        <v>5215</v>
      </c>
      <c r="L331" s="2" t="s">
        <v>5220</v>
      </c>
      <c r="M331" s="2" t="s">
        <v>115</v>
      </c>
      <c r="N331" s="2" t="s">
        <v>208</v>
      </c>
      <c r="O331" s="2" t="s">
        <v>226</v>
      </c>
      <c r="P331" s="2" t="s">
        <v>1882</v>
      </c>
      <c r="Q331" s="2" t="s">
        <v>60</v>
      </c>
      <c r="R331" s="2" t="s">
        <v>5221</v>
      </c>
      <c r="S331" s="2" t="s">
        <v>96</v>
      </c>
      <c r="T331" s="16" t="s">
        <v>60</v>
      </c>
      <c r="U331" s="2" t="s">
        <v>97</v>
      </c>
      <c r="V331" s="2" t="s">
        <v>71</v>
      </c>
      <c r="W331" s="2" t="s">
        <v>98</v>
      </c>
      <c r="X331" s="8" t="str">
        <f>HYPERLINK("http://www.sadafco.com", "www.sadafco.com")</f>
        <v>www.sadafco.com</v>
      </c>
      <c r="Y331" s="8" t="str">
        <f>HYPERLINK("http://www.linkedin.com/company/sadafco", "http://www.linkedin.com/company/sadafco")</f>
        <v>http://www.linkedin.com/company/sadafco</v>
      </c>
      <c r="Z331" s="28">
        <v>2424</v>
      </c>
      <c r="AA331" s="2" t="s">
        <v>5222</v>
      </c>
      <c r="AB331" s="2" t="s">
        <v>74</v>
      </c>
      <c r="AC331" s="2" t="s">
        <v>5223</v>
      </c>
      <c r="AD331" s="40">
        <v>1976</v>
      </c>
      <c r="AE331" s="2" t="s">
        <v>60</v>
      </c>
      <c r="AF331" s="52">
        <v>826.35</v>
      </c>
      <c r="AG331" s="52">
        <v>275.41000000000003</v>
      </c>
      <c r="AH331" s="52">
        <v>138.57</v>
      </c>
      <c r="AI331" s="52">
        <v>2135.94</v>
      </c>
      <c r="AJ331" s="52">
        <v>163.07</v>
      </c>
      <c r="AK331" s="52">
        <v>133.88</v>
      </c>
      <c r="AL331" s="52">
        <v>2056.2600000000002</v>
      </c>
      <c r="AM331" s="52">
        <v>-185.58</v>
      </c>
      <c r="AN331" s="64">
        <v>6.38</v>
      </c>
      <c r="AO331" s="4" t="s">
        <v>179</v>
      </c>
      <c r="AP331" s="2" t="s">
        <v>5224</v>
      </c>
      <c r="AQ331" s="2" t="s">
        <v>5225</v>
      </c>
      <c r="AR331" s="2" t="s">
        <v>79</v>
      </c>
      <c r="AS331" s="2" t="s">
        <v>5226</v>
      </c>
      <c r="AT331" s="2" t="s">
        <v>60</v>
      </c>
      <c r="AU331" s="2" t="s">
        <v>82</v>
      </c>
      <c r="AV331" s="2" t="s">
        <v>5227</v>
      </c>
      <c r="AW331" s="2" t="s">
        <v>5228</v>
      </c>
      <c r="AX331" s="2" t="s">
        <v>85</v>
      </c>
      <c r="AY331" s="2" t="s">
        <v>596</v>
      </c>
      <c r="AZ331" s="4" t="s">
        <v>269</v>
      </c>
      <c r="BA331" s="2" t="s">
        <v>87</v>
      </c>
      <c r="BB331" s="4" t="s">
        <v>60</v>
      </c>
      <c r="BC331" s="4" t="s">
        <v>60</v>
      </c>
      <c r="BD331" s="2" t="s">
        <v>60</v>
      </c>
      <c r="BE331" s="2" t="s">
        <v>88</v>
      </c>
      <c r="BF331" s="2" t="s">
        <v>88</v>
      </c>
    </row>
    <row r="332" spans="1:58" x14ac:dyDescent="0.2">
      <c r="A332" s="3" t="s">
        <v>5229</v>
      </c>
      <c r="B332" s="3" t="s">
        <v>5230</v>
      </c>
      <c r="C332" s="3" t="s">
        <v>60</v>
      </c>
      <c r="D332" s="3" t="s">
        <v>60</v>
      </c>
      <c r="E332" s="3" t="s">
        <v>60</v>
      </c>
      <c r="F332" s="3" t="s">
        <v>60</v>
      </c>
      <c r="G332" s="3" t="s">
        <v>60</v>
      </c>
      <c r="H332" s="3" t="s">
        <v>60</v>
      </c>
      <c r="I332" s="3" t="s">
        <v>60</v>
      </c>
      <c r="J332" s="3" t="s">
        <v>5231</v>
      </c>
      <c r="K332" s="3" t="s">
        <v>5229</v>
      </c>
      <c r="L332" s="3" t="s">
        <v>5232</v>
      </c>
      <c r="M332" s="3" t="s">
        <v>134</v>
      </c>
      <c r="N332" s="3" t="s">
        <v>728</v>
      </c>
      <c r="O332" s="3" t="s">
        <v>729</v>
      </c>
      <c r="P332" s="3" t="s">
        <v>730</v>
      </c>
      <c r="Q332" s="3" t="s">
        <v>60</v>
      </c>
      <c r="R332" s="3" t="s">
        <v>5233</v>
      </c>
      <c r="S332" s="3" t="s">
        <v>96</v>
      </c>
      <c r="T332" s="17" t="s">
        <v>60</v>
      </c>
      <c r="U332" s="3" t="s">
        <v>97</v>
      </c>
      <c r="V332" s="3" t="s">
        <v>71</v>
      </c>
      <c r="W332" s="3" t="s">
        <v>98</v>
      </c>
      <c r="X332" s="9" t="str">
        <f>HYPERLINK("http://www.bankalbilad.com", "www.bankalbilad.com")</f>
        <v>www.bankalbilad.com</v>
      </c>
      <c r="Y332" s="9" t="str">
        <f>HYPERLINK("http://www.linkedin.com/company/bankalbilad", "http://www.linkedin.com/company/bankalbilad")</f>
        <v>http://www.linkedin.com/company/bankalbilad</v>
      </c>
      <c r="Z332" s="29">
        <v>4615</v>
      </c>
      <c r="AA332" s="3" t="s">
        <v>5234</v>
      </c>
      <c r="AB332" s="3" t="s">
        <v>74</v>
      </c>
      <c r="AC332" s="3" t="s">
        <v>5235</v>
      </c>
      <c r="AD332" s="41">
        <v>2004</v>
      </c>
      <c r="AE332" s="3" t="s">
        <v>60</v>
      </c>
      <c r="AF332" s="53">
        <v>1596.97</v>
      </c>
      <c r="AG332" s="53" t="s">
        <v>60</v>
      </c>
      <c r="AH332" s="53">
        <v>804.76</v>
      </c>
      <c r="AI332" s="53" t="s">
        <v>60</v>
      </c>
      <c r="AJ332" s="53" t="s">
        <v>60</v>
      </c>
      <c r="AK332" s="53" t="s">
        <v>60</v>
      </c>
      <c r="AL332" s="53">
        <v>10563.77</v>
      </c>
      <c r="AM332" s="53">
        <v>33156.58</v>
      </c>
      <c r="AN332" s="65">
        <v>8.41</v>
      </c>
      <c r="AO332" s="5" t="s">
        <v>179</v>
      </c>
      <c r="AP332" s="3" t="s">
        <v>5236</v>
      </c>
      <c r="AQ332" s="3" t="s">
        <v>5237</v>
      </c>
      <c r="AR332" s="3" t="s">
        <v>266</v>
      </c>
      <c r="AS332" s="3" t="s">
        <v>5238</v>
      </c>
      <c r="AT332" s="3" t="s">
        <v>5239</v>
      </c>
      <c r="AU332" s="3" t="s">
        <v>106</v>
      </c>
      <c r="AV332" s="3" t="s">
        <v>5240</v>
      </c>
      <c r="AW332" s="3" t="s">
        <v>5241</v>
      </c>
      <c r="AX332" s="3" t="s">
        <v>109</v>
      </c>
      <c r="AY332" s="3" t="s">
        <v>60</v>
      </c>
      <c r="AZ332" s="5" t="s">
        <v>4055</v>
      </c>
      <c r="BA332" s="3" t="s">
        <v>87</v>
      </c>
      <c r="BB332" s="5" t="s">
        <v>5239</v>
      </c>
      <c r="BC332" s="5" t="s">
        <v>5242</v>
      </c>
      <c r="BD332" s="3" t="s">
        <v>5243</v>
      </c>
      <c r="BE332" s="3" t="s">
        <v>88</v>
      </c>
      <c r="BF332" s="3" t="s">
        <v>88</v>
      </c>
    </row>
    <row r="333" spans="1:58" x14ac:dyDescent="0.2">
      <c r="A333" s="2" t="s">
        <v>5244</v>
      </c>
      <c r="B333" s="2" t="s">
        <v>5245</v>
      </c>
      <c r="C333" s="2" t="s">
        <v>60</v>
      </c>
      <c r="D333" s="2" t="s">
        <v>60</v>
      </c>
      <c r="E333" s="2" t="s">
        <v>60</v>
      </c>
      <c r="F333" s="2" t="s">
        <v>5246</v>
      </c>
      <c r="G333" s="2" t="s">
        <v>5247</v>
      </c>
      <c r="H333" s="2" t="s">
        <v>60</v>
      </c>
      <c r="I333" s="2" t="s">
        <v>60</v>
      </c>
      <c r="J333" s="2" t="s">
        <v>60</v>
      </c>
      <c r="K333" s="2" t="s">
        <v>5244</v>
      </c>
      <c r="L333" s="2" t="s">
        <v>5248</v>
      </c>
      <c r="M333" s="2" t="s">
        <v>134</v>
      </c>
      <c r="N333" s="2" t="s">
        <v>565</v>
      </c>
      <c r="O333" s="2" t="s">
        <v>1666</v>
      </c>
      <c r="P333" s="2" t="s">
        <v>4906</v>
      </c>
      <c r="Q333" s="2" t="s">
        <v>60</v>
      </c>
      <c r="R333" s="2" t="s">
        <v>5249</v>
      </c>
      <c r="S333" s="2" t="s">
        <v>96</v>
      </c>
      <c r="T333" s="16" t="s">
        <v>60</v>
      </c>
      <c r="U333" s="2" t="s">
        <v>97</v>
      </c>
      <c r="V333" s="2" t="s">
        <v>71</v>
      </c>
      <c r="W333" s="2" t="s">
        <v>98</v>
      </c>
      <c r="X333" s="8" t="str">
        <f>HYPERLINK("http://tawuniya.com", "tawuniya.com")</f>
        <v>tawuniya.com</v>
      </c>
      <c r="Y333" s="8" t="str">
        <f>HYPERLINK("http://www.linkedin.com/company/tawuniya", "http://www.linkedin.com/company/tawuniya")</f>
        <v>http://www.linkedin.com/company/tawuniya</v>
      </c>
      <c r="Z333" s="28">
        <v>722</v>
      </c>
      <c r="AA333" s="2" t="s">
        <v>5250</v>
      </c>
      <c r="AB333" s="2" t="s">
        <v>74</v>
      </c>
      <c r="AC333" s="2" t="s">
        <v>5251</v>
      </c>
      <c r="AD333" s="40">
        <v>1986</v>
      </c>
      <c r="AE333" s="2" t="s">
        <v>60</v>
      </c>
      <c r="AF333" s="52">
        <v>4982.63</v>
      </c>
      <c r="AG333" s="52" t="s">
        <v>60</v>
      </c>
      <c r="AH333" s="52">
        <v>284.97000000000003</v>
      </c>
      <c r="AI333" s="52">
        <v>5203.54</v>
      </c>
      <c r="AJ333" s="52">
        <v>380.8</v>
      </c>
      <c r="AK333" s="52">
        <v>320.58999999999997</v>
      </c>
      <c r="AL333" s="52">
        <v>5516.1</v>
      </c>
      <c r="AM333" s="52">
        <v>-257.87</v>
      </c>
      <c r="AN333" s="64">
        <v>14.7</v>
      </c>
      <c r="AO333" s="4" t="s">
        <v>179</v>
      </c>
      <c r="AP333" s="2" t="s">
        <v>5252</v>
      </c>
      <c r="AQ333" s="2" t="s">
        <v>5253</v>
      </c>
      <c r="AR333" s="2" t="s">
        <v>79</v>
      </c>
      <c r="AS333" s="2" t="s">
        <v>5254</v>
      </c>
      <c r="AT333" s="2" t="s">
        <v>5255</v>
      </c>
      <c r="AU333" s="2" t="s">
        <v>106</v>
      </c>
      <c r="AV333" s="2" t="s">
        <v>5256</v>
      </c>
      <c r="AW333" s="2" t="s">
        <v>431</v>
      </c>
      <c r="AX333" s="2" t="s">
        <v>109</v>
      </c>
      <c r="AY333" s="2" t="s">
        <v>60</v>
      </c>
      <c r="AZ333" s="4" t="s">
        <v>5257</v>
      </c>
      <c r="BA333" s="2" t="s">
        <v>87</v>
      </c>
      <c r="BB333" s="4" t="s">
        <v>5255</v>
      </c>
      <c r="BC333" s="4" t="s">
        <v>5258</v>
      </c>
      <c r="BD333" s="2" t="s">
        <v>5259</v>
      </c>
      <c r="BE333" s="2" t="s">
        <v>88</v>
      </c>
      <c r="BF333" s="2" t="s">
        <v>88</v>
      </c>
    </row>
    <row r="334" spans="1:58" x14ac:dyDescent="0.2">
      <c r="A334" s="3" t="s">
        <v>5260</v>
      </c>
      <c r="B334" s="3" t="s">
        <v>5261</v>
      </c>
      <c r="C334" s="3" t="s">
        <v>60</v>
      </c>
      <c r="D334" s="3" t="s">
        <v>60</v>
      </c>
      <c r="E334" s="3" t="s">
        <v>60</v>
      </c>
      <c r="F334" s="3" t="s">
        <v>5262</v>
      </c>
      <c r="G334" s="3" t="s">
        <v>5263</v>
      </c>
      <c r="H334" s="3" t="s">
        <v>60</v>
      </c>
      <c r="I334" s="3" t="s">
        <v>60</v>
      </c>
      <c r="J334" s="3" t="s">
        <v>60</v>
      </c>
      <c r="K334" s="3" t="s">
        <v>5260</v>
      </c>
      <c r="L334" s="3" t="s">
        <v>5264</v>
      </c>
      <c r="M334" s="3" t="s">
        <v>241</v>
      </c>
      <c r="N334" s="3" t="s">
        <v>839</v>
      </c>
      <c r="O334" s="3" t="s">
        <v>2402</v>
      </c>
      <c r="P334" s="3" t="s">
        <v>2403</v>
      </c>
      <c r="Q334" s="3" t="s">
        <v>60</v>
      </c>
      <c r="R334" s="3" t="s">
        <v>5265</v>
      </c>
      <c r="S334" s="3" t="s">
        <v>96</v>
      </c>
      <c r="T334" s="17" t="s">
        <v>60</v>
      </c>
      <c r="U334" s="3" t="s">
        <v>97</v>
      </c>
      <c r="V334" s="3" t="s">
        <v>71</v>
      </c>
      <c r="W334" s="3" t="s">
        <v>98</v>
      </c>
      <c r="X334" s="9" t="str">
        <f>HYPERLINK("http://www.siig.com.sa", "www.siig.com.sa")</f>
        <v>www.siig.com.sa</v>
      </c>
      <c r="Y334" s="9" t="str">
        <f>HYPERLINK("http://www.linkedin.com/company/saudi-industrial-investment-group", "http://www.linkedin.com/company/saudi-industrial-investment-group")</f>
        <v>http://www.linkedin.com/company/saudi-industrial-investment-group</v>
      </c>
      <c r="Z334" s="29">
        <v>250</v>
      </c>
      <c r="AA334" s="3" t="s">
        <v>5266</v>
      </c>
      <c r="AB334" s="3" t="s">
        <v>74</v>
      </c>
      <c r="AC334" s="3" t="s">
        <v>5267</v>
      </c>
      <c r="AD334" s="41">
        <v>1996</v>
      </c>
      <c r="AE334" s="3" t="s">
        <v>60</v>
      </c>
      <c r="AF334" s="53">
        <v>0</v>
      </c>
      <c r="AG334" s="53" t="s">
        <v>60</v>
      </c>
      <c r="AH334" s="53">
        <v>15.3</v>
      </c>
      <c r="AI334" s="53">
        <v>3391.97</v>
      </c>
      <c r="AJ334" s="53">
        <v>-12.81</v>
      </c>
      <c r="AK334" s="53">
        <v>-13</v>
      </c>
      <c r="AL334" s="53">
        <v>2245.4299999999998</v>
      </c>
      <c r="AM334" s="53">
        <v>-82.04</v>
      </c>
      <c r="AN334" s="65">
        <v>0</v>
      </c>
      <c r="AO334" s="5" t="s">
        <v>179</v>
      </c>
      <c r="AP334" s="3" t="s">
        <v>5268</v>
      </c>
      <c r="AQ334" s="3" t="s">
        <v>5269</v>
      </c>
      <c r="AR334" s="3" t="s">
        <v>79</v>
      </c>
      <c r="AS334" s="3" t="s">
        <v>60</v>
      </c>
      <c r="AT334" s="3" t="s">
        <v>5270</v>
      </c>
      <c r="AU334" s="3" t="s">
        <v>106</v>
      </c>
      <c r="AV334" s="3" t="s">
        <v>5271</v>
      </c>
      <c r="AW334" s="3" t="s">
        <v>60</v>
      </c>
      <c r="AX334" s="3" t="s">
        <v>109</v>
      </c>
      <c r="AY334" s="3" t="s">
        <v>60</v>
      </c>
      <c r="AZ334" s="5" t="s">
        <v>1250</v>
      </c>
      <c r="BA334" s="3" t="s">
        <v>87</v>
      </c>
      <c r="BB334" s="5" t="s">
        <v>5270</v>
      </c>
      <c r="BC334" s="5" t="s">
        <v>5272</v>
      </c>
      <c r="BD334" s="3" t="s">
        <v>5273</v>
      </c>
      <c r="BE334" s="3" t="s">
        <v>88</v>
      </c>
      <c r="BF334" s="3" t="s">
        <v>88</v>
      </c>
    </row>
    <row r="335" spans="1:58" x14ac:dyDescent="0.2">
      <c r="A335" s="2" t="s">
        <v>5274</v>
      </c>
      <c r="B335" s="2" t="s">
        <v>5275</v>
      </c>
      <c r="C335" s="2" t="s">
        <v>60</v>
      </c>
      <c r="D335" s="2" t="s">
        <v>60</v>
      </c>
      <c r="E335" s="2" t="s">
        <v>60</v>
      </c>
      <c r="F335" s="2" t="s">
        <v>60</v>
      </c>
      <c r="G335" s="2" t="s">
        <v>5276</v>
      </c>
      <c r="H335" s="2" t="s">
        <v>60</v>
      </c>
      <c r="I335" s="2" t="s">
        <v>60</v>
      </c>
      <c r="J335" s="2" t="s">
        <v>5277</v>
      </c>
      <c r="K335" s="2" t="s">
        <v>5274</v>
      </c>
      <c r="L335" s="2" t="s">
        <v>5278</v>
      </c>
      <c r="M335" s="2" t="s">
        <v>241</v>
      </c>
      <c r="N335" s="2" t="s">
        <v>242</v>
      </c>
      <c r="O335" s="2" t="s">
        <v>243</v>
      </c>
      <c r="P335" s="2" t="s">
        <v>244</v>
      </c>
      <c r="Q335" s="2" t="s">
        <v>60</v>
      </c>
      <c r="R335" s="2" t="s">
        <v>5279</v>
      </c>
      <c r="S335" s="2" t="s">
        <v>96</v>
      </c>
      <c r="T335" s="16" t="s">
        <v>60</v>
      </c>
      <c r="U335" s="2" t="s">
        <v>97</v>
      </c>
      <c r="V335" s="2" t="s">
        <v>71</v>
      </c>
      <c r="W335" s="2" t="s">
        <v>98</v>
      </c>
      <c r="X335" s="8" t="str">
        <f>HYPERLINK("http://www.arabiancement.com.sa", "www.arabiancement.com.sa")</f>
        <v>www.arabiancement.com.sa</v>
      </c>
      <c r="Y335" s="8" t="str">
        <f>HYPERLINK("http://www.linkedin.com/company/arabian-cement", "http://www.linkedin.com/company/arabian-cement")</f>
        <v>http://www.linkedin.com/company/arabian-cement</v>
      </c>
      <c r="Z335" s="28">
        <v>870</v>
      </c>
      <c r="AA335" s="2" t="s">
        <v>5280</v>
      </c>
      <c r="AB335" s="2" t="s">
        <v>74</v>
      </c>
      <c r="AC335" s="2" t="s">
        <v>5281</v>
      </c>
      <c r="AD335" s="40">
        <v>1955</v>
      </c>
      <c r="AE335" s="2" t="s">
        <v>60</v>
      </c>
      <c r="AF335" s="52">
        <v>264.7</v>
      </c>
      <c r="AG335" s="52">
        <v>60.56</v>
      </c>
      <c r="AH335" s="52">
        <v>37.49</v>
      </c>
      <c r="AI335" s="52">
        <v>611.47</v>
      </c>
      <c r="AJ335" s="52">
        <v>91.25</v>
      </c>
      <c r="AK335" s="52">
        <v>48.65</v>
      </c>
      <c r="AL335" s="52">
        <v>578.26</v>
      </c>
      <c r="AM335" s="52">
        <v>-10.02</v>
      </c>
      <c r="AN335" s="64">
        <v>16.57</v>
      </c>
      <c r="AO335" s="4" t="s">
        <v>179</v>
      </c>
      <c r="AP335" s="2" t="s">
        <v>5282</v>
      </c>
      <c r="AQ335" s="2" t="s">
        <v>5283</v>
      </c>
      <c r="AR335" s="2" t="s">
        <v>124</v>
      </c>
      <c r="AS335" s="2" t="s">
        <v>5284</v>
      </c>
      <c r="AT335" s="2" t="s">
        <v>5285</v>
      </c>
      <c r="AU335" s="2" t="s">
        <v>82</v>
      </c>
      <c r="AV335" s="2" t="s">
        <v>5286</v>
      </c>
      <c r="AW335" s="2" t="s">
        <v>60</v>
      </c>
      <c r="AX335" s="2" t="s">
        <v>85</v>
      </c>
      <c r="AY335" s="2" t="s">
        <v>60</v>
      </c>
      <c r="AZ335" s="4" t="s">
        <v>5287</v>
      </c>
      <c r="BA335" s="2" t="s">
        <v>87</v>
      </c>
      <c r="BB335" s="4" t="s">
        <v>5285</v>
      </c>
      <c r="BC335" s="4" t="s">
        <v>5288</v>
      </c>
      <c r="BD335" s="2" t="s">
        <v>60</v>
      </c>
      <c r="BE335" s="2" t="s">
        <v>88</v>
      </c>
      <c r="BF335" s="2" t="s">
        <v>88</v>
      </c>
    </row>
    <row r="336" spans="1:58" x14ac:dyDescent="0.2">
      <c r="A336" s="3" t="s">
        <v>5289</v>
      </c>
      <c r="B336" s="3" t="s">
        <v>5290</v>
      </c>
      <c r="C336" s="3" t="s">
        <v>60</v>
      </c>
      <c r="D336" s="3" t="s">
        <v>60</v>
      </c>
      <c r="E336" s="3" t="s">
        <v>60</v>
      </c>
      <c r="F336" s="3" t="s">
        <v>60</v>
      </c>
      <c r="G336" s="3" t="s">
        <v>5291</v>
      </c>
      <c r="H336" s="3" t="s">
        <v>60</v>
      </c>
      <c r="I336" s="3" t="s">
        <v>60</v>
      </c>
      <c r="J336" s="3" t="s">
        <v>5292</v>
      </c>
      <c r="K336" s="3" t="s">
        <v>5289</v>
      </c>
      <c r="L336" s="3" t="s">
        <v>5293</v>
      </c>
      <c r="M336" s="3" t="s">
        <v>115</v>
      </c>
      <c r="N336" s="3" t="s">
        <v>2794</v>
      </c>
      <c r="O336" s="3" t="s">
        <v>5294</v>
      </c>
      <c r="P336" s="3" t="s">
        <v>5295</v>
      </c>
      <c r="Q336" s="3" t="s">
        <v>60</v>
      </c>
      <c r="R336" s="3" t="s">
        <v>5296</v>
      </c>
      <c r="S336" s="3" t="s">
        <v>96</v>
      </c>
      <c r="T336" s="17" t="s">
        <v>60</v>
      </c>
      <c r="U336" s="3" t="s">
        <v>97</v>
      </c>
      <c r="V336" s="3" t="s">
        <v>71</v>
      </c>
      <c r="W336" s="3" t="s">
        <v>98</v>
      </c>
      <c r="X336" s="9" t="str">
        <f>HYPERLINK("http://www.jarir.com", "www.jarir.com")</f>
        <v>www.jarir.com</v>
      </c>
      <c r="Y336" s="9" t="str">
        <f>HYPERLINK("http://www.linkedin.com/company/jarir-bookstore", "http://www.linkedin.com/company/jarir-bookstore")</f>
        <v>http://www.linkedin.com/company/jarir-bookstore</v>
      </c>
      <c r="Z336" s="29">
        <v>698</v>
      </c>
      <c r="AA336" s="3" t="s">
        <v>5297</v>
      </c>
      <c r="AB336" s="3" t="s">
        <v>74</v>
      </c>
      <c r="AC336" s="3" t="s">
        <v>5298</v>
      </c>
      <c r="AD336" s="41">
        <v>1974</v>
      </c>
      <c r="AE336" s="3" t="s">
        <v>60</v>
      </c>
      <c r="AF336" s="53">
        <v>2986.63</v>
      </c>
      <c r="AG336" s="53">
        <v>363.71</v>
      </c>
      <c r="AH336" s="53">
        <v>270.16000000000003</v>
      </c>
      <c r="AI336" s="53">
        <v>4703.18</v>
      </c>
      <c r="AJ336" s="53">
        <v>341.06</v>
      </c>
      <c r="AK336" s="53">
        <v>290.83999999999997</v>
      </c>
      <c r="AL336" s="53">
        <v>4599.4799999999996</v>
      </c>
      <c r="AM336" s="53">
        <v>92.54</v>
      </c>
      <c r="AN336" s="65">
        <v>4.17</v>
      </c>
      <c r="AO336" s="5" t="s">
        <v>179</v>
      </c>
      <c r="AP336" s="3" t="s">
        <v>5299</v>
      </c>
      <c r="AQ336" s="3" t="s">
        <v>5300</v>
      </c>
      <c r="AR336" s="3" t="s">
        <v>5301</v>
      </c>
      <c r="AS336" s="3" t="s">
        <v>5302</v>
      </c>
      <c r="AT336" s="3" t="s">
        <v>5303</v>
      </c>
      <c r="AU336" s="3" t="s">
        <v>106</v>
      </c>
      <c r="AV336" s="3" t="s">
        <v>5304</v>
      </c>
      <c r="AW336" s="3" t="s">
        <v>60</v>
      </c>
      <c r="AX336" s="3" t="s">
        <v>109</v>
      </c>
      <c r="AY336" s="3" t="s">
        <v>60</v>
      </c>
      <c r="AZ336" s="5" t="s">
        <v>5305</v>
      </c>
      <c r="BA336" s="3" t="s">
        <v>87</v>
      </c>
      <c r="BB336" s="5" t="s">
        <v>5303</v>
      </c>
      <c r="BC336" s="5" t="s">
        <v>5306</v>
      </c>
      <c r="BD336" s="3" t="s">
        <v>5307</v>
      </c>
      <c r="BE336" s="3" t="s">
        <v>88</v>
      </c>
      <c r="BF336" s="3" t="s">
        <v>88</v>
      </c>
    </row>
    <row r="337" spans="1:58" x14ac:dyDescent="0.2">
      <c r="A337" s="2" t="s">
        <v>5308</v>
      </c>
      <c r="B337" s="2" t="s">
        <v>5309</v>
      </c>
      <c r="C337" s="2" t="s">
        <v>60</v>
      </c>
      <c r="D337" s="2" t="s">
        <v>60</v>
      </c>
      <c r="E337" s="2" t="s">
        <v>60</v>
      </c>
      <c r="F337" s="2" t="s">
        <v>60</v>
      </c>
      <c r="G337" s="2" t="s">
        <v>5310</v>
      </c>
      <c r="H337" s="2" t="s">
        <v>60</v>
      </c>
      <c r="I337" s="2" t="s">
        <v>60</v>
      </c>
      <c r="J337" s="2" t="s">
        <v>60</v>
      </c>
      <c r="K337" s="2" t="s">
        <v>5308</v>
      </c>
      <c r="L337" s="2" t="s">
        <v>5311</v>
      </c>
      <c r="M337" s="2" t="s">
        <v>63</v>
      </c>
      <c r="N337" s="2" t="s">
        <v>292</v>
      </c>
      <c r="O337" s="2" t="s">
        <v>4791</v>
      </c>
      <c r="P337" s="2" t="s">
        <v>5312</v>
      </c>
      <c r="Q337" s="2" t="s">
        <v>60</v>
      </c>
      <c r="R337" s="2" t="s">
        <v>5313</v>
      </c>
      <c r="S337" s="2" t="s">
        <v>96</v>
      </c>
      <c r="T337" s="16" t="s">
        <v>60</v>
      </c>
      <c r="U337" s="2" t="s">
        <v>1516</v>
      </c>
      <c r="V337" s="2" t="s">
        <v>71</v>
      </c>
      <c r="W337" s="2" t="s">
        <v>98</v>
      </c>
      <c r="X337" s="8" t="str">
        <f>HYPERLINK("http://www.siec.com.sa", "www.siec.com.sa")</f>
        <v>www.siec.com.sa</v>
      </c>
      <c r="Y337" s="8" t="str">
        <f>HYPERLINK("http://www.linkedin.com/company/siec-sa", "http://www.linkedin.com/company/siec-sa")</f>
        <v>http://www.linkedin.com/company/siec-sa</v>
      </c>
      <c r="Z337" s="28">
        <v>32</v>
      </c>
      <c r="AA337" s="2" t="s">
        <v>5314</v>
      </c>
      <c r="AB337" s="2" t="s">
        <v>74</v>
      </c>
      <c r="AC337" s="2" t="s">
        <v>5315</v>
      </c>
      <c r="AD337" s="40">
        <v>1990</v>
      </c>
      <c r="AE337" s="2" t="s">
        <v>60</v>
      </c>
      <c r="AF337" s="52">
        <v>0</v>
      </c>
      <c r="AG337" s="52">
        <v>-0.01</v>
      </c>
      <c r="AH337" s="52">
        <v>-4.45</v>
      </c>
      <c r="AI337" s="52">
        <v>81.25</v>
      </c>
      <c r="AJ337" s="52">
        <v>-3.31</v>
      </c>
      <c r="AK337" s="52">
        <v>-3.34</v>
      </c>
      <c r="AL337" s="52">
        <v>134.63</v>
      </c>
      <c r="AM337" s="52">
        <v>-9.1300000000000008</v>
      </c>
      <c r="AN337" s="64" t="s">
        <v>60</v>
      </c>
      <c r="AO337" s="4" t="s">
        <v>179</v>
      </c>
      <c r="AP337" s="2" t="s">
        <v>5316</v>
      </c>
      <c r="AQ337" s="2" t="s">
        <v>5317</v>
      </c>
      <c r="AR337" s="2" t="s">
        <v>299</v>
      </c>
      <c r="AS337" s="2" t="s">
        <v>5318</v>
      </c>
      <c r="AT337" s="2" t="s">
        <v>5319</v>
      </c>
      <c r="AU337" s="2" t="s">
        <v>106</v>
      </c>
      <c r="AV337" s="2" t="s">
        <v>5320</v>
      </c>
      <c r="AW337" s="2" t="s">
        <v>60</v>
      </c>
      <c r="AX337" s="2" t="s">
        <v>109</v>
      </c>
      <c r="AY337" s="2" t="s">
        <v>60</v>
      </c>
      <c r="AZ337" s="4" t="s">
        <v>5321</v>
      </c>
      <c r="BA337" s="2" t="s">
        <v>87</v>
      </c>
      <c r="BB337" s="4" t="s">
        <v>5319</v>
      </c>
      <c r="BC337" s="4" t="s">
        <v>5322</v>
      </c>
      <c r="BD337" s="2" t="s">
        <v>60</v>
      </c>
      <c r="BE337" s="2" t="s">
        <v>88</v>
      </c>
      <c r="BF337" s="2" t="s">
        <v>88</v>
      </c>
    </row>
    <row r="338" spans="1:58" x14ac:dyDescent="0.2">
      <c r="A338" s="3" t="s">
        <v>5323</v>
      </c>
      <c r="B338" s="3" t="s">
        <v>5324</v>
      </c>
      <c r="C338" s="3" t="s">
        <v>60</v>
      </c>
      <c r="D338" s="3" t="s">
        <v>60</v>
      </c>
      <c r="E338" s="3" t="s">
        <v>5325</v>
      </c>
      <c r="F338" s="3" t="s">
        <v>60</v>
      </c>
      <c r="G338" s="3" t="s">
        <v>5326</v>
      </c>
      <c r="H338" s="3" t="s">
        <v>60</v>
      </c>
      <c r="I338" s="3" t="s">
        <v>60</v>
      </c>
      <c r="J338" s="3" t="s">
        <v>60</v>
      </c>
      <c r="K338" s="3" t="s">
        <v>5323</v>
      </c>
      <c r="L338" s="3" t="s">
        <v>5327</v>
      </c>
      <c r="M338" s="3" t="s">
        <v>63</v>
      </c>
      <c r="N338" s="3" t="s">
        <v>92</v>
      </c>
      <c r="O338" s="3" t="s">
        <v>584</v>
      </c>
      <c r="P338" s="3" t="s">
        <v>585</v>
      </c>
      <c r="Q338" s="3" t="s">
        <v>260</v>
      </c>
      <c r="R338" s="3" t="s">
        <v>5328</v>
      </c>
      <c r="S338" s="3" t="s">
        <v>96</v>
      </c>
      <c r="T338" s="17" t="s">
        <v>60</v>
      </c>
      <c r="U338" s="3" t="s">
        <v>97</v>
      </c>
      <c r="V338" s="3" t="s">
        <v>71</v>
      </c>
      <c r="W338" s="3" t="s">
        <v>373</v>
      </c>
      <c r="X338" s="9" t="str">
        <f>HYPERLINK("http://www.senaat.com", "www.senaat.com")</f>
        <v>www.senaat.com</v>
      </c>
      <c r="Y338" s="9" t="str">
        <f>HYPERLINK("http://www.linkedin.com/company/zamil.industrial.1", "http://www.linkedin.com/company/zamil.industrial.1")</f>
        <v>http://www.linkedin.com/company/zamil.industrial.1</v>
      </c>
      <c r="Z338" s="29">
        <v>11292</v>
      </c>
      <c r="AA338" s="3" t="s">
        <v>5329</v>
      </c>
      <c r="AB338" s="3" t="s">
        <v>74</v>
      </c>
      <c r="AC338" s="3" t="s">
        <v>5330</v>
      </c>
      <c r="AD338" s="41">
        <v>1998</v>
      </c>
      <c r="AE338" s="3" t="s">
        <v>60</v>
      </c>
      <c r="AF338" s="53">
        <v>1694.84</v>
      </c>
      <c r="AG338" s="53">
        <v>326.51</v>
      </c>
      <c r="AH338" s="53">
        <v>22.75</v>
      </c>
      <c r="AI338" s="53">
        <v>1056.94</v>
      </c>
      <c r="AJ338" s="53">
        <v>109.68</v>
      </c>
      <c r="AK338" s="53">
        <v>82.96</v>
      </c>
      <c r="AL338" s="53">
        <v>676.34</v>
      </c>
      <c r="AM338" s="53">
        <v>482.06</v>
      </c>
      <c r="AN338" s="65">
        <v>14.18</v>
      </c>
      <c r="AO338" s="5" t="s">
        <v>179</v>
      </c>
      <c r="AP338" s="3" t="s">
        <v>5331</v>
      </c>
      <c r="AQ338" s="3" t="s">
        <v>5332</v>
      </c>
      <c r="AR338" s="3" t="s">
        <v>5333</v>
      </c>
      <c r="AS338" s="3" t="s">
        <v>5334</v>
      </c>
      <c r="AT338" s="3" t="s">
        <v>5335</v>
      </c>
      <c r="AU338" s="3" t="s">
        <v>847</v>
      </c>
      <c r="AV338" s="3" t="s">
        <v>5336</v>
      </c>
      <c r="AW338" s="3" t="s">
        <v>60</v>
      </c>
      <c r="AX338" s="3" t="s">
        <v>849</v>
      </c>
      <c r="AY338" s="3" t="s">
        <v>60</v>
      </c>
      <c r="AZ338" s="5" t="s">
        <v>5337</v>
      </c>
      <c r="BA338" s="3" t="s">
        <v>87</v>
      </c>
      <c r="BB338" s="5" t="s">
        <v>5335</v>
      </c>
      <c r="BC338" s="5" t="s">
        <v>5338</v>
      </c>
      <c r="BD338" s="3" t="s">
        <v>5339</v>
      </c>
      <c r="BE338" s="3" t="s">
        <v>88</v>
      </c>
      <c r="BF338" s="3" t="s">
        <v>88</v>
      </c>
    </row>
    <row r="339" spans="1:58" x14ac:dyDescent="0.2">
      <c r="A339" s="2" t="s">
        <v>5340</v>
      </c>
      <c r="B339" s="2" t="s">
        <v>5341</v>
      </c>
      <c r="C339" s="2" t="s">
        <v>60</v>
      </c>
      <c r="D339" s="2" t="s">
        <v>60</v>
      </c>
      <c r="E339" s="2" t="s">
        <v>60</v>
      </c>
      <c r="F339" s="2" t="s">
        <v>60</v>
      </c>
      <c r="G339" s="2" t="s">
        <v>5342</v>
      </c>
      <c r="H339" s="2" t="s">
        <v>60</v>
      </c>
      <c r="I339" s="2" t="s">
        <v>60</v>
      </c>
      <c r="J339" s="2" t="s">
        <v>60</v>
      </c>
      <c r="K339" s="2" t="s">
        <v>5340</v>
      </c>
      <c r="L339" s="2" t="s">
        <v>5343</v>
      </c>
      <c r="M339" s="2" t="s">
        <v>63</v>
      </c>
      <c r="N339" s="2" t="s">
        <v>64</v>
      </c>
      <c r="O339" s="2" t="s">
        <v>530</v>
      </c>
      <c r="P339" s="2" t="s">
        <v>1371</v>
      </c>
      <c r="Q339" s="2" t="s">
        <v>67</v>
      </c>
      <c r="R339" s="2" t="s">
        <v>5344</v>
      </c>
      <c r="S339" s="2" t="s">
        <v>96</v>
      </c>
      <c r="T339" s="16" t="s">
        <v>60</v>
      </c>
      <c r="U339" s="2" t="s">
        <v>1516</v>
      </c>
      <c r="V339" s="2" t="s">
        <v>71</v>
      </c>
      <c r="W339" s="2" t="s">
        <v>98</v>
      </c>
      <c r="X339" s="8" t="str">
        <f>HYPERLINK("http://www.maadaniyah.com", "www.maadaniyah.com")</f>
        <v>www.maadaniyah.com</v>
      </c>
      <c r="Y339" s="2" t="s">
        <v>60</v>
      </c>
      <c r="Z339" s="28">
        <v>600</v>
      </c>
      <c r="AA339" s="2" t="s">
        <v>5345</v>
      </c>
      <c r="AB339" s="2" t="s">
        <v>74</v>
      </c>
      <c r="AC339" s="2" t="s">
        <v>5346</v>
      </c>
      <c r="AD339" s="40">
        <v>1990</v>
      </c>
      <c r="AE339" s="2" t="s">
        <v>60</v>
      </c>
      <c r="AF339" s="52">
        <v>63.16</v>
      </c>
      <c r="AG339" s="52">
        <v>5.21</v>
      </c>
      <c r="AH339" s="52">
        <v>-7.03</v>
      </c>
      <c r="AI339" s="52">
        <v>174.02</v>
      </c>
      <c r="AJ339" s="52">
        <v>-0.71</v>
      </c>
      <c r="AK339" s="52">
        <v>-4.25</v>
      </c>
      <c r="AL339" s="52">
        <v>127.95</v>
      </c>
      <c r="AM339" s="52">
        <v>9.8000000000000007</v>
      </c>
      <c r="AN339" s="64">
        <v>4.01</v>
      </c>
      <c r="AO339" s="4" t="s">
        <v>179</v>
      </c>
      <c r="AP339" s="2" t="s">
        <v>5347</v>
      </c>
      <c r="AQ339" s="2" t="s">
        <v>5348</v>
      </c>
      <c r="AR339" s="2" t="s">
        <v>124</v>
      </c>
      <c r="AS339" s="2" t="s">
        <v>5349</v>
      </c>
      <c r="AT339" s="2" t="s">
        <v>5350</v>
      </c>
      <c r="AU339" s="2" t="s">
        <v>2508</v>
      </c>
      <c r="AV339" s="2" t="s">
        <v>5351</v>
      </c>
      <c r="AW339" s="2" t="s">
        <v>5352</v>
      </c>
      <c r="AX339" s="2" t="s">
        <v>2511</v>
      </c>
      <c r="AY339" s="2" t="s">
        <v>60</v>
      </c>
      <c r="AZ339" s="4" t="s">
        <v>2512</v>
      </c>
      <c r="BA339" s="2" t="s">
        <v>87</v>
      </c>
      <c r="BB339" s="4" t="s">
        <v>5350</v>
      </c>
      <c r="BC339" s="4" t="s">
        <v>5353</v>
      </c>
      <c r="BD339" s="2" t="s">
        <v>5354</v>
      </c>
      <c r="BE339" s="2" t="s">
        <v>88</v>
      </c>
      <c r="BF339" s="2" t="s">
        <v>88</v>
      </c>
    </row>
    <row r="340" spans="1:58" x14ac:dyDescent="0.2">
      <c r="A340" s="3" t="s">
        <v>5355</v>
      </c>
      <c r="B340" s="3" t="s">
        <v>5356</v>
      </c>
      <c r="C340" s="3" t="s">
        <v>60</v>
      </c>
      <c r="D340" s="3" t="s">
        <v>60</v>
      </c>
      <c r="E340" s="3" t="s">
        <v>60</v>
      </c>
      <c r="F340" s="3" t="s">
        <v>60</v>
      </c>
      <c r="G340" s="3" t="s">
        <v>5357</v>
      </c>
      <c r="H340" s="3" t="s">
        <v>60</v>
      </c>
      <c r="I340" s="3" t="s">
        <v>60</v>
      </c>
      <c r="J340" s="3" t="s">
        <v>60</v>
      </c>
      <c r="K340" s="3" t="s">
        <v>5355</v>
      </c>
      <c r="L340" s="3" t="s">
        <v>5358</v>
      </c>
      <c r="M340" s="3" t="s">
        <v>241</v>
      </c>
      <c r="N340" s="3" t="s">
        <v>1219</v>
      </c>
      <c r="O340" s="3" t="s">
        <v>5359</v>
      </c>
      <c r="P340" s="3" t="s">
        <v>5360</v>
      </c>
      <c r="Q340" s="3" t="s">
        <v>60</v>
      </c>
      <c r="R340" s="3" t="s">
        <v>5361</v>
      </c>
      <c r="S340" s="3" t="s">
        <v>96</v>
      </c>
      <c r="T340" s="17" t="s">
        <v>60</v>
      </c>
      <c r="U340" s="3" t="s">
        <v>1516</v>
      </c>
      <c r="V340" s="3" t="s">
        <v>71</v>
      </c>
      <c r="W340" s="3" t="s">
        <v>98</v>
      </c>
      <c r="X340" s="9" t="str">
        <f>HYPERLINK("http://www.alasmak.com.sa", "www.alasmak.com.sa")</f>
        <v>www.alasmak.com.sa</v>
      </c>
      <c r="Y340" s="9" t="str">
        <f>HYPERLINK("http://www.linkedin.com/company/alasmak", "http://www.linkedin.com/company/alasmak")</f>
        <v>http://www.linkedin.com/company/alasmak</v>
      </c>
      <c r="Z340" s="29">
        <v>930</v>
      </c>
      <c r="AA340" s="3" t="s">
        <v>5362</v>
      </c>
      <c r="AB340" s="3" t="s">
        <v>74</v>
      </c>
      <c r="AC340" s="3" t="s">
        <v>5363</v>
      </c>
      <c r="AD340" s="41">
        <v>1980</v>
      </c>
      <c r="AE340" s="3" t="s">
        <v>60</v>
      </c>
      <c r="AF340" s="53">
        <v>1.25</v>
      </c>
      <c r="AG340" s="53" t="s">
        <v>60</v>
      </c>
      <c r="AH340" s="53">
        <v>-2.93</v>
      </c>
      <c r="AI340" s="53">
        <v>176.41</v>
      </c>
      <c r="AJ340" s="53">
        <v>-0.7</v>
      </c>
      <c r="AK340" s="53">
        <v>-3.14</v>
      </c>
      <c r="AL340" s="53">
        <v>109.43</v>
      </c>
      <c r="AM340" s="53">
        <v>1.06</v>
      </c>
      <c r="AN340" s="65">
        <v>-82.65</v>
      </c>
      <c r="AO340" s="5" t="s">
        <v>179</v>
      </c>
      <c r="AP340" s="3" t="s">
        <v>5364</v>
      </c>
      <c r="AQ340" s="3" t="s">
        <v>5365</v>
      </c>
      <c r="AR340" s="3" t="s">
        <v>79</v>
      </c>
      <c r="AS340" s="3" t="s">
        <v>60</v>
      </c>
      <c r="AT340" s="3" t="s">
        <v>5366</v>
      </c>
      <c r="AU340" s="3" t="s">
        <v>106</v>
      </c>
      <c r="AV340" s="3" t="s">
        <v>5367</v>
      </c>
      <c r="AW340" s="3" t="s">
        <v>5368</v>
      </c>
      <c r="AX340" s="3" t="s">
        <v>109</v>
      </c>
      <c r="AY340" s="3" t="s">
        <v>60</v>
      </c>
      <c r="AZ340" s="5" t="s">
        <v>5369</v>
      </c>
      <c r="BA340" s="3" t="s">
        <v>87</v>
      </c>
      <c r="BB340" s="5" t="s">
        <v>5366</v>
      </c>
      <c r="BC340" s="5" t="s">
        <v>5370</v>
      </c>
      <c r="BD340" s="3" t="s">
        <v>5371</v>
      </c>
      <c r="BE340" s="3" t="s">
        <v>88</v>
      </c>
      <c r="BF340" s="3" t="s">
        <v>88</v>
      </c>
    </row>
    <row r="341" spans="1:58" x14ac:dyDescent="0.2">
      <c r="A341" s="2" t="s">
        <v>5372</v>
      </c>
      <c r="B341" s="2" t="s">
        <v>5373</v>
      </c>
      <c r="C341" s="2" t="s">
        <v>60</v>
      </c>
      <c r="D341" s="2" t="s">
        <v>60</v>
      </c>
      <c r="E341" s="2" t="s">
        <v>5374</v>
      </c>
      <c r="F341" s="2" t="s">
        <v>5375</v>
      </c>
      <c r="G341" s="2" t="s">
        <v>5376</v>
      </c>
      <c r="H341" s="2" t="s">
        <v>60</v>
      </c>
      <c r="I341" s="2" t="s">
        <v>60</v>
      </c>
      <c r="J341" s="2" t="s">
        <v>60</v>
      </c>
      <c r="K341" s="2" t="s">
        <v>5372</v>
      </c>
      <c r="L341" s="2" t="s">
        <v>5377</v>
      </c>
      <c r="M341" s="2" t="s">
        <v>115</v>
      </c>
      <c r="N341" s="2" t="s">
        <v>275</v>
      </c>
      <c r="O341" s="2" t="s">
        <v>1762</v>
      </c>
      <c r="P341" s="2" t="s">
        <v>5378</v>
      </c>
      <c r="Q341" s="2" t="s">
        <v>67</v>
      </c>
      <c r="R341" s="2" t="s">
        <v>5379</v>
      </c>
      <c r="S341" s="2" t="s">
        <v>96</v>
      </c>
      <c r="T341" s="16" t="s">
        <v>60</v>
      </c>
      <c r="U341" s="2" t="s">
        <v>97</v>
      </c>
      <c r="V341" s="2" t="s">
        <v>71</v>
      </c>
      <c r="W341" s="2" t="s">
        <v>98</v>
      </c>
      <c r="X341" s="8" t="str">
        <f>HYPERLINK("http://www.fitaihi.com.sa", "www.fitaihi.com.sa")</f>
        <v>www.fitaihi.com.sa</v>
      </c>
      <c r="Y341" s="2" t="s">
        <v>60</v>
      </c>
      <c r="Z341" s="28">
        <v>460</v>
      </c>
      <c r="AA341" s="2" t="s">
        <v>5380</v>
      </c>
      <c r="AB341" s="2" t="s">
        <v>74</v>
      </c>
      <c r="AC341" s="2" t="s">
        <v>5381</v>
      </c>
      <c r="AD341" s="40">
        <v>1992</v>
      </c>
      <c r="AE341" s="2" t="s">
        <v>60</v>
      </c>
      <c r="AF341" s="52">
        <v>12.43</v>
      </c>
      <c r="AG341" s="52">
        <v>4.7300000000000004</v>
      </c>
      <c r="AH341" s="52">
        <v>2.11</v>
      </c>
      <c r="AI341" s="52">
        <v>244.03</v>
      </c>
      <c r="AJ341" s="52">
        <v>3.66</v>
      </c>
      <c r="AK341" s="52">
        <v>2.9</v>
      </c>
      <c r="AL341" s="52">
        <v>208.76</v>
      </c>
      <c r="AM341" s="52">
        <v>-1.0900000000000001</v>
      </c>
      <c r="AN341" s="64">
        <v>22.86</v>
      </c>
      <c r="AO341" s="4" t="s">
        <v>179</v>
      </c>
      <c r="AP341" s="2" t="s">
        <v>5382</v>
      </c>
      <c r="AQ341" s="2" t="s">
        <v>5383</v>
      </c>
      <c r="AR341" s="2" t="s">
        <v>5384</v>
      </c>
      <c r="AS341" s="2" t="s">
        <v>5385</v>
      </c>
      <c r="AT341" s="2" t="s">
        <v>5386</v>
      </c>
      <c r="AU341" s="2" t="s">
        <v>82</v>
      </c>
      <c r="AV341" s="2" t="s">
        <v>5387</v>
      </c>
      <c r="AW341" s="2" t="s">
        <v>5388</v>
      </c>
      <c r="AX341" s="2" t="s">
        <v>85</v>
      </c>
      <c r="AY341" s="2" t="s">
        <v>60</v>
      </c>
      <c r="AZ341" s="4" t="s">
        <v>5389</v>
      </c>
      <c r="BA341" s="2" t="s">
        <v>87</v>
      </c>
      <c r="BB341" s="4" t="s">
        <v>5386</v>
      </c>
      <c r="BC341" s="4" t="s">
        <v>60</v>
      </c>
      <c r="BD341" s="2" t="s">
        <v>5390</v>
      </c>
      <c r="BE341" s="2" t="s">
        <v>88</v>
      </c>
      <c r="BF341" s="2" t="s">
        <v>88</v>
      </c>
    </row>
    <row r="342" spans="1:58" x14ac:dyDescent="0.2">
      <c r="A342" s="3" t="s">
        <v>5391</v>
      </c>
      <c r="B342" s="3" t="s">
        <v>5392</v>
      </c>
      <c r="C342" s="3" t="s">
        <v>60</v>
      </c>
      <c r="D342" s="3" t="s">
        <v>60</v>
      </c>
      <c r="E342" s="3" t="s">
        <v>60</v>
      </c>
      <c r="F342" s="3" t="s">
        <v>60</v>
      </c>
      <c r="G342" s="3" t="s">
        <v>5393</v>
      </c>
      <c r="H342" s="3" t="s">
        <v>60</v>
      </c>
      <c r="I342" s="3" t="s">
        <v>60</v>
      </c>
      <c r="J342" s="3" t="s">
        <v>5394</v>
      </c>
      <c r="K342" s="3" t="s">
        <v>5391</v>
      </c>
      <c r="L342" s="3" t="s">
        <v>5395</v>
      </c>
      <c r="M342" s="3" t="s">
        <v>63</v>
      </c>
      <c r="N342" s="3" t="s">
        <v>92</v>
      </c>
      <c r="O342" s="3" t="s">
        <v>584</v>
      </c>
      <c r="P342" s="3" t="s">
        <v>893</v>
      </c>
      <c r="Q342" s="3" t="s">
        <v>60</v>
      </c>
      <c r="R342" s="3" t="s">
        <v>5396</v>
      </c>
      <c r="S342" s="3" t="s">
        <v>96</v>
      </c>
      <c r="T342" s="17" t="s">
        <v>60</v>
      </c>
      <c r="U342" s="3" t="s">
        <v>97</v>
      </c>
      <c r="V342" s="3" t="s">
        <v>71</v>
      </c>
      <c r="W342" s="3" t="s">
        <v>98</v>
      </c>
      <c r="X342" s="9" t="str">
        <f>HYPERLINK("http://riyadh.dev", "riyadh.dev")</f>
        <v>riyadh.dev</v>
      </c>
      <c r="Y342" s="9" t="str">
        <f>HYPERLINK("http://www.linkedin.com/company/arriyadh-developmentcompany", "http://www.linkedin.com/company/arriyadh-developmentcompany")</f>
        <v>http://www.linkedin.com/company/arriyadh-developmentcompany</v>
      </c>
      <c r="Z342" s="29">
        <v>145</v>
      </c>
      <c r="AA342" s="3" t="s">
        <v>5397</v>
      </c>
      <c r="AB342" s="3" t="s">
        <v>74</v>
      </c>
      <c r="AC342" s="3" t="s">
        <v>5398</v>
      </c>
      <c r="AD342" s="41">
        <v>1994</v>
      </c>
      <c r="AE342" s="3" t="s">
        <v>60</v>
      </c>
      <c r="AF342" s="53">
        <v>105.62</v>
      </c>
      <c r="AG342" s="53">
        <v>73.319999999999993</v>
      </c>
      <c r="AH342" s="53">
        <v>90.8</v>
      </c>
      <c r="AI342" s="53">
        <v>1598.29</v>
      </c>
      <c r="AJ342" s="53">
        <v>93.49</v>
      </c>
      <c r="AK342" s="53">
        <v>81.98</v>
      </c>
      <c r="AL342" s="53">
        <v>1270.49</v>
      </c>
      <c r="AM342" s="53">
        <v>-281.2</v>
      </c>
      <c r="AN342" s="65">
        <v>11</v>
      </c>
      <c r="AO342" s="5" t="s">
        <v>179</v>
      </c>
      <c r="AP342" s="3" t="s">
        <v>5399</v>
      </c>
      <c r="AQ342" s="3" t="s">
        <v>5400</v>
      </c>
      <c r="AR342" s="3" t="s">
        <v>79</v>
      </c>
      <c r="AS342" s="3" t="s">
        <v>5401</v>
      </c>
      <c r="AT342" s="3" t="s">
        <v>5402</v>
      </c>
      <c r="AU342" s="3" t="s">
        <v>106</v>
      </c>
      <c r="AV342" s="3" t="s">
        <v>5403</v>
      </c>
      <c r="AW342" s="3" t="s">
        <v>5404</v>
      </c>
      <c r="AX342" s="3" t="s">
        <v>109</v>
      </c>
      <c r="AY342" s="3" t="s">
        <v>60</v>
      </c>
      <c r="AZ342" s="5" t="s">
        <v>5405</v>
      </c>
      <c r="BA342" s="3" t="s">
        <v>87</v>
      </c>
      <c r="BB342" s="5" t="s">
        <v>5402</v>
      </c>
      <c r="BC342" s="5" t="s">
        <v>5406</v>
      </c>
      <c r="BD342" s="3" t="s">
        <v>60</v>
      </c>
      <c r="BE342" s="3" t="s">
        <v>88</v>
      </c>
      <c r="BF342" s="3" t="s">
        <v>88</v>
      </c>
    </row>
    <row r="343" spans="1:58" x14ac:dyDescent="0.2">
      <c r="A343" s="2" t="s">
        <v>5407</v>
      </c>
      <c r="B343" s="2" t="s">
        <v>5408</v>
      </c>
      <c r="C343" s="2" t="s">
        <v>60</v>
      </c>
      <c r="D343" s="2" t="s">
        <v>60</v>
      </c>
      <c r="E343" s="2" t="s">
        <v>60</v>
      </c>
      <c r="F343" s="2" t="s">
        <v>60</v>
      </c>
      <c r="G343" s="2" t="s">
        <v>5409</v>
      </c>
      <c r="H343" s="2" t="s">
        <v>60</v>
      </c>
      <c r="I343" s="2" t="s">
        <v>60</v>
      </c>
      <c r="J343" s="2" t="s">
        <v>60</v>
      </c>
      <c r="K343" s="2" t="s">
        <v>5407</v>
      </c>
      <c r="L343" s="2" t="s">
        <v>5410</v>
      </c>
      <c r="M343" s="2" t="s">
        <v>241</v>
      </c>
      <c r="N343" s="2" t="s">
        <v>839</v>
      </c>
      <c r="O343" s="2" t="s">
        <v>2402</v>
      </c>
      <c r="P343" s="2" t="s">
        <v>5411</v>
      </c>
      <c r="Q343" s="2" t="s">
        <v>60</v>
      </c>
      <c r="R343" s="2" t="s">
        <v>5412</v>
      </c>
      <c r="S343" s="2" t="s">
        <v>96</v>
      </c>
      <c r="T343" s="16" t="s">
        <v>60</v>
      </c>
      <c r="U343" s="2" t="s">
        <v>97</v>
      </c>
      <c r="V343" s="2" t="s">
        <v>71</v>
      </c>
      <c r="W343" s="2" t="s">
        <v>98</v>
      </c>
      <c r="X343" s="8" t="str">
        <f>HYPERLINK("http://www.nama.com.sa", "www.nama.com.sa")</f>
        <v>www.nama.com.sa</v>
      </c>
      <c r="Y343" s="2" t="s">
        <v>60</v>
      </c>
      <c r="Z343" s="28">
        <v>375</v>
      </c>
      <c r="AA343" s="2" t="s">
        <v>5413</v>
      </c>
      <c r="AB343" s="2" t="s">
        <v>74</v>
      </c>
      <c r="AC343" s="2" t="s">
        <v>5414</v>
      </c>
      <c r="AD343" s="40">
        <v>1992</v>
      </c>
      <c r="AE343" s="2" t="s">
        <v>60</v>
      </c>
      <c r="AF343" s="52">
        <v>62.79</v>
      </c>
      <c r="AG343" s="52">
        <v>-36.07</v>
      </c>
      <c r="AH343" s="52">
        <v>20.74</v>
      </c>
      <c r="AI343" s="52">
        <v>327.92</v>
      </c>
      <c r="AJ343" s="52">
        <v>54</v>
      </c>
      <c r="AK343" s="52">
        <v>29.65</v>
      </c>
      <c r="AL343" s="52">
        <v>141.77000000000001</v>
      </c>
      <c r="AM343" s="52">
        <v>160.81</v>
      </c>
      <c r="AN343" s="64">
        <v>-38.549999999999997</v>
      </c>
      <c r="AO343" s="4" t="s">
        <v>179</v>
      </c>
      <c r="AP343" s="2" t="s">
        <v>5415</v>
      </c>
      <c r="AQ343" s="2" t="s">
        <v>5416</v>
      </c>
      <c r="AR343" s="2" t="s">
        <v>124</v>
      </c>
      <c r="AS343" s="2" t="s">
        <v>5417</v>
      </c>
      <c r="AT343" s="2" t="s">
        <v>5418</v>
      </c>
      <c r="AU343" s="2" t="s">
        <v>2508</v>
      </c>
      <c r="AV343" s="2" t="s">
        <v>5419</v>
      </c>
      <c r="AW343" s="2" t="s">
        <v>5420</v>
      </c>
      <c r="AX343" s="2" t="s">
        <v>2511</v>
      </c>
      <c r="AY343" s="2" t="s">
        <v>60</v>
      </c>
      <c r="AZ343" s="4" t="s">
        <v>5421</v>
      </c>
      <c r="BA343" s="2" t="s">
        <v>87</v>
      </c>
      <c r="BB343" s="4" t="s">
        <v>5418</v>
      </c>
      <c r="BC343" s="4" t="s">
        <v>5422</v>
      </c>
      <c r="BD343" s="2" t="s">
        <v>5423</v>
      </c>
      <c r="BE343" s="2" t="s">
        <v>88</v>
      </c>
      <c r="BF343" s="2" t="s">
        <v>88</v>
      </c>
    </row>
    <row r="344" spans="1:58" x14ac:dyDescent="0.2">
      <c r="A344" s="3" t="s">
        <v>5424</v>
      </c>
      <c r="B344" s="3" t="s">
        <v>5425</v>
      </c>
      <c r="C344" s="3" t="s">
        <v>60</v>
      </c>
      <c r="D344" s="3" t="s">
        <v>60</v>
      </c>
      <c r="E344" s="3" t="s">
        <v>60</v>
      </c>
      <c r="F344" s="3" t="s">
        <v>60</v>
      </c>
      <c r="G344" s="3" t="s">
        <v>5426</v>
      </c>
      <c r="H344" s="3" t="s">
        <v>60</v>
      </c>
      <c r="I344" s="3" t="s">
        <v>60</v>
      </c>
      <c r="J344" s="3" t="s">
        <v>60</v>
      </c>
      <c r="K344" s="3" t="s">
        <v>5424</v>
      </c>
      <c r="L344" s="3" t="s">
        <v>5427</v>
      </c>
      <c r="M344" s="3" t="s">
        <v>63</v>
      </c>
      <c r="N344" s="3" t="s">
        <v>92</v>
      </c>
      <c r="O344" s="3" t="s">
        <v>438</v>
      </c>
      <c r="P344" s="3" t="s">
        <v>439</v>
      </c>
      <c r="Q344" s="3" t="s">
        <v>60</v>
      </c>
      <c r="R344" s="3" t="s">
        <v>5428</v>
      </c>
      <c r="S344" s="3" t="s">
        <v>96</v>
      </c>
      <c r="T344" s="17" t="s">
        <v>60</v>
      </c>
      <c r="U344" s="3" t="s">
        <v>1516</v>
      </c>
      <c r="V344" s="3" t="s">
        <v>71</v>
      </c>
      <c r="W344" s="3" t="s">
        <v>98</v>
      </c>
      <c r="X344" s="9" t="str">
        <f>HYPERLINK("http://www.tihama.com", "www.tihama.com")</f>
        <v>www.tihama.com</v>
      </c>
      <c r="Y344" s="9" t="str">
        <f>HYPERLINK("http://www.linkedin.com/company/tihama-for-advertising-public-relations&amp;marketing", "http://www.linkedin.com/company/tihama-for-advertising-public-relations&amp;marketing")</f>
        <v>http://www.linkedin.com/company/tihama-for-advertising-public-relations&amp;marketing</v>
      </c>
      <c r="Z344" s="29">
        <v>148</v>
      </c>
      <c r="AA344" s="3" t="s">
        <v>5429</v>
      </c>
      <c r="AB344" s="3" t="s">
        <v>74</v>
      </c>
      <c r="AC344" s="3" t="s">
        <v>5430</v>
      </c>
      <c r="AD344" s="41">
        <v>1983</v>
      </c>
      <c r="AE344" s="3" t="s">
        <v>60</v>
      </c>
      <c r="AF344" s="53">
        <v>14.18</v>
      </c>
      <c r="AG344" s="53">
        <v>4</v>
      </c>
      <c r="AH344" s="53">
        <v>-7.27</v>
      </c>
      <c r="AI344" s="53">
        <v>134.06</v>
      </c>
      <c r="AJ344" s="53">
        <v>-2.99</v>
      </c>
      <c r="AK344" s="53">
        <v>-7.78</v>
      </c>
      <c r="AL344" s="53">
        <v>96.28</v>
      </c>
      <c r="AM344" s="53">
        <v>-45.96</v>
      </c>
      <c r="AN344" s="65">
        <v>-29.88</v>
      </c>
      <c r="AO344" s="5" t="s">
        <v>2522</v>
      </c>
      <c r="AP344" s="3" t="s">
        <v>5431</v>
      </c>
      <c r="AQ344" s="3" t="s">
        <v>5432</v>
      </c>
      <c r="AR344" s="3" t="s">
        <v>124</v>
      </c>
      <c r="AS344" s="3" t="s">
        <v>60</v>
      </c>
      <c r="AT344" s="3" t="s">
        <v>5433</v>
      </c>
      <c r="AU344" s="3" t="s">
        <v>106</v>
      </c>
      <c r="AV344" s="3" t="s">
        <v>5434</v>
      </c>
      <c r="AW344" s="3" t="s">
        <v>5435</v>
      </c>
      <c r="AX344" s="3" t="s">
        <v>109</v>
      </c>
      <c r="AY344" s="3" t="s">
        <v>60</v>
      </c>
      <c r="AZ344" s="5" t="s">
        <v>269</v>
      </c>
      <c r="BA344" s="3" t="s">
        <v>87</v>
      </c>
      <c r="BB344" s="5" t="s">
        <v>5433</v>
      </c>
      <c r="BC344" s="5" t="s">
        <v>5436</v>
      </c>
      <c r="BD344" s="3" t="s">
        <v>5437</v>
      </c>
      <c r="BE344" s="3" t="s">
        <v>88</v>
      </c>
      <c r="BF344" s="3" t="s">
        <v>88</v>
      </c>
    </row>
    <row r="345" spans="1:58" x14ac:dyDescent="0.2">
      <c r="A345" s="2" t="s">
        <v>5438</v>
      </c>
      <c r="B345" s="2" t="s">
        <v>5439</v>
      </c>
      <c r="C345" s="2" t="s">
        <v>60</v>
      </c>
      <c r="D345" s="2" t="s">
        <v>60</v>
      </c>
      <c r="E345" s="2" t="s">
        <v>5440</v>
      </c>
      <c r="F345" s="2" t="s">
        <v>60</v>
      </c>
      <c r="G345" s="2" t="s">
        <v>5441</v>
      </c>
      <c r="H345" s="2" t="s">
        <v>60</v>
      </c>
      <c r="I345" s="2" t="s">
        <v>60</v>
      </c>
      <c r="J345" s="2" t="s">
        <v>60</v>
      </c>
      <c r="K345" s="2" t="s">
        <v>5438</v>
      </c>
      <c r="L345" s="2" t="s">
        <v>5442</v>
      </c>
      <c r="M345" s="2" t="s">
        <v>63</v>
      </c>
      <c r="N345" s="2" t="s">
        <v>92</v>
      </c>
      <c r="O345" s="2" t="s">
        <v>3109</v>
      </c>
      <c r="P345" s="2" t="s">
        <v>5443</v>
      </c>
      <c r="Q345" s="2" t="s">
        <v>60</v>
      </c>
      <c r="R345" s="2" t="s">
        <v>5444</v>
      </c>
      <c r="S345" s="2" t="s">
        <v>96</v>
      </c>
      <c r="T345" s="16" t="s">
        <v>60</v>
      </c>
      <c r="U345" s="2" t="s">
        <v>97</v>
      </c>
      <c r="V345" s="2" t="s">
        <v>71</v>
      </c>
      <c r="W345" s="2" t="s">
        <v>98</v>
      </c>
      <c r="X345" s="8" t="str">
        <f>HYPERLINK("http://www.anaamgroup.com", "www.anaamgroup.com")</f>
        <v>www.anaamgroup.com</v>
      </c>
      <c r="Y345" s="8" t="str">
        <f>HYPERLINK("http://www.linkedin.com/company/anaamgroup", "http://www.linkedin.com/company/anaamgroup")</f>
        <v>http://www.linkedin.com/company/anaamgroup</v>
      </c>
      <c r="Z345" s="28">
        <v>194</v>
      </c>
      <c r="AA345" s="2" t="s">
        <v>5445</v>
      </c>
      <c r="AB345" s="2" t="s">
        <v>74</v>
      </c>
      <c r="AC345" s="2" t="s">
        <v>5446</v>
      </c>
      <c r="AD345" s="40">
        <v>1980</v>
      </c>
      <c r="AE345" s="2" t="s">
        <v>60</v>
      </c>
      <c r="AF345" s="52">
        <v>10.35</v>
      </c>
      <c r="AG345" s="52">
        <v>6.03</v>
      </c>
      <c r="AH345" s="52">
        <v>-2.92</v>
      </c>
      <c r="AI345" s="52">
        <v>175.27</v>
      </c>
      <c r="AJ345" s="52">
        <v>0.91</v>
      </c>
      <c r="AK345" s="52">
        <v>-0.16</v>
      </c>
      <c r="AL345" s="52">
        <v>102.19</v>
      </c>
      <c r="AM345" s="52">
        <v>38.619999999999997</v>
      </c>
      <c r="AN345" s="64">
        <v>-19.84</v>
      </c>
      <c r="AO345" s="4" t="s">
        <v>179</v>
      </c>
      <c r="AP345" s="2" t="s">
        <v>5447</v>
      </c>
      <c r="AQ345" s="2" t="s">
        <v>5448</v>
      </c>
      <c r="AR345" s="2" t="s">
        <v>5449</v>
      </c>
      <c r="AS345" s="2" t="s">
        <v>60</v>
      </c>
      <c r="AT345" s="2" t="s">
        <v>5450</v>
      </c>
      <c r="AU345" s="2" t="s">
        <v>82</v>
      </c>
      <c r="AV345" s="2" t="s">
        <v>5451</v>
      </c>
      <c r="AW345" s="2" t="s">
        <v>2166</v>
      </c>
      <c r="AX345" s="2" t="s">
        <v>85</v>
      </c>
      <c r="AY345" s="2" t="s">
        <v>60</v>
      </c>
      <c r="AZ345" s="4" t="s">
        <v>5452</v>
      </c>
      <c r="BA345" s="2" t="s">
        <v>87</v>
      </c>
      <c r="BB345" s="4" t="s">
        <v>5450</v>
      </c>
      <c r="BC345" s="4" t="s">
        <v>5453</v>
      </c>
      <c r="BD345" s="2" t="s">
        <v>5454</v>
      </c>
      <c r="BE345" s="2" t="s">
        <v>88</v>
      </c>
      <c r="BF345" s="2" t="s">
        <v>88</v>
      </c>
    </row>
    <row r="346" spans="1:58" x14ac:dyDescent="0.2">
      <c r="A346" s="3" t="s">
        <v>5455</v>
      </c>
      <c r="B346" s="3" t="s">
        <v>5456</v>
      </c>
      <c r="C346" s="3" t="s">
        <v>60</v>
      </c>
      <c r="D346" s="3" t="s">
        <v>60</v>
      </c>
      <c r="E346" s="3" t="s">
        <v>60</v>
      </c>
      <c r="F346" s="3" t="s">
        <v>5457</v>
      </c>
      <c r="G346" s="3" t="s">
        <v>5458</v>
      </c>
      <c r="H346" s="3" t="s">
        <v>60</v>
      </c>
      <c r="I346" s="3" t="s">
        <v>60</v>
      </c>
      <c r="J346" s="3" t="s">
        <v>5459</v>
      </c>
      <c r="K346" s="3" t="s">
        <v>5455</v>
      </c>
      <c r="L346" s="3" t="s">
        <v>5460</v>
      </c>
      <c r="M346" s="3" t="s">
        <v>328</v>
      </c>
      <c r="N346" s="3" t="s">
        <v>329</v>
      </c>
      <c r="O346" s="3" t="s">
        <v>5461</v>
      </c>
      <c r="P346" s="3" t="s">
        <v>5462</v>
      </c>
      <c r="Q346" s="3" t="s">
        <v>67</v>
      </c>
      <c r="R346" s="3" t="s">
        <v>5463</v>
      </c>
      <c r="S346" s="3" t="s">
        <v>96</v>
      </c>
      <c r="T346" s="17" t="s">
        <v>60</v>
      </c>
      <c r="U346" s="3" t="s">
        <v>97</v>
      </c>
      <c r="V346" s="3" t="s">
        <v>71</v>
      </c>
      <c r="W346" s="3" t="s">
        <v>98</v>
      </c>
      <c r="X346" s="9" t="str">
        <f>HYPERLINK("http://www.spimaco.com.sa", "www.spimaco.com.sa")</f>
        <v>www.spimaco.com.sa</v>
      </c>
      <c r="Y346" s="9" t="str">
        <f>HYPERLINK("http://www.linkedin.com/company/spimaco", "http://www.linkedin.com/company/spimaco")</f>
        <v>http://www.linkedin.com/company/spimaco</v>
      </c>
      <c r="Z346" s="29">
        <v>309</v>
      </c>
      <c r="AA346" s="3" t="s">
        <v>5464</v>
      </c>
      <c r="AB346" s="3" t="s">
        <v>74</v>
      </c>
      <c r="AC346" s="3" t="s">
        <v>5465</v>
      </c>
      <c r="AD346" s="41">
        <v>1986</v>
      </c>
      <c r="AE346" s="3" t="s">
        <v>60</v>
      </c>
      <c r="AF346" s="53">
        <v>448.93</v>
      </c>
      <c r="AG346" s="53">
        <v>218.32</v>
      </c>
      <c r="AH346" s="53">
        <v>34.270000000000003</v>
      </c>
      <c r="AI346" s="53">
        <v>1280.3599999999999</v>
      </c>
      <c r="AJ346" s="53">
        <v>98.4</v>
      </c>
      <c r="AK346" s="53">
        <v>71.42</v>
      </c>
      <c r="AL346" s="53">
        <v>947.38</v>
      </c>
      <c r="AM346" s="53">
        <v>287.45</v>
      </c>
      <c r="AN346" s="65">
        <v>3.36</v>
      </c>
      <c r="AO346" s="5" t="s">
        <v>179</v>
      </c>
      <c r="AP346" s="3" t="s">
        <v>5466</v>
      </c>
      <c r="AQ346" s="3" t="s">
        <v>5467</v>
      </c>
      <c r="AR346" s="3" t="s">
        <v>124</v>
      </c>
      <c r="AS346" s="3" t="s">
        <v>5468</v>
      </c>
      <c r="AT346" s="3" t="s">
        <v>5469</v>
      </c>
      <c r="AU346" s="3" t="s">
        <v>106</v>
      </c>
      <c r="AV346" s="3" t="s">
        <v>5470</v>
      </c>
      <c r="AW346" s="3" t="s">
        <v>60</v>
      </c>
      <c r="AX346" s="3" t="s">
        <v>109</v>
      </c>
      <c r="AY346" s="3" t="s">
        <v>60</v>
      </c>
      <c r="AZ346" s="5" t="s">
        <v>2880</v>
      </c>
      <c r="BA346" s="3" t="s">
        <v>87</v>
      </c>
      <c r="BB346" s="5" t="s">
        <v>5469</v>
      </c>
      <c r="BC346" s="5" t="s">
        <v>5471</v>
      </c>
      <c r="BD346" s="3" t="s">
        <v>5472</v>
      </c>
      <c r="BE346" s="3" t="s">
        <v>88</v>
      </c>
      <c r="BF346" s="3" t="s">
        <v>88</v>
      </c>
    </row>
    <row r="347" spans="1:58" x14ac:dyDescent="0.2">
      <c r="A347" s="2" t="s">
        <v>5473</v>
      </c>
      <c r="B347" s="2" t="s">
        <v>5474</v>
      </c>
      <c r="C347" s="2" t="s">
        <v>60</v>
      </c>
      <c r="D347" s="2" t="s">
        <v>60</v>
      </c>
      <c r="E347" s="2" t="s">
        <v>60</v>
      </c>
      <c r="F347" s="2" t="s">
        <v>60</v>
      </c>
      <c r="G347" s="2" t="s">
        <v>5475</v>
      </c>
      <c r="H347" s="2" t="s">
        <v>60</v>
      </c>
      <c r="I347" s="2" t="s">
        <v>60</v>
      </c>
      <c r="J347" s="2" t="s">
        <v>60</v>
      </c>
      <c r="K347" s="2" t="s">
        <v>5473</v>
      </c>
      <c r="L347" s="2" t="s">
        <v>5476</v>
      </c>
      <c r="M347" s="2" t="s">
        <v>134</v>
      </c>
      <c r="N347" s="2" t="s">
        <v>135</v>
      </c>
      <c r="O347" s="2" t="s">
        <v>135</v>
      </c>
      <c r="P347" s="2" t="s">
        <v>5477</v>
      </c>
      <c r="Q347" s="2" t="s">
        <v>60</v>
      </c>
      <c r="R347" s="2" t="s">
        <v>5478</v>
      </c>
      <c r="S347" s="2" t="s">
        <v>96</v>
      </c>
      <c r="T347" s="16" t="s">
        <v>60</v>
      </c>
      <c r="U347" s="2" t="s">
        <v>1516</v>
      </c>
      <c r="V347" s="2" t="s">
        <v>71</v>
      </c>
      <c r="W347" s="2" t="s">
        <v>98</v>
      </c>
      <c r="X347" s="8" t="str">
        <f>HYPERLINK("http://www.ayyan.com.sa", "www.ayyan.com.sa")</f>
        <v>www.ayyan.com.sa</v>
      </c>
      <c r="Y347" s="8" t="str">
        <f>HYPERLINK("http://www.linkedin.com/company/al-ahsa-development-co-", "http://www.linkedin.com/company/al-ahsa-development-co-")</f>
        <v>http://www.linkedin.com/company/al-ahsa-development-co-</v>
      </c>
      <c r="Z347" s="28">
        <v>700</v>
      </c>
      <c r="AA347" s="2" t="s">
        <v>5479</v>
      </c>
      <c r="AB347" s="2" t="s">
        <v>74</v>
      </c>
      <c r="AC347" s="2" t="s">
        <v>5480</v>
      </c>
      <c r="AD347" s="40">
        <v>1993</v>
      </c>
      <c r="AE347" s="2" t="s">
        <v>60</v>
      </c>
      <c r="AF347" s="52">
        <v>33.450000000000003</v>
      </c>
      <c r="AG347" s="52">
        <v>30.06</v>
      </c>
      <c r="AH347" s="52">
        <v>118.09</v>
      </c>
      <c r="AI347" s="52">
        <v>155.91</v>
      </c>
      <c r="AJ347" s="52">
        <v>26.98</v>
      </c>
      <c r="AK347" s="52">
        <v>26.29</v>
      </c>
      <c r="AL347" s="52">
        <v>319.25</v>
      </c>
      <c r="AM347" s="52">
        <v>-207.97</v>
      </c>
      <c r="AN347" s="64">
        <v>413.93</v>
      </c>
      <c r="AO347" s="4" t="s">
        <v>179</v>
      </c>
      <c r="AP347" s="2" t="s">
        <v>5481</v>
      </c>
      <c r="AQ347" s="2" t="s">
        <v>5482</v>
      </c>
      <c r="AR347" s="2" t="s">
        <v>79</v>
      </c>
      <c r="AS347" s="2" t="s">
        <v>5483</v>
      </c>
      <c r="AT347" s="2" t="s">
        <v>5484</v>
      </c>
      <c r="AU347" s="2" t="s">
        <v>5485</v>
      </c>
      <c r="AV347" s="2" t="s">
        <v>5486</v>
      </c>
      <c r="AW347" s="2" t="s">
        <v>5487</v>
      </c>
      <c r="AX347" s="2" t="s">
        <v>5488</v>
      </c>
      <c r="AY347" s="2" t="s">
        <v>60</v>
      </c>
      <c r="AZ347" s="4" t="s">
        <v>5489</v>
      </c>
      <c r="BA347" s="2" t="s">
        <v>87</v>
      </c>
      <c r="BB347" s="4" t="s">
        <v>5484</v>
      </c>
      <c r="BC347" s="4" t="s">
        <v>5490</v>
      </c>
      <c r="BD347" s="2" t="s">
        <v>5491</v>
      </c>
      <c r="BE347" s="2" t="s">
        <v>88</v>
      </c>
      <c r="BF347" s="2" t="s">
        <v>88</v>
      </c>
    </row>
    <row r="348" spans="1:58" x14ac:dyDescent="0.2">
      <c r="A348" s="3" t="s">
        <v>5492</v>
      </c>
      <c r="B348" s="3" t="s">
        <v>5493</v>
      </c>
      <c r="C348" s="3" t="s">
        <v>60</v>
      </c>
      <c r="D348" s="3" t="s">
        <v>60</v>
      </c>
      <c r="E348" s="3" t="s">
        <v>60</v>
      </c>
      <c r="F348" s="3" t="s">
        <v>5494</v>
      </c>
      <c r="G348" s="3" t="s">
        <v>5495</v>
      </c>
      <c r="H348" s="3" t="s">
        <v>60</v>
      </c>
      <c r="I348" s="3" t="s">
        <v>60</v>
      </c>
      <c r="J348" s="3" t="s">
        <v>60</v>
      </c>
      <c r="K348" s="3" t="s">
        <v>5492</v>
      </c>
      <c r="L348" s="3" t="s">
        <v>5496</v>
      </c>
      <c r="M348" s="3" t="s">
        <v>241</v>
      </c>
      <c r="N348" s="3" t="s">
        <v>499</v>
      </c>
      <c r="O348" s="3" t="s">
        <v>5497</v>
      </c>
      <c r="P348" s="3" t="s">
        <v>5498</v>
      </c>
      <c r="Q348" s="3" t="s">
        <v>60</v>
      </c>
      <c r="R348" s="3" t="s">
        <v>5499</v>
      </c>
      <c r="S348" s="3" t="s">
        <v>96</v>
      </c>
      <c r="T348" s="17" t="s">
        <v>60</v>
      </c>
      <c r="U348" s="3" t="s">
        <v>97</v>
      </c>
      <c r="V348" s="3" t="s">
        <v>71</v>
      </c>
      <c r="W348" s="3" t="s">
        <v>98</v>
      </c>
      <c r="X348" s="9" t="str">
        <f>HYPERLINK("http://www.zoujajglass.com", "www.zoujajglass.com")</f>
        <v>www.zoujajglass.com</v>
      </c>
      <c r="Y348" s="9" t="str">
        <f>HYPERLINK("http://www.linkedin.com/company/national-factory-for-glass-bottles", "http://www.linkedin.com/company/national-factory-for-glass-bottles")</f>
        <v>http://www.linkedin.com/company/national-factory-for-glass-bottles</v>
      </c>
      <c r="Z348" s="29">
        <v>290</v>
      </c>
      <c r="AA348" s="3" t="s">
        <v>5500</v>
      </c>
      <c r="AB348" s="3" t="s">
        <v>74</v>
      </c>
      <c r="AC348" s="3" t="s">
        <v>5501</v>
      </c>
      <c r="AD348" s="41">
        <v>1990</v>
      </c>
      <c r="AE348" s="3" t="s">
        <v>60</v>
      </c>
      <c r="AF348" s="53">
        <v>37.82</v>
      </c>
      <c r="AG348" s="53">
        <v>7.63</v>
      </c>
      <c r="AH348" s="53">
        <v>21.78</v>
      </c>
      <c r="AI348" s="53">
        <v>356.42</v>
      </c>
      <c r="AJ348" s="53">
        <v>31.58</v>
      </c>
      <c r="AK348" s="53">
        <v>23.02</v>
      </c>
      <c r="AL348" s="53">
        <v>331.07</v>
      </c>
      <c r="AM348" s="53">
        <v>2.25</v>
      </c>
      <c r="AN348" s="65">
        <v>0.39</v>
      </c>
      <c r="AO348" s="5" t="s">
        <v>179</v>
      </c>
      <c r="AP348" s="3" t="s">
        <v>5502</v>
      </c>
      <c r="AQ348" s="3" t="s">
        <v>5503</v>
      </c>
      <c r="AR348" s="3" t="s">
        <v>79</v>
      </c>
      <c r="AS348" s="3" t="s">
        <v>5504</v>
      </c>
      <c r="AT348" s="3" t="s">
        <v>5505</v>
      </c>
      <c r="AU348" s="3" t="s">
        <v>106</v>
      </c>
      <c r="AV348" s="3" t="s">
        <v>5506</v>
      </c>
      <c r="AW348" s="3" t="s">
        <v>60</v>
      </c>
      <c r="AX348" s="3" t="s">
        <v>109</v>
      </c>
      <c r="AY348" s="3" t="s">
        <v>60</v>
      </c>
      <c r="AZ348" s="5" t="s">
        <v>4848</v>
      </c>
      <c r="BA348" s="3" t="s">
        <v>87</v>
      </c>
      <c r="BB348" s="5" t="s">
        <v>5505</v>
      </c>
      <c r="BC348" s="5" t="s">
        <v>60</v>
      </c>
      <c r="BD348" s="3" t="s">
        <v>60</v>
      </c>
      <c r="BE348" s="3" t="s">
        <v>88</v>
      </c>
      <c r="BF348" s="3" t="s">
        <v>88</v>
      </c>
    </row>
    <row r="349" spans="1:58" x14ac:dyDescent="0.2">
      <c r="A349" s="2" t="s">
        <v>5507</v>
      </c>
      <c r="B349" s="2" t="s">
        <v>5508</v>
      </c>
      <c r="C349" s="2" t="s">
        <v>60</v>
      </c>
      <c r="D349" s="2" t="s">
        <v>60</v>
      </c>
      <c r="E349" s="2" t="s">
        <v>60</v>
      </c>
      <c r="F349" s="2" t="s">
        <v>60</v>
      </c>
      <c r="G349" s="2" t="s">
        <v>5509</v>
      </c>
      <c r="H349" s="2" t="s">
        <v>60</v>
      </c>
      <c r="I349" s="2" t="s">
        <v>60</v>
      </c>
      <c r="J349" s="2" t="s">
        <v>60</v>
      </c>
      <c r="K349" s="2" t="s">
        <v>5507</v>
      </c>
      <c r="L349" s="2" t="s">
        <v>5510</v>
      </c>
      <c r="M349" s="2" t="s">
        <v>134</v>
      </c>
      <c r="N349" s="2" t="s">
        <v>135</v>
      </c>
      <c r="O349" s="2" t="s">
        <v>136</v>
      </c>
      <c r="P349" s="2" t="s">
        <v>5511</v>
      </c>
      <c r="Q349" s="2" t="s">
        <v>60</v>
      </c>
      <c r="R349" s="2" t="s">
        <v>5512</v>
      </c>
      <c r="S349" s="2" t="s">
        <v>96</v>
      </c>
      <c r="T349" s="16" t="s">
        <v>60</v>
      </c>
      <c r="U349" s="2" t="s">
        <v>97</v>
      </c>
      <c r="V349" s="2" t="s">
        <v>71</v>
      </c>
      <c r="W349" s="2" t="s">
        <v>98</v>
      </c>
      <c r="X349" s="8" t="str">
        <f>HYPERLINK("http://www.saic.com.sa", "www.saic.com.sa")</f>
        <v>www.saic.com.sa</v>
      </c>
      <c r="Y349" s="8" t="str">
        <f>HYPERLINK("http://www.linkedin.com/company/saudi-advanced-industries-company", "http://www.linkedin.com/company/saudi-advanced-industries-company")</f>
        <v>http://www.linkedin.com/company/saudi-advanced-industries-company</v>
      </c>
      <c r="Z349" s="28">
        <v>10</v>
      </c>
      <c r="AA349" s="2" t="s">
        <v>5513</v>
      </c>
      <c r="AB349" s="2" t="s">
        <v>74</v>
      </c>
      <c r="AC349" s="2" t="s">
        <v>5514</v>
      </c>
      <c r="AD349" s="40">
        <v>1988</v>
      </c>
      <c r="AE349" s="2" t="s">
        <v>60</v>
      </c>
      <c r="AF349" s="52" t="s">
        <v>60</v>
      </c>
      <c r="AG349" s="52" t="s">
        <v>60</v>
      </c>
      <c r="AH349" s="52">
        <v>-26.46</v>
      </c>
      <c r="AI349" s="52">
        <v>295.10000000000002</v>
      </c>
      <c r="AJ349" s="52">
        <v>-22.15</v>
      </c>
      <c r="AK349" s="52">
        <v>-22.46</v>
      </c>
      <c r="AL349" s="52">
        <v>271.87</v>
      </c>
      <c r="AM349" s="52">
        <v>-79.22</v>
      </c>
      <c r="AN349" s="64" t="s">
        <v>60</v>
      </c>
      <c r="AO349" s="4" t="s">
        <v>179</v>
      </c>
      <c r="AP349" s="2" t="s">
        <v>5515</v>
      </c>
      <c r="AQ349" s="2" t="s">
        <v>5516</v>
      </c>
      <c r="AR349" s="2" t="s">
        <v>5517</v>
      </c>
      <c r="AS349" s="2" t="s">
        <v>60</v>
      </c>
      <c r="AT349" s="2" t="s">
        <v>60</v>
      </c>
      <c r="AU349" s="2" t="s">
        <v>106</v>
      </c>
      <c r="AV349" s="2" t="s">
        <v>5518</v>
      </c>
      <c r="AW349" s="2" t="s">
        <v>5519</v>
      </c>
      <c r="AX349" s="2" t="s">
        <v>109</v>
      </c>
      <c r="AY349" s="2" t="s">
        <v>60</v>
      </c>
      <c r="AZ349" s="4" t="s">
        <v>5520</v>
      </c>
      <c r="BA349" s="2" t="s">
        <v>87</v>
      </c>
      <c r="BB349" s="4" t="s">
        <v>60</v>
      </c>
      <c r="BC349" s="4" t="s">
        <v>60</v>
      </c>
      <c r="BD349" s="2" t="s">
        <v>60</v>
      </c>
      <c r="BE349" s="2" t="s">
        <v>88</v>
      </c>
      <c r="BF349" s="2" t="s">
        <v>88</v>
      </c>
    </row>
    <row r="350" spans="1:58" x14ac:dyDescent="0.2">
      <c r="A350" s="3" t="s">
        <v>5521</v>
      </c>
      <c r="B350" s="3" t="s">
        <v>5522</v>
      </c>
      <c r="C350" s="3" t="s">
        <v>60</v>
      </c>
      <c r="D350" s="3" t="s">
        <v>60</v>
      </c>
      <c r="E350" s="3" t="s">
        <v>60</v>
      </c>
      <c r="F350" s="3" t="s">
        <v>5523</v>
      </c>
      <c r="G350" s="3" t="s">
        <v>5524</v>
      </c>
      <c r="H350" s="3" t="s">
        <v>60</v>
      </c>
      <c r="I350" s="3" t="s">
        <v>60</v>
      </c>
      <c r="J350" s="3" t="s">
        <v>60</v>
      </c>
      <c r="K350" s="3" t="s">
        <v>5521</v>
      </c>
      <c r="L350" s="3" t="s">
        <v>5525</v>
      </c>
      <c r="M350" s="3" t="s">
        <v>134</v>
      </c>
      <c r="N350" s="3" t="s">
        <v>135</v>
      </c>
      <c r="O350" s="3" t="s">
        <v>136</v>
      </c>
      <c r="P350" s="3" t="s">
        <v>5526</v>
      </c>
      <c r="Q350" s="3" t="s">
        <v>60</v>
      </c>
      <c r="R350" s="3" t="s">
        <v>5527</v>
      </c>
      <c r="S350" s="3" t="s">
        <v>96</v>
      </c>
      <c r="T350" s="17" t="s">
        <v>60</v>
      </c>
      <c r="U350" s="3" t="s">
        <v>1516</v>
      </c>
      <c r="V350" s="3" t="s">
        <v>71</v>
      </c>
      <c r="W350" s="3" t="s">
        <v>98</v>
      </c>
      <c r="X350" s="9" t="str">
        <f>HYPERLINK("http://www.sidc.com.sa", "www.sidc.com.sa")</f>
        <v>www.sidc.com.sa</v>
      </c>
      <c r="Y350" s="9" t="str">
        <f>HYPERLINK("http://www.linkedin.com/company/sidcco", "http://www.linkedin.com/company/sidcco")</f>
        <v>http://www.linkedin.com/company/sidcco</v>
      </c>
      <c r="Z350" s="29">
        <v>530</v>
      </c>
      <c r="AA350" s="3" t="s">
        <v>5528</v>
      </c>
      <c r="AB350" s="3" t="s">
        <v>74</v>
      </c>
      <c r="AC350" s="3" t="s">
        <v>5529</v>
      </c>
      <c r="AD350" s="41">
        <v>1992</v>
      </c>
      <c r="AE350" s="3" t="s">
        <v>60</v>
      </c>
      <c r="AF350" s="53">
        <v>30.45</v>
      </c>
      <c r="AG350" s="53">
        <v>5.49</v>
      </c>
      <c r="AH350" s="53">
        <v>-6.02</v>
      </c>
      <c r="AI350" s="53">
        <v>117.41</v>
      </c>
      <c r="AJ350" s="53">
        <v>-1.57</v>
      </c>
      <c r="AK350" s="53">
        <v>-4.66</v>
      </c>
      <c r="AL350" s="53">
        <v>92.93</v>
      </c>
      <c r="AM350" s="53">
        <v>11.77</v>
      </c>
      <c r="AN350" s="65">
        <v>-11.82</v>
      </c>
      <c r="AO350" s="5" t="s">
        <v>179</v>
      </c>
      <c r="AP350" s="3" t="s">
        <v>5530</v>
      </c>
      <c r="AQ350" s="3" t="s">
        <v>5531</v>
      </c>
      <c r="AR350" s="3" t="s">
        <v>266</v>
      </c>
      <c r="AS350" s="3" t="s">
        <v>60</v>
      </c>
      <c r="AT350" s="3" t="s">
        <v>5532</v>
      </c>
      <c r="AU350" s="3" t="s">
        <v>82</v>
      </c>
      <c r="AV350" s="3" t="s">
        <v>5533</v>
      </c>
      <c r="AW350" s="3" t="s">
        <v>5534</v>
      </c>
      <c r="AX350" s="3" t="s">
        <v>85</v>
      </c>
      <c r="AY350" s="3" t="s">
        <v>60</v>
      </c>
      <c r="AZ350" s="5" t="s">
        <v>5535</v>
      </c>
      <c r="BA350" s="3" t="s">
        <v>87</v>
      </c>
      <c r="BB350" s="5" t="s">
        <v>5532</v>
      </c>
      <c r="BC350" s="5" t="s">
        <v>5536</v>
      </c>
      <c r="BD350" s="3" t="s">
        <v>60</v>
      </c>
      <c r="BE350" s="3" t="s">
        <v>88</v>
      </c>
      <c r="BF350" s="3" t="s">
        <v>88</v>
      </c>
    </row>
    <row r="351" spans="1:58" x14ac:dyDescent="0.2">
      <c r="A351" s="2" t="s">
        <v>5537</v>
      </c>
      <c r="B351" s="2" t="s">
        <v>5538</v>
      </c>
      <c r="C351" s="2" t="s">
        <v>60</v>
      </c>
      <c r="D351" s="2" t="s">
        <v>60</v>
      </c>
      <c r="E351" s="2" t="s">
        <v>60</v>
      </c>
      <c r="F351" s="2" t="s">
        <v>60</v>
      </c>
      <c r="G351" s="2" t="s">
        <v>5539</v>
      </c>
      <c r="H351" s="2" t="s">
        <v>60</v>
      </c>
      <c r="I351" s="2" t="s">
        <v>60</v>
      </c>
      <c r="J351" s="2" t="s">
        <v>5540</v>
      </c>
      <c r="K351" s="2" t="s">
        <v>5537</v>
      </c>
      <c r="L351" s="2" t="s">
        <v>5541</v>
      </c>
      <c r="M351" s="2" t="s">
        <v>63</v>
      </c>
      <c r="N351" s="2" t="s">
        <v>64</v>
      </c>
      <c r="O351" s="2" t="s">
        <v>65</v>
      </c>
      <c r="P351" s="2" t="s">
        <v>3893</v>
      </c>
      <c r="Q351" s="2" t="s">
        <v>67</v>
      </c>
      <c r="R351" s="2" t="s">
        <v>5542</v>
      </c>
      <c r="S351" s="2" t="s">
        <v>96</v>
      </c>
      <c r="T351" s="16" t="s">
        <v>60</v>
      </c>
      <c r="U351" s="2" t="s">
        <v>1516</v>
      </c>
      <c r="V351" s="2" t="s">
        <v>71</v>
      </c>
      <c r="W351" s="2" t="s">
        <v>98</v>
      </c>
      <c r="X351" s="8" t="str">
        <f>HYPERLINK("http://www.saudiceramics.com", "www.saudiceramics.com")</f>
        <v>www.saudiceramics.com</v>
      </c>
      <c r="Y351" s="8" t="str">
        <f>HYPERLINK("http://www.linkedin.com/company/saudi-ceramics", "http://www.linkedin.com/company/saudi-ceramics")</f>
        <v>http://www.linkedin.com/company/saudi-ceramics</v>
      </c>
      <c r="Z351" s="28">
        <v>1067</v>
      </c>
      <c r="AA351" s="2" t="s">
        <v>5543</v>
      </c>
      <c r="AB351" s="2" t="s">
        <v>74</v>
      </c>
      <c r="AC351" s="2" t="s">
        <v>5544</v>
      </c>
      <c r="AD351" s="40">
        <v>1977</v>
      </c>
      <c r="AE351" s="2" t="s">
        <v>60</v>
      </c>
      <c r="AF351" s="52">
        <v>376.15</v>
      </c>
      <c r="AG351" s="52">
        <v>82.38</v>
      </c>
      <c r="AH351" s="52">
        <v>15.37</v>
      </c>
      <c r="AI351" s="52">
        <v>1062.33</v>
      </c>
      <c r="AJ351" s="52">
        <v>68.319999999999993</v>
      </c>
      <c r="AK351" s="52">
        <v>27.61</v>
      </c>
      <c r="AL351" s="52">
        <v>730.14</v>
      </c>
      <c r="AM351" s="52">
        <v>232.56</v>
      </c>
      <c r="AN351" s="64">
        <v>4.82</v>
      </c>
      <c r="AO351" s="4" t="s">
        <v>179</v>
      </c>
      <c r="AP351" s="2" t="s">
        <v>5545</v>
      </c>
      <c r="AQ351" s="2" t="s">
        <v>5546</v>
      </c>
      <c r="AR351" s="2" t="s">
        <v>266</v>
      </c>
      <c r="AS351" s="2" t="s">
        <v>60</v>
      </c>
      <c r="AT351" s="2" t="s">
        <v>5547</v>
      </c>
      <c r="AU351" s="2" t="s">
        <v>106</v>
      </c>
      <c r="AV351" s="2" t="s">
        <v>5548</v>
      </c>
      <c r="AW351" s="2" t="s">
        <v>5549</v>
      </c>
      <c r="AX351" s="2" t="s">
        <v>109</v>
      </c>
      <c r="AY351" s="2" t="s">
        <v>60</v>
      </c>
      <c r="AZ351" s="4" t="s">
        <v>4609</v>
      </c>
      <c r="BA351" s="2" t="s">
        <v>87</v>
      </c>
      <c r="BB351" s="4" t="s">
        <v>5547</v>
      </c>
      <c r="BC351" s="4" t="s">
        <v>5550</v>
      </c>
      <c r="BD351" s="2" t="s">
        <v>5551</v>
      </c>
      <c r="BE351" s="2" t="s">
        <v>88</v>
      </c>
      <c r="BF351" s="2" t="s">
        <v>88</v>
      </c>
    </row>
    <row r="352" spans="1:58" x14ac:dyDescent="0.2">
      <c r="A352" s="3" t="s">
        <v>5552</v>
      </c>
      <c r="B352" s="3" t="s">
        <v>5553</v>
      </c>
      <c r="C352" s="3" t="s">
        <v>60</v>
      </c>
      <c r="D352" s="3" t="s">
        <v>60</v>
      </c>
      <c r="E352" s="3" t="s">
        <v>60</v>
      </c>
      <c r="F352" s="3" t="s">
        <v>5554</v>
      </c>
      <c r="G352" s="3" t="s">
        <v>5555</v>
      </c>
      <c r="H352" s="3" t="s">
        <v>60</v>
      </c>
      <c r="I352" s="3" t="s">
        <v>60</v>
      </c>
      <c r="J352" s="3" t="s">
        <v>5556</v>
      </c>
      <c r="K352" s="3" t="s">
        <v>5552</v>
      </c>
      <c r="L352" s="3" t="s">
        <v>5557</v>
      </c>
      <c r="M352" s="3" t="s">
        <v>241</v>
      </c>
      <c r="N352" s="3" t="s">
        <v>839</v>
      </c>
      <c r="O352" s="3" t="s">
        <v>5558</v>
      </c>
      <c r="P352" s="3" t="s">
        <v>5559</v>
      </c>
      <c r="Q352" s="3" t="s">
        <v>1392</v>
      </c>
      <c r="R352" s="3" t="s">
        <v>5560</v>
      </c>
      <c r="S352" s="3" t="s">
        <v>96</v>
      </c>
      <c r="T352" s="17" t="s">
        <v>60</v>
      </c>
      <c r="U352" s="3" t="s">
        <v>70</v>
      </c>
      <c r="V352" s="3" t="s">
        <v>71</v>
      </c>
      <c r="W352" s="3" t="s">
        <v>98</v>
      </c>
      <c r="X352" s="9" t="str">
        <f>HYPERLINK("http://www.tasnee.com", "www.tasnee.com")</f>
        <v>www.tasnee.com</v>
      </c>
      <c r="Y352" s="9" t="str">
        <f>HYPERLINK("http://www.linkedin.com/company/tasnee", "http://www.linkedin.com/company/tasnee")</f>
        <v>http://www.linkedin.com/company/tasnee</v>
      </c>
      <c r="Z352" s="29">
        <v>7000</v>
      </c>
      <c r="AA352" s="3" t="s">
        <v>5561</v>
      </c>
      <c r="AB352" s="3" t="s">
        <v>74</v>
      </c>
      <c r="AC352" s="3" t="s">
        <v>5562</v>
      </c>
      <c r="AD352" s="41">
        <v>1985</v>
      </c>
      <c r="AE352" s="3" t="s">
        <v>60</v>
      </c>
      <c r="AF352" s="53">
        <v>967.59</v>
      </c>
      <c r="AG352" s="53">
        <v>64.760000000000005</v>
      </c>
      <c r="AH352" s="53">
        <v>81.06</v>
      </c>
      <c r="AI352" s="53">
        <v>3708.34</v>
      </c>
      <c r="AJ352" s="53">
        <v>459.86</v>
      </c>
      <c r="AK352" s="53">
        <v>355.25</v>
      </c>
      <c r="AL352" s="53">
        <v>1614.23</v>
      </c>
      <c r="AM352" s="53">
        <v>904.04</v>
      </c>
      <c r="AN352" s="65">
        <v>-3.21</v>
      </c>
      <c r="AO352" s="5" t="s">
        <v>179</v>
      </c>
      <c r="AP352" s="3" t="s">
        <v>5563</v>
      </c>
      <c r="AQ352" s="3" t="s">
        <v>5564</v>
      </c>
      <c r="AR352" s="3" t="s">
        <v>124</v>
      </c>
      <c r="AS352" s="3" t="s">
        <v>60</v>
      </c>
      <c r="AT352" s="3" t="s">
        <v>5565</v>
      </c>
      <c r="AU352" s="3" t="s">
        <v>106</v>
      </c>
      <c r="AV352" s="3" t="s">
        <v>5566</v>
      </c>
      <c r="AW352" s="3" t="s">
        <v>5567</v>
      </c>
      <c r="AX352" s="3" t="s">
        <v>109</v>
      </c>
      <c r="AY352" s="3" t="s">
        <v>60</v>
      </c>
      <c r="AZ352" s="5" t="s">
        <v>2481</v>
      </c>
      <c r="BA352" s="3" t="s">
        <v>87</v>
      </c>
      <c r="BB352" s="5" t="s">
        <v>5565</v>
      </c>
      <c r="BC352" s="5" t="s">
        <v>5568</v>
      </c>
      <c r="BD352" s="3" t="s">
        <v>5569</v>
      </c>
      <c r="BE352" s="3" t="s">
        <v>88</v>
      </c>
      <c r="BF352" s="3" t="s">
        <v>88</v>
      </c>
    </row>
    <row r="353" spans="1:58" x14ac:dyDescent="0.2">
      <c r="A353" s="2" t="s">
        <v>5570</v>
      </c>
      <c r="B353" s="2" t="s">
        <v>5571</v>
      </c>
      <c r="C353" s="2" t="s">
        <v>60</v>
      </c>
      <c r="D353" s="2" t="s">
        <v>60</v>
      </c>
      <c r="E353" s="2" t="s">
        <v>60</v>
      </c>
      <c r="F353" s="2" t="s">
        <v>60</v>
      </c>
      <c r="G353" s="2" t="s">
        <v>5572</v>
      </c>
      <c r="H353" s="2" t="s">
        <v>60</v>
      </c>
      <c r="I353" s="2" t="s">
        <v>60</v>
      </c>
      <c r="J353" s="2" t="s">
        <v>5573</v>
      </c>
      <c r="K353" s="2" t="s">
        <v>5570</v>
      </c>
      <c r="L353" s="2" t="s">
        <v>5574</v>
      </c>
      <c r="M353" s="2" t="s">
        <v>241</v>
      </c>
      <c r="N353" s="2" t="s">
        <v>242</v>
      </c>
      <c r="O353" s="2" t="s">
        <v>243</v>
      </c>
      <c r="P353" s="2" t="s">
        <v>244</v>
      </c>
      <c r="Q353" s="2" t="s">
        <v>260</v>
      </c>
      <c r="R353" s="2" t="s">
        <v>5575</v>
      </c>
      <c r="S353" s="2" t="s">
        <v>96</v>
      </c>
      <c r="T353" s="16" t="s">
        <v>60</v>
      </c>
      <c r="U353" s="2" t="s">
        <v>97</v>
      </c>
      <c r="V353" s="2" t="s">
        <v>71</v>
      </c>
      <c r="W353" s="2" t="s">
        <v>98</v>
      </c>
      <c r="X353" s="8" t="str">
        <f>HYPERLINK("http://saudicement.com.sa", "saudicement.com.sa")</f>
        <v>saudicement.com.sa</v>
      </c>
      <c r="Y353" s="8" t="str">
        <f>HYPERLINK("http://www.linkedin.com/company/saudi-cement-company", "http://www.linkedin.com/company/saudi-cement-company")</f>
        <v>http://www.linkedin.com/company/saudi-cement-company</v>
      </c>
      <c r="Z353" s="28">
        <v>1800</v>
      </c>
      <c r="AA353" s="2" t="s">
        <v>5576</v>
      </c>
      <c r="AB353" s="2" t="s">
        <v>74</v>
      </c>
      <c r="AC353" s="2" t="s">
        <v>5577</v>
      </c>
      <c r="AD353" s="40">
        <v>1955</v>
      </c>
      <c r="AE353" s="2" t="s">
        <v>60</v>
      </c>
      <c r="AF353" s="52">
        <v>452.02</v>
      </c>
      <c r="AG353" s="52">
        <v>167.67</v>
      </c>
      <c r="AH353" s="52">
        <v>100.58</v>
      </c>
      <c r="AI353" s="52">
        <v>1714.67</v>
      </c>
      <c r="AJ353" s="52">
        <v>169.38</v>
      </c>
      <c r="AK353" s="52">
        <v>111.34</v>
      </c>
      <c r="AL353" s="52">
        <v>1435.31</v>
      </c>
      <c r="AM353" s="52">
        <v>89.77</v>
      </c>
      <c r="AN353" s="64">
        <v>7.95</v>
      </c>
      <c r="AO353" s="4" t="s">
        <v>179</v>
      </c>
      <c r="AP353" s="2" t="s">
        <v>5578</v>
      </c>
      <c r="AQ353" s="2" t="s">
        <v>5579</v>
      </c>
      <c r="AR353" s="2" t="s">
        <v>1874</v>
      </c>
      <c r="AS353" s="2" t="s">
        <v>60</v>
      </c>
      <c r="AT353" s="2" t="s">
        <v>5580</v>
      </c>
      <c r="AU353" s="2" t="s">
        <v>847</v>
      </c>
      <c r="AV353" s="2" t="s">
        <v>5581</v>
      </c>
      <c r="AW353" s="2" t="s">
        <v>5582</v>
      </c>
      <c r="AX353" s="2" t="s">
        <v>849</v>
      </c>
      <c r="AY353" s="2" t="s">
        <v>60</v>
      </c>
      <c r="AZ353" s="4" t="s">
        <v>5583</v>
      </c>
      <c r="BA353" s="2" t="s">
        <v>87</v>
      </c>
      <c r="BB353" s="4" t="s">
        <v>5580</v>
      </c>
      <c r="BC353" s="4" t="s">
        <v>5584</v>
      </c>
      <c r="BD353" s="2" t="s">
        <v>60</v>
      </c>
      <c r="BE353" s="2" t="s">
        <v>88</v>
      </c>
      <c r="BF353" s="2" t="s">
        <v>88</v>
      </c>
    </row>
    <row r="354" spans="1:58" x14ac:dyDescent="0.2">
      <c r="A354" s="3" t="s">
        <v>5585</v>
      </c>
      <c r="B354" s="3" t="s">
        <v>5586</v>
      </c>
      <c r="C354" s="3" t="s">
        <v>60</v>
      </c>
      <c r="D354" s="3" t="s">
        <v>60</v>
      </c>
      <c r="E354" s="3" t="s">
        <v>60</v>
      </c>
      <c r="F354" s="3" t="s">
        <v>60</v>
      </c>
      <c r="G354" s="3" t="s">
        <v>5587</v>
      </c>
      <c r="H354" s="3" t="s">
        <v>60</v>
      </c>
      <c r="I354" s="3" t="s">
        <v>60</v>
      </c>
      <c r="J354" s="3" t="s">
        <v>5588</v>
      </c>
      <c r="K354" s="3" t="s">
        <v>5585</v>
      </c>
      <c r="L354" s="3" t="s">
        <v>5589</v>
      </c>
      <c r="M354" s="3" t="s">
        <v>241</v>
      </c>
      <c r="N354" s="3" t="s">
        <v>242</v>
      </c>
      <c r="O354" s="3" t="s">
        <v>243</v>
      </c>
      <c r="P354" s="3" t="s">
        <v>244</v>
      </c>
      <c r="Q354" s="3" t="s">
        <v>421</v>
      </c>
      <c r="R354" s="3" t="s">
        <v>5590</v>
      </c>
      <c r="S354" s="3" t="s">
        <v>96</v>
      </c>
      <c r="T354" s="17" t="s">
        <v>60</v>
      </c>
      <c r="U354" s="3" t="s">
        <v>97</v>
      </c>
      <c r="V354" s="3" t="s">
        <v>71</v>
      </c>
      <c r="W354" s="3" t="s">
        <v>98</v>
      </c>
      <c r="X354" s="9" t="str">
        <f>HYPERLINK("http://www.spcc.sa", "www.spcc.sa")</f>
        <v>www.spcc.sa</v>
      </c>
      <c r="Y354" s="9" t="str">
        <f>HYPERLINK("http://www.linkedin.com/company/spccsa", "http://www.linkedin.com/company/spccsa")</f>
        <v>http://www.linkedin.com/company/spccsa</v>
      </c>
      <c r="Z354" s="29">
        <v>1614</v>
      </c>
      <c r="AA354" s="3" t="s">
        <v>5591</v>
      </c>
      <c r="AB354" s="3" t="s">
        <v>74</v>
      </c>
      <c r="AC354" s="3" t="s">
        <v>5592</v>
      </c>
      <c r="AD354" s="41">
        <v>1978</v>
      </c>
      <c r="AE354" s="3" t="s">
        <v>60</v>
      </c>
      <c r="AF354" s="53">
        <v>231.97</v>
      </c>
      <c r="AG354" s="53">
        <v>64.11</v>
      </c>
      <c r="AH354" s="53">
        <v>38.700000000000003</v>
      </c>
      <c r="AI354" s="53">
        <v>1265.32</v>
      </c>
      <c r="AJ354" s="53">
        <v>97</v>
      </c>
      <c r="AK354" s="53">
        <v>46.79</v>
      </c>
      <c r="AL354" s="53">
        <v>829.33</v>
      </c>
      <c r="AM354" s="53">
        <v>305.42</v>
      </c>
      <c r="AN354" s="65">
        <v>-8.81</v>
      </c>
      <c r="AO354" s="5" t="s">
        <v>179</v>
      </c>
      <c r="AP354" s="3" t="s">
        <v>5593</v>
      </c>
      <c r="AQ354" s="3" t="s">
        <v>5594</v>
      </c>
      <c r="AR354" s="3" t="s">
        <v>79</v>
      </c>
      <c r="AS354" s="3" t="s">
        <v>60</v>
      </c>
      <c r="AT354" s="3" t="s">
        <v>5595</v>
      </c>
      <c r="AU354" s="3" t="s">
        <v>5596</v>
      </c>
      <c r="AV354" s="3" t="s">
        <v>5597</v>
      </c>
      <c r="AW354" s="3" t="s">
        <v>5598</v>
      </c>
      <c r="AX354" s="3" t="s">
        <v>5599</v>
      </c>
      <c r="AY354" s="3" t="s">
        <v>60</v>
      </c>
      <c r="AZ354" s="5" t="s">
        <v>5600</v>
      </c>
      <c r="BA354" s="3" t="s">
        <v>87</v>
      </c>
      <c r="BB354" s="5" t="s">
        <v>5595</v>
      </c>
      <c r="BC354" s="5" t="s">
        <v>5601</v>
      </c>
      <c r="BD354" s="3" t="s">
        <v>5602</v>
      </c>
      <c r="BE354" s="3" t="s">
        <v>88</v>
      </c>
      <c r="BF354" s="3" t="s">
        <v>88</v>
      </c>
    </row>
    <row r="355" spans="1:58" x14ac:dyDescent="0.2">
      <c r="A355" s="2" t="s">
        <v>5603</v>
      </c>
      <c r="B355" s="2" t="s">
        <v>5604</v>
      </c>
      <c r="C355" s="2" t="s">
        <v>60</v>
      </c>
      <c r="D355" s="2" t="s">
        <v>60</v>
      </c>
      <c r="E355" s="2" t="s">
        <v>60</v>
      </c>
      <c r="F355" s="2" t="s">
        <v>5605</v>
      </c>
      <c r="G355" s="2" t="s">
        <v>5606</v>
      </c>
      <c r="H355" s="2" t="s">
        <v>60</v>
      </c>
      <c r="I355" s="2" t="s">
        <v>60</v>
      </c>
      <c r="J355" s="2" t="s">
        <v>60</v>
      </c>
      <c r="K355" s="2" t="s">
        <v>5603</v>
      </c>
      <c r="L355" s="2" t="s">
        <v>5607</v>
      </c>
      <c r="M355" s="2" t="s">
        <v>241</v>
      </c>
      <c r="N355" s="2" t="s">
        <v>1219</v>
      </c>
      <c r="O355" s="2" t="s">
        <v>2921</v>
      </c>
      <c r="P355" s="2" t="s">
        <v>5608</v>
      </c>
      <c r="Q355" s="2" t="s">
        <v>67</v>
      </c>
      <c r="R355" s="2" t="s">
        <v>5609</v>
      </c>
      <c r="S355" s="2" t="s">
        <v>96</v>
      </c>
      <c r="T355" s="16" t="s">
        <v>60</v>
      </c>
      <c r="U355" s="2" t="s">
        <v>1516</v>
      </c>
      <c r="V355" s="2" t="s">
        <v>71</v>
      </c>
      <c r="W355" s="2" t="s">
        <v>98</v>
      </c>
      <c r="X355" s="8" t="str">
        <f>HYPERLINK("http://www.tadco-agri.com", "www.tadco-agri.com")</f>
        <v>www.tadco-agri.com</v>
      </c>
      <c r="Y355" s="8" t="str">
        <f>HYPERLINK("http://www.linkedin.com/company/tadco/", "http://www.linkedin.com/company/tadco/")</f>
        <v>http://www.linkedin.com/company/tadco/</v>
      </c>
      <c r="Z355" s="28">
        <v>439</v>
      </c>
      <c r="AA355" s="2" t="s">
        <v>5610</v>
      </c>
      <c r="AB355" s="2" t="s">
        <v>74</v>
      </c>
      <c r="AC355" s="2" t="s">
        <v>5611</v>
      </c>
      <c r="AD355" s="40">
        <v>1983</v>
      </c>
      <c r="AE355" s="2" t="s">
        <v>60</v>
      </c>
      <c r="AF355" s="52">
        <v>11.6</v>
      </c>
      <c r="AG355" s="52">
        <v>-9.39</v>
      </c>
      <c r="AH355" s="52">
        <v>-39.96</v>
      </c>
      <c r="AI355" s="52">
        <v>72.209999999999994</v>
      </c>
      <c r="AJ355" s="52">
        <v>-30.92</v>
      </c>
      <c r="AK355" s="52">
        <v>-35.409999999999997</v>
      </c>
      <c r="AL355" s="52">
        <v>77.22</v>
      </c>
      <c r="AM355" s="52">
        <v>20.010000000000002</v>
      </c>
      <c r="AN355" s="64">
        <v>0.36</v>
      </c>
      <c r="AO355" s="4" t="s">
        <v>179</v>
      </c>
      <c r="AP355" s="2" t="s">
        <v>5612</v>
      </c>
      <c r="AQ355" s="2" t="s">
        <v>5613</v>
      </c>
      <c r="AR355" s="2" t="s">
        <v>124</v>
      </c>
      <c r="AS355" s="2" t="s">
        <v>5614</v>
      </c>
      <c r="AT355" s="2" t="s">
        <v>5615</v>
      </c>
      <c r="AU355" s="2" t="s">
        <v>5616</v>
      </c>
      <c r="AV355" s="2" t="s">
        <v>5617</v>
      </c>
      <c r="AW355" s="2" t="s">
        <v>60</v>
      </c>
      <c r="AX355" s="2" t="s">
        <v>5618</v>
      </c>
      <c r="AY355" s="2" t="s">
        <v>60</v>
      </c>
      <c r="AZ355" s="4" t="s">
        <v>5619</v>
      </c>
      <c r="BA355" s="2" t="s">
        <v>87</v>
      </c>
      <c r="BB355" s="4" t="s">
        <v>5615</v>
      </c>
      <c r="BC355" s="4" t="s">
        <v>5620</v>
      </c>
      <c r="BD355" s="2" t="s">
        <v>5621</v>
      </c>
      <c r="BE355" s="2" t="s">
        <v>88</v>
      </c>
      <c r="BF355" s="2" t="s">
        <v>88</v>
      </c>
    </row>
    <row r="356" spans="1:58" x14ac:dyDescent="0.2">
      <c r="A356" s="3" t="s">
        <v>5622</v>
      </c>
      <c r="B356" s="3" t="s">
        <v>5623</v>
      </c>
      <c r="C356" s="3" t="s">
        <v>60</v>
      </c>
      <c r="D356" s="3" t="s">
        <v>60</v>
      </c>
      <c r="E356" s="3" t="s">
        <v>60</v>
      </c>
      <c r="F356" s="3" t="s">
        <v>60</v>
      </c>
      <c r="G356" s="3" t="s">
        <v>5624</v>
      </c>
      <c r="H356" s="3" t="s">
        <v>60</v>
      </c>
      <c r="I356" s="3" t="s">
        <v>60</v>
      </c>
      <c r="J356" s="3" t="s">
        <v>60</v>
      </c>
      <c r="K356" s="3" t="s">
        <v>5622</v>
      </c>
      <c r="L356" s="3" t="s">
        <v>5625</v>
      </c>
      <c r="M356" s="3" t="s">
        <v>115</v>
      </c>
      <c r="N356" s="3" t="s">
        <v>208</v>
      </c>
      <c r="O356" s="3" t="s">
        <v>226</v>
      </c>
      <c r="P356" s="3" t="s">
        <v>227</v>
      </c>
      <c r="Q356" s="3" t="s">
        <v>67</v>
      </c>
      <c r="R356" s="3" t="s">
        <v>5626</v>
      </c>
      <c r="S356" s="3" t="s">
        <v>96</v>
      </c>
      <c r="T356" s="17" t="s">
        <v>60</v>
      </c>
      <c r="U356" s="3" t="s">
        <v>97</v>
      </c>
      <c r="V356" s="3" t="s">
        <v>71</v>
      </c>
      <c r="W356" s="3" t="s">
        <v>98</v>
      </c>
      <c r="X356" s="9" t="str">
        <f>HYPERLINK("http://www.wafrah.sa", "www.wafrah.sa")</f>
        <v>www.wafrah.sa</v>
      </c>
      <c r="Y356" s="3" t="s">
        <v>60</v>
      </c>
      <c r="Z356" s="29">
        <v>18010</v>
      </c>
      <c r="AA356" s="3" t="s">
        <v>5627</v>
      </c>
      <c r="AB356" s="3" t="s">
        <v>74</v>
      </c>
      <c r="AC356" s="3" t="s">
        <v>5628</v>
      </c>
      <c r="AD356" s="41">
        <v>1989</v>
      </c>
      <c r="AE356" s="3" t="s">
        <v>60</v>
      </c>
      <c r="AF356" s="53">
        <v>35.299999999999997</v>
      </c>
      <c r="AG356" s="53">
        <v>6.59</v>
      </c>
      <c r="AH356" s="53">
        <v>-8.9499999999999993</v>
      </c>
      <c r="AI356" s="53">
        <v>169.38</v>
      </c>
      <c r="AJ356" s="53">
        <v>-6.06</v>
      </c>
      <c r="AK356" s="53">
        <v>-8.49</v>
      </c>
      <c r="AL356" s="53">
        <v>135.41999999999999</v>
      </c>
      <c r="AM356" s="53">
        <v>-0.69</v>
      </c>
      <c r="AN356" s="65">
        <v>-18.71</v>
      </c>
      <c r="AO356" s="5" t="s">
        <v>179</v>
      </c>
      <c r="AP356" s="3" t="s">
        <v>60</v>
      </c>
      <c r="AQ356" s="3" t="s">
        <v>60</v>
      </c>
      <c r="AR356" s="3" t="s">
        <v>60</v>
      </c>
      <c r="AS356" s="3" t="s">
        <v>60</v>
      </c>
      <c r="AT356" s="3" t="s">
        <v>60</v>
      </c>
      <c r="AU356" s="3" t="s">
        <v>106</v>
      </c>
      <c r="AV356" s="3" t="s">
        <v>5629</v>
      </c>
      <c r="AW356" s="3" t="s">
        <v>60</v>
      </c>
      <c r="AX356" s="3" t="s">
        <v>109</v>
      </c>
      <c r="AY356" s="3" t="s">
        <v>60</v>
      </c>
      <c r="AZ356" s="5" t="s">
        <v>148</v>
      </c>
      <c r="BA356" s="3" t="s">
        <v>87</v>
      </c>
      <c r="BB356" s="5" t="s">
        <v>5630</v>
      </c>
      <c r="BC356" s="5" t="s">
        <v>5631</v>
      </c>
      <c r="BD356" s="3" t="s">
        <v>60</v>
      </c>
      <c r="BE356" s="3" t="s">
        <v>88</v>
      </c>
      <c r="BF356" s="3" t="s">
        <v>88</v>
      </c>
    </row>
    <row r="357" spans="1:58" x14ac:dyDescent="0.2">
      <c r="A357" s="2" t="s">
        <v>5632</v>
      </c>
      <c r="B357" s="2" t="s">
        <v>5633</v>
      </c>
      <c r="C357" s="2" t="s">
        <v>60</v>
      </c>
      <c r="D357" s="2" t="s">
        <v>60</v>
      </c>
      <c r="E357" s="2" t="s">
        <v>60</v>
      </c>
      <c r="F357" s="2" t="s">
        <v>60</v>
      </c>
      <c r="G357" s="2" t="s">
        <v>5634</v>
      </c>
      <c r="H357" s="2" t="s">
        <v>60</v>
      </c>
      <c r="I357" s="2" t="s">
        <v>60</v>
      </c>
      <c r="J357" s="2" t="s">
        <v>60</v>
      </c>
      <c r="K357" s="2" t="s">
        <v>5632</v>
      </c>
      <c r="L357" s="2" t="s">
        <v>5635</v>
      </c>
      <c r="M357" s="2" t="s">
        <v>241</v>
      </c>
      <c r="N357" s="2" t="s">
        <v>1219</v>
      </c>
      <c r="O357" s="2" t="s">
        <v>2921</v>
      </c>
      <c r="P357" s="2" t="s">
        <v>5636</v>
      </c>
      <c r="Q357" s="2" t="s">
        <v>60</v>
      </c>
      <c r="R357" s="2" t="s">
        <v>5637</v>
      </c>
      <c r="S357" s="2" t="s">
        <v>96</v>
      </c>
      <c r="T357" s="16" t="s">
        <v>60</v>
      </c>
      <c r="U357" s="2" t="s">
        <v>97</v>
      </c>
      <c r="V357" s="2" t="s">
        <v>71</v>
      </c>
      <c r="W357" s="2" t="s">
        <v>98</v>
      </c>
      <c r="X357" s="8" t="str">
        <f>HYPERLINK("http://www.aljouf.com.sa", "www.aljouf.com.sa")</f>
        <v>www.aljouf.com.sa</v>
      </c>
      <c r="Y357" s="8" t="str">
        <f>HYPERLINK("http://www.linkedin.com/company/al-jouf-agricultural-development-co", "http://www.linkedin.com/company/al-jouf-agricultural-development-co")</f>
        <v>http://www.linkedin.com/company/al-jouf-agricultural-development-co</v>
      </c>
      <c r="Z357" s="28">
        <v>1300</v>
      </c>
      <c r="AA357" s="2" t="s">
        <v>5638</v>
      </c>
      <c r="AB357" s="2" t="s">
        <v>74</v>
      </c>
      <c r="AC357" s="2" t="s">
        <v>5639</v>
      </c>
      <c r="AD357" s="40">
        <v>1988</v>
      </c>
      <c r="AE357" s="2" t="s">
        <v>60</v>
      </c>
      <c r="AF357" s="52">
        <v>177.25</v>
      </c>
      <c r="AG357" s="52">
        <v>52.81</v>
      </c>
      <c r="AH357" s="52">
        <v>21.61</v>
      </c>
      <c r="AI357" s="52">
        <v>443.92</v>
      </c>
      <c r="AJ357" s="52">
        <v>46.46</v>
      </c>
      <c r="AK357" s="52">
        <v>24.91</v>
      </c>
      <c r="AL357" s="52">
        <v>405.93</v>
      </c>
      <c r="AM357" s="52">
        <v>76.91</v>
      </c>
      <c r="AN357" s="64">
        <v>24.41</v>
      </c>
      <c r="AO357" s="4" t="s">
        <v>179</v>
      </c>
      <c r="AP357" s="2" t="s">
        <v>5640</v>
      </c>
      <c r="AQ357" s="2" t="s">
        <v>5641</v>
      </c>
      <c r="AR357" s="2" t="s">
        <v>1874</v>
      </c>
      <c r="AS357" s="2" t="s">
        <v>60</v>
      </c>
      <c r="AT357" s="2" t="s">
        <v>5642</v>
      </c>
      <c r="AU357" s="2" t="s">
        <v>5643</v>
      </c>
      <c r="AV357" s="2" t="s">
        <v>5644</v>
      </c>
      <c r="AW357" s="2" t="s">
        <v>5645</v>
      </c>
      <c r="AX357" s="2" t="s">
        <v>5646</v>
      </c>
      <c r="AY357" s="2" t="s">
        <v>60</v>
      </c>
      <c r="AZ357" s="4" t="s">
        <v>5647</v>
      </c>
      <c r="BA357" s="2" t="s">
        <v>87</v>
      </c>
      <c r="BB357" s="4" t="s">
        <v>5642</v>
      </c>
      <c r="BC357" s="4" t="s">
        <v>5648</v>
      </c>
      <c r="BD357" s="2" t="s">
        <v>5649</v>
      </c>
      <c r="BE357" s="2" t="s">
        <v>88</v>
      </c>
      <c r="BF357" s="2" t="s">
        <v>88</v>
      </c>
    </row>
    <row r="358" spans="1:58" x14ac:dyDescent="0.2">
      <c r="A358" s="3" t="s">
        <v>5650</v>
      </c>
      <c r="B358" s="3" t="s">
        <v>5651</v>
      </c>
      <c r="C358" s="3" t="s">
        <v>60</v>
      </c>
      <c r="D358" s="3" t="s">
        <v>60</v>
      </c>
      <c r="E358" s="3" t="s">
        <v>5652</v>
      </c>
      <c r="F358" s="3" t="s">
        <v>5653</v>
      </c>
      <c r="G358" s="3" t="s">
        <v>5654</v>
      </c>
      <c r="H358" s="3" t="s">
        <v>60</v>
      </c>
      <c r="I358" s="3" t="s">
        <v>60</v>
      </c>
      <c r="J358" s="3" t="s">
        <v>60</v>
      </c>
      <c r="K358" s="3" t="s">
        <v>5650</v>
      </c>
      <c r="L358" s="3" t="s">
        <v>5655</v>
      </c>
      <c r="M358" s="3" t="s">
        <v>63</v>
      </c>
      <c r="N358" s="3" t="s">
        <v>92</v>
      </c>
      <c r="O358" s="3" t="s">
        <v>584</v>
      </c>
      <c r="P358" s="3" t="s">
        <v>5656</v>
      </c>
      <c r="Q358" s="3" t="s">
        <v>421</v>
      </c>
      <c r="R358" s="3" t="s">
        <v>5657</v>
      </c>
      <c r="S358" s="3" t="s">
        <v>96</v>
      </c>
      <c r="T358" s="17" t="s">
        <v>60</v>
      </c>
      <c r="U358" s="3" t="s">
        <v>97</v>
      </c>
      <c r="V358" s="3" t="s">
        <v>71</v>
      </c>
      <c r="W358" s="3" t="s">
        <v>98</v>
      </c>
      <c r="X358" s="9" t="str">
        <f>HYPERLINK("http://www.albahacompany.com/en", "www.albahacompany.com/en")</f>
        <v>www.albahacompany.com/en</v>
      </c>
      <c r="Y358" s="3" t="s">
        <v>60</v>
      </c>
      <c r="Z358" s="29">
        <v>55</v>
      </c>
      <c r="AA358" s="3" t="s">
        <v>5658</v>
      </c>
      <c r="AB358" s="3" t="s">
        <v>74</v>
      </c>
      <c r="AC358" s="3" t="s">
        <v>5659</v>
      </c>
      <c r="AD358" s="41">
        <v>1992</v>
      </c>
      <c r="AE358" s="3" t="s">
        <v>60</v>
      </c>
      <c r="AF358" s="53">
        <v>4.91</v>
      </c>
      <c r="AG358" s="53">
        <v>3.73</v>
      </c>
      <c r="AH358" s="53">
        <v>3.05</v>
      </c>
      <c r="AI358" s="53">
        <v>177.13</v>
      </c>
      <c r="AJ358" s="53">
        <v>3.13</v>
      </c>
      <c r="AK358" s="53">
        <v>2.13</v>
      </c>
      <c r="AL358" s="53">
        <v>136.06</v>
      </c>
      <c r="AM358" s="53">
        <v>1.86</v>
      </c>
      <c r="AN358" s="65">
        <v>3.29</v>
      </c>
      <c r="AO358" s="5" t="s">
        <v>179</v>
      </c>
      <c r="AP358" s="3" t="s">
        <v>5660</v>
      </c>
      <c r="AQ358" s="3" t="s">
        <v>5661</v>
      </c>
      <c r="AR358" s="3" t="s">
        <v>5662</v>
      </c>
      <c r="AS358" s="3" t="s">
        <v>60</v>
      </c>
      <c r="AT358" s="3" t="s">
        <v>5663</v>
      </c>
      <c r="AU358" s="3" t="s">
        <v>106</v>
      </c>
      <c r="AV358" s="3" t="s">
        <v>5664</v>
      </c>
      <c r="AW358" s="3" t="s">
        <v>60</v>
      </c>
      <c r="AX358" s="3" t="s">
        <v>109</v>
      </c>
      <c r="AY358" s="3" t="s">
        <v>60</v>
      </c>
      <c r="AZ358" s="5" t="s">
        <v>5665</v>
      </c>
      <c r="BA358" s="3" t="s">
        <v>87</v>
      </c>
      <c r="BB358" s="5" t="s">
        <v>5663</v>
      </c>
      <c r="BC358" s="5" t="s">
        <v>5666</v>
      </c>
      <c r="BD358" s="3" t="s">
        <v>5667</v>
      </c>
      <c r="BE358" s="3" t="s">
        <v>88</v>
      </c>
      <c r="BF358" s="3" t="s">
        <v>88</v>
      </c>
    </row>
    <row r="359" spans="1:58" x14ac:dyDescent="0.2">
      <c r="A359" s="2" t="s">
        <v>5668</v>
      </c>
      <c r="B359" s="2" t="s">
        <v>5669</v>
      </c>
      <c r="C359" s="2" t="s">
        <v>60</v>
      </c>
      <c r="D359" s="2" t="s">
        <v>60</v>
      </c>
      <c r="E359" s="2" t="s">
        <v>60</v>
      </c>
      <c r="F359" s="2" t="s">
        <v>60</v>
      </c>
      <c r="G359" s="2" t="s">
        <v>5670</v>
      </c>
      <c r="H359" s="2" t="s">
        <v>60</v>
      </c>
      <c r="I359" s="2" t="s">
        <v>60</v>
      </c>
      <c r="J359" s="2" t="s">
        <v>60</v>
      </c>
      <c r="K359" s="2" t="s">
        <v>5668</v>
      </c>
      <c r="L359" s="2" t="s">
        <v>5671</v>
      </c>
      <c r="M359" s="2" t="s">
        <v>241</v>
      </c>
      <c r="N359" s="2" t="s">
        <v>499</v>
      </c>
      <c r="O359" s="2" t="s">
        <v>2616</v>
      </c>
      <c r="P359" s="2" t="s">
        <v>2617</v>
      </c>
      <c r="Q359" s="2" t="s">
        <v>67</v>
      </c>
      <c r="R359" s="2" t="s">
        <v>5672</v>
      </c>
      <c r="S359" s="2" t="s">
        <v>96</v>
      </c>
      <c r="T359" s="16" t="s">
        <v>60</v>
      </c>
      <c r="U359" s="2" t="s">
        <v>97</v>
      </c>
      <c r="V359" s="2" t="s">
        <v>71</v>
      </c>
      <c r="W359" s="2" t="s">
        <v>98</v>
      </c>
      <c r="X359" s="8" t="str">
        <f>HYPERLINK("http://www.fipco.com.sa", "www.fipco.com.sa")</f>
        <v>www.fipco.com.sa</v>
      </c>
      <c r="Y359" s="8" t="str">
        <f>HYPERLINK("http://www.linkedin.com/company/fipco", "http://www.linkedin.com/company/fipco")</f>
        <v>http://www.linkedin.com/company/fipco</v>
      </c>
      <c r="Z359" s="28">
        <v>312</v>
      </c>
      <c r="AA359" s="2" t="s">
        <v>5673</v>
      </c>
      <c r="AB359" s="2" t="s">
        <v>74</v>
      </c>
      <c r="AC359" s="2" t="s">
        <v>5674</v>
      </c>
      <c r="AD359" s="40">
        <v>1991</v>
      </c>
      <c r="AE359" s="2" t="s">
        <v>60</v>
      </c>
      <c r="AF359" s="52">
        <v>66.59</v>
      </c>
      <c r="AG359" s="52">
        <v>9.4</v>
      </c>
      <c r="AH359" s="52">
        <v>-5.44</v>
      </c>
      <c r="AI359" s="52">
        <v>126.97</v>
      </c>
      <c r="AJ359" s="52">
        <v>-0.16</v>
      </c>
      <c r="AK359" s="52">
        <v>-3.53</v>
      </c>
      <c r="AL359" s="52">
        <v>93.67</v>
      </c>
      <c r="AM359" s="52">
        <v>17.079999999999998</v>
      </c>
      <c r="AN359" s="64">
        <v>-2.11</v>
      </c>
      <c r="AO359" s="4" t="s">
        <v>179</v>
      </c>
      <c r="AP359" s="2" t="s">
        <v>5675</v>
      </c>
      <c r="AQ359" s="2" t="s">
        <v>5676</v>
      </c>
      <c r="AR359" s="2" t="s">
        <v>299</v>
      </c>
      <c r="AS359" s="2" t="s">
        <v>5677</v>
      </c>
      <c r="AT359" s="2" t="s">
        <v>5678</v>
      </c>
      <c r="AU359" s="2" t="s">
        <v>106</v>
      </c>
      <c r="AV359" s="2" t="s">
        <v>5679</v>
      </c>
      <c r="AW359" s="2" t="s">
        <v>60</v>
      </c>
      <c r="AX359" s="2" t="s">
        <v>109</v>
      </c>
      <c r="AY359" s="2" t="s">
        <v>60</v>
      </c>
      <c r="AZ359" s="4" t="s">
        <v>5680</v>
      </c>
      <c r="BA359" s="2" t="s">
        <v>87</v>
      </c>
      <c r="BB359" s="4" t="s">
        <v>5678</v>
      </c>
      <c r="BC359" s="4" t="s">
        <v>5681</v>
      </c>
      <c r="BD359" s="2" t="s">
        <v>5682</v>
      </c>
      <c r="BE359" s="2" t="s">
        <v>88</v>
      </c>
      <c r="BF359" s="2" t="s">
        <v>88</v>
      </c>
    </row>
    <row r="360" spans="1:58" x14ac:dyDescent="0.2">
      <c r="A360" s="3" t="s">
        <v>5683</v>
      </c>
      <c r="B360" s="3" t="s">
        <v>5684</v>
      </c>
      <c r="C360" s="3" t="s">
        <v>60</v>
      </c>
      <c r="D360" s="3" t="s">
        <v>60</v>
      </c>
      <c r="E360" s="3" t="s">
        <v>5685</v>
      </c>
      <c r="F360" s="3" t="s">
        <v>5686</v>
      </c>
      <c r="G360" s="3" t="s">
        <v>5687</v>
      </c>
      <c r="H360" s="3" t="s">
        <v>60</v>
      </c>
      <c r="I360" s="3" t="s">
        <v>60</v>
      </c>
      <c r="J360" s="3" t="s">
        <v>60</v>
      </c>
      <c r="K360" s="3" t="s">
        <v>5683</v>
      </c>
      <c r="L360" s="3" t="s">
        <v>5688</v>
      </c>
      <c r="M360" s="3" t="s">
        <v>63</v>
      </c>
      <c r="N360" s="3" t="s">
        <v>92</v>
      </c>
      <c r="O360" s="3" t="s">
        <v>93</v>
      </c>
      <c r="P360" s="3" t="s">
        <v>5689</v>
      </c>
      <c r="Q360" s="3" t="s">
        <v>421</v>
      </c>
      <c r="R360" s="3" t="s">
        <v>5690</v>
      </c>
      <c r="S360" s="3" t="s">
        <v>96</v>
      </c>
      <c r="T360" s="17" t="s">
        <v>60</v>
      </c>
      <c r="U360" s="3" t="s">
        <v>1516</v>
      </c>
      <c r="V360" s="3" t="s">
        <v>71</v>
      </c>
      <c r="W360" s="3" t="s">
        <v>98</v>
      </c>
      <c r="X360" s="9" t="str">
        <f>HYPERLINK("http://www.batic.sa", "www.batic.sa")</f>
        <v>www.batic.sa</v>
      </c>
      <c r="Y360" s="3" t="s">
        <v>60</v>
      </c>
      <c r="Z360" s="29">
        <v>560</v>
      </c>
      <c r="AA360" s="3" t="s">
        <v>5691</v>
      </c>
      <c r="AB360" s="3" t="s">
        <v>74</v>
      </c>
      <c r="AC360" s="3" t="s">
        <v>5692</v>
      </c>
      <c r="AD360" s="41">
        <v>1984</v>
      </c>
      <c r="AE360" s="3" t="s">
        <v>60</v>
      </c>
      <c r="AF360" s="53">
        <v>138</v>
      </c>
      <c r="AG360" s="53">
        <v>15.51</v>
      </c>
      <c r="AH360" s="53">
        <v>-8.85</v>
      </c>
      <c r="AI360" s="53">
        <v>403.7</v>
      </c>
      <c r="AJ360" s="53">
        <v>10.83</v>
      </c>
      <c r="AK360" s="53">
        <v>-6.4</v>
      </c>
      <c r="AL360" s="53">
        <v>335.61</v>
      </c>
      <c r="AM360" s="53">
        <v>24.76</v>
      </c>
      <c r="AN360" s="65">
        <v>5</v>
      </c>
      <c r="AO360" s="5" t="s">
        <v>179</v>
      </c>
      <c r="AP360" s="3" t="s">
        <v>5693</v>
      </c>
      <c r="AQ360" s="3" t="s">
        <v>5694</v>
      </c>
      <c r="AR360" s="3" t="s">
        <v>283</v>
      </c>
      <c r="AS360" s="3" t="s">
        <v>60</v>
      </c>
      <c r="AT360" s="3" t="s">
        <v>5695</v>
      </c>
      <c r="AU360" s="3" t="s">
        <v>106</v>
      </c>
      <c r="AV360" s="3" t="s">
        <v>5696</v>
      </c>
      <c r="AW360" s="3" t="s">
        <v>5697</v>
      </c>
      <c r="AX360" s="3" t="s">
        <v>109</v>
      </c>
      <c r="AY360" s="3" t="s">
        <v>60</v>
      </c>
      <c r="AZ360" s="5" t="s">
        <v>60</v>
      </c>
      <c r="BA360" s="3" t="s">
        <v>87</v>
      </c>
      <c r="BB360" s="5" t="s">
        <v>5695</v>
      </c>
      <c r="BC360" s="5" t="s">
        <v>5698</v>
      </c>
      <c r="BD360" s="3" t="s">
        <v>5699</v>
      </c>
      <c r="BE360" s="3" t="s">
        <v>88</v>
      </c>
      <c r="BF360" s="3" t="s">
        <v>88</v>
      </c>
    </row>
    <row r="361" spans="1:58" x14ac:dyDescent="0.2">
      <c r="A361" s="2" t="s">
        <v>5700</v>
      </c>
      <c r="B361" s="2" t="s">
        <v>5701</v>
      </c>
      <c r="C361" s="2" t="s">
        <v>60</v>
      </c>
      <c r="D361" s="2" t="s">
        <v>60</v>
      </c>
      <c r="E361" s="2" t="s">
        <v>60</v>
      </c>
      <c r="F361" s="2" t="s">
        <v>5702</v>
      </c>
      <c r="G361" s="2" t="s">
        <v>5703</v>
      </c>
      <c r="H361" s="2" t="s">
        <v>60</v>
      </c>
      <c r="I361" s="2" t="s">
        <v>60</v>
      </c>
      <c r="J361" s="2" t="s">
        <v>60</v>
      </c>
      <c r="K361" s="2" t="s">
        <v>5700</v>
      </c>
      <c r="L361" s="2" t="s">
        <v>5704</v>
      </c>
      <c r="M361" s="2" t="s">
        <v>63</v>
      </c>
      <c r="N361" s="2" t="s">
        <v>92</v>
      </c>
      <c r="O361" s="2" t="s">
        <v>584</v>
      </c>
      <c r="P361" s="2" t="s">
        <v>585</v>
      </c>
      <c r="Q361" s="2" t="s">
        <v>60</v>
      </c>
      <c r="R361" s="2" t="s">
        <v>5705</v>
      </c>
      <c r="S361" s="2" t="s">
        <v>96</v>
      </c>
      <c r="T361" s="16" t="s">
        <v>60</v>
      </c>
      <c r="U361" s="2" t="s">
        <v>97</v>
      </c>
      <c r="V361" s="2" t="s">
        <v>71</v>
      </c>
      <c r="W361" s="2" t="s">
        <v>98</v>
      </c>
      <c r="X361" s="8" t="str">
        <f>HYPERLINK("http://www.mcdc.com.sa", "www.mcdc.com.sa")</f>
        <v>www.mcdc.com.sa</v>
      </c>
      <c r="Y361" s="8" t="str">
        <f>HYPERLINK("http://www.linkedin.com/company/mcdcsa", "http://www.linkedin.com/company/mcdcsa")</f>
        <v>http://www.linkedin.com/company/mcdcsa</v>
      </c>
      <c r="Z361" s="28">
        <v>1125</v>
      </c>
      <c r="AA361" s="2" t="s">
        <v>5706</v>
      </c>
      <c r="AB361" s="2" t="s">
        <v>74</v>
      </c>
      <c r="AC361" s="2" t="s">
        <v>5707</v>
      </c>
      <c r="AD361" s="40">
        <v>1989</v>
      </c>
      <c r="AE361" s="2" t="s">
        <v>60</v>
      </c>
      <c r="AF361" s="52">
        <v>283.98</v>
      </c>
      <c r="AG361" s="52">
        <v>135.80000000000001</v>
      </c>
      <c r="AH361" s="52">
        <v>123.91</v>
      </c>
      <c r="AI361" s="52">
        <v>4522.2299999999996</v>
      </c>
      <c r="AJ361" s="52">
        <v>133.9</v>
      </c>
      <c r="AK361" s="52">
        <v>123.96</v>
      </c>
      <c r="AL361" s="52">
        <v>4703.8900000000003</v>
      </c>
      <c r="AM361" s="52">
        <v>-267</v>
      </c>
      <c r="AN361" s="64">
        <v>31.49</v>
      </c>
      <c r="AO361" s="4" t="s">
        <v>179</v>
      </c>
      <c r="AP361" s="2" t="s">
        <v>5708</v>
      </c>
      <c r="AQ361" s="2" t="s">
        <v>5709</v>
      </c>
      <c r="AR361" s="2" t="s">
        <v>124</v>
      </c>
      <c r="AS361" s="2" t="s">
        <v>60</v>
      </c>
      <c r="AT361" s="2" t="s">
        <v>5710</v>
      </c>
      <c r="AU361" s="2" t="s">
        <v>594</v>
      </c>
      <c r="AV361" s="2" t="s">
        <v>5711</v>
      </c>
      <c r="AW361" s="2" t="s">
        <v>5712</v>
      </c>
      <c r="AX361" s="2" t="s">
        <v>596</v>
      </c>
      <c r="AY361" s="2" t="s">
        <v>60</v>
      </c>
      <c r="AZ361" s="4" t="s">
        <v>597</v>
      </c>
      <c r="BA361" s="2" t="s">
        <v>87</v>
      </c>
      <c r="BB361" s="4" t="s">
        <v>5710</v>
      </c>
      <c r="BC361" s="4" t="s">
        <v>60</v>
      </c>
      <c r="BD361" s="2" t="s">
        <v>5713</v>
      </c>
      <c r="BE361" s="2" t="s">
        <v>88</v>
      </c>
      <c r="BF361" s="2" t="s">
        <v>88</v>
      </c>
    </row>
    <row r="362" spans="1:58" x14ac:dyDescent="0.2">
      <c r="A362" s="3" t="s">
        <v>5714</v>
      </c>
      <c r="B362" s="3" t="s">
        <v>5715</v>
      </c>
      <c r="C362" s="3" t="s">
        <v>60</v>
      </c>
      <c r="D362" s="3" t="s">
        <v>60</v>
      </c>
      <c r="E362" s="3" t="s">
        <v>60</v>
      </c>
      <c r="F362" s="3" t="s">
        <v>5716</v>
      </c>
      <c r="G362" s="3" t="s">
        <v>5717</v>
      </c>
      <c r="H362" s="3" t="s">
        <v>60</v>
      </c>
      <c r="I362" s="3" t="s">
        <v>60</v>
      </c>
      <c r="J362" s="3" t="s">
        <v>5718</v>
      </c>
      <c r="K362" s="3" t="s">
        <v>5714</v>
      </c>
      <c r="L362" s="3" t="s">
        <v>5719</v>
      </c>
      <c r="M362" s="3" t="s">
        <v>134</v>
      </c>
      <c r="N362" s="3" t="s">
        <v>728</v>
      </c>
      <c r="O362" s="3" t="s">
        <v>729</v>
      </c>
      <c r="P362" s="3" t="s">
        <v>730</v>
      </c>
      <c r="Q362" s="3" t="s">
        <v>60</v>
      </c>
      <c r="R362" s="3" t="s">
        <v>5720</v>
      </c>
      <c r="S362" s="3" t="s">
        <v>96</v>
      </c>
      <c r="T362" s="17" t="s">
        <v>60</v>
      </c>
      <c r="U362" s="3" t="s">
        <v>97</v>
      </c>
      <c r="V362" s="3" t="s">
        <v>71</v>
      </c>
      <c r="W362" s="3" t="s">
        <v>98</v>
      </c>
      <c r="X362" s="9" t="str">
        <f>HYPERLINK("http://www.alrajhibank.com.sa", "www.alrajhibank.com.sa")</f>
        <v>www.alrajhibank.com.sa</v>
      </c>
      <c r="Y362" s="9" t="str">
        <f>HYPERLINK("http://www.linkedin.com/company/alrajhibank", "http://www.linkedin.com/company/alrajhibank")</f>
        <v>http://www.linkedin.com/company/alrajhibank</v>
      </c>
      <c r="Z362" s="29">
        <v>23437</v>
      </c>
      <c r="AA362" s="3" t="s">
        <v>5721</v>
      </c>
      <c r="AB362" s="3" t="s">
        <v>74</v>
      </c>
      <c r="AC362" s="3" t="s">
        <v>5722</v>
      </c>
      <c r="AD362" s="41">
        <v>1957</v>
      </c>
      <c r="AE362" s="3" t="s">
        <v>60</v>
      </c>
      <c r="AF362" s="53">
        <v>10380.950000000001</v>
      </c>
      <c r="AG362" s="53" t="s">
        <v>60</v>
      </c>
      <c r="AH362" s="53">
        <v>6604.58</v>
      </c>
      <c r="AI362" s="53" t="s">
        <v>60</v>
      </c>
      <c r="AJ362" s="53" t="s">
        <v>60</v>
      </c>
      <c r="AK362" s="53" t="s">
        <v>60</v>
      </c>
      <c r="AL362" s="53">
        <v>114214.48</v>
      </c>
      <c r="AM362" s="53">
        <v>208648.54</v>
      </c>
      <c r="AN362" s="65">
        <v>22.11</v>
      </c>
      <c r="AO362" s="5" t="s">
        <v>179</v>
      </c>
      <c r="AP362" s="3" t="s">
        <v>5723</v>
      </c>
      <c r="AQ362" s="3" t="s">
        <v>5724</v>
      </c>
      <c r="AR362" s="3" t="s">
        <v>266</v>
      </c>
      <c r="AS362" s="3" t="s">
        <v>5725</v>
      </c>
      <c r="AT362" s="3" t="s">
        <v>60</v>
      </c>
      <c r="AU362" s="3" t="s">
        <v>106</v>
      </c>
      <c r="AV362" s="3" t="s">
        <v>5726</v>
      </c>
      <c r="AW362" s="3" t="s">
        <v>5727</v>
      </c>
      <c r="AX362" s="3" t="s">
        <v>109</v>
      </c>
      <c r="AY362" s="3" t="s">
        <v>60</v>
      </c>
      <c r="AZ362" s="5" t="s">
        <v>5728</v>
      </c>
      <c r="BA362" s="3" t="s">
        <v>87</v>
      </c>
      <c r="BB362" s="5" t="s">
        <v>60</v>
      </c>
      <c r="BC362" s="5" t="s">
        <v>60</v>
      </c>
      <c r="BD362" s="3" t="s">
        <v>60</v>
      </c>
      <c r="BE362" s="3" t="s">
        <v>88</v>
      </c>
      <c r="BF362" s="3" t="s">
        <v>88</v>
      </c>
    </row>
    <row r="363" spans="1:58" x14ac:dyDescent="0.2">
      <c r="A363" s="2" t="s">
        <v>5729</v>
      </c>
      <c r="B363" s="2" t="s">
        <v>5730</v>
      </c>
      <c r="C363" s="2" t="s">
        <v>60</v>
      </c>
      <c r="D363" s="2" t="s">
        <v>60</v>
      </c>
      <c r="E363" s="2" t="s">
        <v>60</v>
      </c>
      <c r="F363" s="2" t="s">
        <v>5731</v>
      </c>
      <c r="G363" s="2" t="s">
        <v>5732</v>
      </c>
      <c r="H363" s="2" t="s">
        <v>60</v>
      </c>
      <c r="I363" s="2" t="s">
        <v>60</v>
      </c>
      <c r="J363" s="2" t="s">
        <v>5733</v>
      </c>
      <c r="K363" s="2" t="s">
        <v>5729</v>
      </c>
      <c r="L363" s="2" t="s">
        <v>5734</v>
      </c>
      <c r="M363" s="2" t="s">
        <v>485</v>
      </c>
      <c r="N363" s="2" t="s">
        <v>2291</v>
      </c>
      <c r="O363" s="2" t="s">
        <v>5735</v>
      </c>
      <c r="P363" s="2" t="s">
        <v>5736</v>
      </c>
      <c r="Q363" s="2" t="s">
        <v>3223</v>
      </c>
      <c r="R363" s="2" t="s">
        <v>5737</v>
      </c>
      <c r="S363" s="2" t="s">
        <v>96</v>
      </c>
      <c r="T363" s="16" t="s">
        <v>60</v>
      </c>
      <c r="U363" s="2" t="s">
        <v>97</v>
      </c>
      <c r="V363" s="2" t="s">
        <v>71</v>
      </c>
      <c r="W363" s="2" t="s">
        <v>98</v>
      </c>
      <c r="X363" s="8" t="str">
        <f>HYPERLINK("http://www.saudicable.com", "www.saudicable.com")</f>
        <v>www.saudicable.com</v>
      </c>
      <c r="Y363" s="8" t="str">
        <f>HYPERLINK("http://www.linkedin.com/company/saudi-cable-company", "http://www.linkedin.com/company/saudi-cable-company")</f>
        <v>http://www.linkedin.com/company/saudi-cable-company</v>
      </c>
      <c r="Z363" s="28">
        <v>1759</v>
      </c>
      <c r="AA363" s="2" t="s">
        <v>5738</v>
      </c>
      <c r="AB363" s="2" t="s">
        <v>74</v>
      </c>
      <c r="AC363" s="2" t="s">
        <v>5739</v>
      </c>
      <c r="AD363" s="40">
        <v>1975</v>
      </c>
      <c r="AE363" s="2" t="s">
        <v>5740</v>
      </c>
      <c r="AF363" s="52">
        <v>33.92</v>
      </c>
      <c r="AG363" s="52">
        <v>-4.7300000000000004</v>
      </c>
      <c r="AH363" s="52">
        <v>28.61</v>
      </c>
      <c r="AI363" s="52">
        <v>306.29000000000002</v>
      </c>
      <c r="AJ363" s="52">
        <v>33.979999999999997</v>
      </c>
      <c r="AK363" s="52">
        <v>30.35</v>
      </c>
      <c r="AL363" s="52">
        <v>293.27</v>
      </c>
      <c r="AM363" s="52">
        <v>26.85</v>
      </c>
      <c r="AN363" s="64">
        <v>206.38</v>
      </c>
      <c r="AO363" s="4" t="s">
        <v>179</v>
      </c>
      <c r="AP363" s="2" t="s">
        <v>5741</v>
      </c>
      <c r="AQ363" s="2" t="s">
        <v>5742</v>
      </c>
      <c r="AR363" s="2" t="s">
        <v>124</v>
      </c>
      <c r="AS363" s="2" t="s">
        <v>60</v>
      </c>
      <c r="AT363" s="2" t="s">
        <v>5743</v>
      </c>
      <c r="AU363" s="2" t="s">
        <v>82</v>
      </c>
      <c r="AV363" s="2" t="s">
        <v>5744</v>
      </c>
      <c r="AW363" s="2" t="s">
        <v>5745</v>
      </c>
      <c r="AX363" s="2" t="s">
        <v>85</v>
      </c>
      <c r="AY363" s="2" t="s">
        <v>60</v>
      </c>
      <c r="AZ363" s="4" t="s">
        <v>1297</v>
      </c>
      <c r="BA363" s="2" t="s">
        <v>87</v>
      </c>
      <c r="BB363" s="4" t="s">
        <v>5743</v>
      </c>
      <c r="BC363" s="4" t="s">
        <v>5746</v>
      </c>
      <c r="BD363" s="2" t="s">
        <v>5747</v>
      </c>
      <c r="BE363" s="2" t="s">
        <v>88</v>
      </c>
      <c r="BF363" s="2" t="s">
        <v>88</v>
      </c>
    </row>
    <row r="364" spans="1:58" x14ac:dyDescent="0.2">
      <c r="A364" s="3" t="s">
        <v>5748</v>
      </c>
      <c r="B364" s="3" t="s">
        <v>5749</v>
      </c>
      <c r="C364" s="3" t="s">
        <v>60</v>
      </c>
      <c r="D364" s="3" t="s">
        <v>60</v>
      </c>
      <c r="E364" s="3" t="s">
        <v>60</v>
      </c>
      <c r="F364" s="3" t="s">
        <v>60</v>
      </c>
      <c r="G364" s="3" t="s">
        <v>5750</v>
      </c>
      <c r="H364" s="3" t="s">
        <v>60</v>
      </c>
      <c r="I364" s="3" t="s">
        <v>60</v>
      </c>
      <c r="J364" s="3" t="s">
        <v>60</v>
      </c>
      <c r="K364" s="3" t="s">
        <v>5748</v>
      </c>
      <c r="L364" s="3" t="s">
        <v>5751</v>
      </c>
      <c r="M364" s="3" t="s">
        <v>241</v>
      </c>
      <c r="N364" s="3" t="s">
        <v>1219</v>
      </c>
      <c r="O364" s="3" t="s">
        <v>1220</v>
      </c>
      <c r="P364" s="3" t="s">
        <v>5752</v>
      </c>
      <c r="Q364" s="3" t="s">
        <v>5753</v>
      </c>
      <c r="R364" s="3" t="s">
        <v>5754</v>
      </c>
      <c r="S364" s="3" t="s">
        <v>96</v>
      </c>
      <c r="T364" s="17" t="s">
        <v>60</v>
      </c>
      <c r="U364" s="3" t="s">
        <v>1516</v>
      </c>
      <c r="V364" s="3" t="s">
        <v>71</v>
      </c>
      <c r="W364" s="3" t="s">
        <v>98</v>
      </c>
      <c r="X364" s="9" t="str">
        <f>HYPERLINK("http://www.asharqiyah.com.sa", "www.asharqiyah.com.sa")</f>
        <v>www.asharqiyah.com.sa</v>
      </c>
      <c r="Y364" s="3" t="s">
        <v>60</v>
      </c>
      <c r="Z364" s="29">
        <v>222</v>
      </c>
      <c r="AA364" s="3" t="s">
        <v>5755</v>
      </c>
      <c r="AB364" s="3" t="s">
        <v>74</v>
      </c>
      <c r="AC364" s="3" t="s">
        <v>5756</v>
      </c>
      <c r="AD364" s="41" t="s">
        <v>60</v>
      </c>
      <c r="AE364" s="3" t="s">
        <v>60</v>
      </c>
      <c r="AF364" s="53">
        <v>57.44</v>
      </c>
      <c r="AG364" s="53">
        <v>2.96</v>
      </c>
      <c r="AH364" s="53">
        <v>-5</v>
      </c>
      <c r="AI364" s="53">
        <v>105.47</v>
      </c>
      <c r="AJ364" s="53">
        <v>-1.23</v>
      </c>
      <c r="AK364" s="53">
        <v>-3.61</v>
      </c>
      <c r="AL364" s="53">
        <v>112.11</v>
      </c>
      <c r="AM364" s="53">
        <v>-30.04</v>
      </c>
      <c r="AN364" s="65">
        <v>318.68</v>
      </c>
      <c r="AO364" s="5" t="s">
        <v>179</v>
      </c>
      <c r="AP364" s="3" t="s">
        <v>5757</v>
      </c>
      <c r="AQ364" s="3" t="s">
        <v>5758</v>
      </c>
      <c r="AR364" s="3" t="s">
        <v>215</v>
      </c>
      <c r="AS364" s="3" t="s">
        <v>5759</v>
      </c>
      <c r="AT364" s="3" t="s">
        <v>5760</v>
      </c>
      <c r="AU364" s="3" t="s">
        <v>847</v>
      </c>
      <c r="AV364" s="3" t="s">
        <v>5761</v>
      </c>
      <c r="AW364" s="3" t="s">
        <v>5762</v>
      </c>
      <c r="AX364" s="3" t="s">
        <v>849</v>
      </c>
      <c r="AY364" s="3" t="s">
        <v>60</v>
      </c>
      <c r="AZ364" s="5" t="s">
        <v>4734</v>
      </c>
      <c r="BA364" s="3" t="s">
        <v>87</v>
      </c>
      <c r="BB364" s="5" t="s">
        <v>5760</v>
      </c>
      <c r="BC364" s="5" t="s">
        <v>5763</v>
      </c>
      <c r="BD364" s="3" t="s">
        <v>60</v>
      </c>
      <c r="BE364" s="3" t="s">
        <v>88</v>
      </c>
      <c r="BF364" s="3" t="s">
        <v>88</v>
      </c>
    </row>
    <row r="365" spans="1:58" x14ac:dyDescent="0.2">
      <c r="A365" s="2" t="s">
        <v>5764</v>
      </c>
      <c r="B365" s="2" t="s">
        <v>5765</v>
      </c>
      <c r="C365" s="2" t="s">
        <v>60</v>
      </c>
      <c r="D365" s="2" t="s">
        <v>60</v>
      </c>
      <c r="E365" s="2" t="s">
        <v>60</v>
      </c>
      <c r="F365" s="2" t="s">
        <v>5766</v>
      </c>
      <c r="G365" s="2" t="s">
        <v>5767</v>
      </c>
      <c r="H365" s="2" t="s">
        <v>60</v>
      </c>
      <c r="I365" s="2" t="s">
        <v>60</v>
      </c>
      <c r="J365" s="2" t="s">
        <v>5768</v>
      </c>
      <c r="K365" s="2" t="s">
        <v>5764</v>
      </c>
      <c r="L365" s="2" t="s">
        <v>5769</v>
      </c>
      <c r="M365" s="2" t="s">
        <v>134</v>
      </c>
      <c r="N365" s="2" t="s">
        <v>728</v>
      </c>
      <c r="O365" s="2" t="s">
        <v>729</v>
      </c>
      <c r="P365" s="2" t="s">
        <v>730</v>
      </c>
      <c r="Q365" s="2" t="s">
        <v>60</v>
      </c>
      <c r="R365" s="2" t="s">
        <v>5770</v>
      </c>
      <c r="S365" s="2" t="s">
        <v>96</v>
      </c>
      <c r="T365" s="16" t="s">
        <v>60</v>
      </c>
      <c r="U365" s="2" t="s">
        <v>97</v>
      </c>
      <c r="V365" s="2" t="s">
        <v>71</v>
      </c>
      <c r="W365" s="2" t="s">
        <v>98</v>
      </c>
      <c r="X365" s="8" t="str">
        <f>HYPERLINK("http://www.anb.com.sa", "www.anb.com.sa")</f>
        <v>www.anb.com.sa</v>
      </c>
      <c r="Y365" s="8" t="str">
        <f>HYPERLINK("http://www.linkedin.com/company/arab-national-bank", "http://www.linkedin.com/company/arab-national-bank")</f>
        <v>http://www.linkedin.com/company/arab-national-bank</v>
      </c>
      <c r="Z365" s="28">
        <v>4474</v>
      </c>
      <c r="AA365" s="2" t="s">
        <v>5771</v>
      </c>
      <c r="AB365" s="2" t="s">
        <v>74</v>
      </c>
      <c r="AC365" s="2" t="s">
        <v>5772</v>
      </c>
      <c r="AD365" s="40">
        <v>1979</v>
      </c>
      <c r="AE365" s="2" t="s">
        <v>60</v>
      </c>
      <c r="AF365" s="52">
        <v>2644.38</v>
      </c>
      <c r="AG365" s="52" t="s">
        <v>60</v>
      </c>
      <c r="AH365" s="52">
        <v>1391.44</v>
      </c>
      <c r="AI365" s="52" t="s">
        <v>60</v>
      </c>
      <c r="AJ365" s="52" t="s">
        <v>60</v>
      </c>
      <c r="AK365" s="52" t="s">
        <v>60</v>
      </c>
      <c r="AL365" s="52">
        <v>11869.8</v>
      </c>
      <c r="AM365" s="52">
        <v>54157.47</v>
      </c>
      <c r="AN365" s="64">
        <v>8.81</v>
      </c>
      <c r="AO365" s="4" t="s">
        <v>179</v>
      </c>
      <c r="AP365" s="2" t="s">
        <v>5773</v>
      </c>
      <c r="AQ365" s="2" t="s">
        <v>5774</v>
      </c>
      <c r="AR365" s="2" t="s">
        <v>1874</v>
      </c>
      <c r="AS365" s="2" t="s">
        <v>60</v>
      </c>
      <c r="AT365" s="2" t="s">
        <v>5775</v>
      </c>
      <c r="AU365" s="2" t="s">
        <v>106</v>
      </c>
      <c r="AV365" s="2" t="s">
        <v>5776</v>
      </c>
      <c r="AW365" s="2" t="s">
        <v>60</v>
      </c>
      <c r="AX365" s="2" t="s">
        <v>109</v>
      </c>
      <c r="AY365" s="2" t="s">
        <v>60</v>
      </c>
      <c r="AZ365" s="4" t="s">
        <v>1589</v>
      </c>
      <c r="BA365" s="2" t="s">
        <v>87</v>
      </c>
      <c r="BB365" s="4" t="s">
        <v>5775</v>
      </c>
      <c r="BC365" s="4" t="s">
        <v>5777</v>
      </c>
      <c r="BD365" s="2" t="s">
        <v>5778</v>
      </c>
      <c r="BE365" s="2" t="s">
        <v>88</v>
      </c>
      <c r="BF365" s="2" t="s">
        <v>88</v>
      </c>
    </row>
    <row r="366" spans="1:58" x14ac:dyDescent="0.2">
      <c r="A366" s="3" t="s">
        <v>5779</v>
      </c>
      <c r="B366" s="3" t="s">
        <v>5780</v>
      </c>
      <c r="C366" s="3" t="s">
        <v>60</v>
      </c>
      <c r="D366" s="3" t="s">
        <v>60</v>
      </c>
      <c r="E366" s="3" t="s">
        <v>60</v>
      </c>
      <c r="F366" s="3" t="s">
        <v>5781</v>
      </c>
      <c r="G366" s="3" t="s">
        <v>5782</v>
      </c>
      <c r="H366" s="3" t="s">
        <v>60</v>
      </c>
      <c r="I366" s="3" t="s">
        <v>60</v>
      </c>
      <c r="J366" s="3" t="s">
        <v>60</v>
      </c>
      <c r="K366" s="3" t="s">
        <v>5779</v>
      </c>
      <c r="L366" s="3" t="s">
        <v>5783</v>
      </c>
      <c r="M366" s="3" t="s">
        <v>63</v>
      </c>
      <c r="N366" s="3" t="s">
        <v>418</v>
      </c>
      <c r="O366" s="3" t="s">
        <v>763</v>
      </c>
      <c r="P366" s="3" t="s">
        <v>764</v>
      </c>
      <c r="Q366" s="3" t="s">
        <v>421</v>
      </c>
      <c r="R366" s="3" t="s">
        <v>5784</v>
      </c>
      <c r="S366" s="3" t="s">
        <v>96</v>
      </c>
      <c r="T366" s="17" t="s">
        <v>60</v>
      </c>
      <c r="U366" s="3" t="s">
        <v>1516</v>
      </c>
      <c r="V366" s="3" t="s">
        <v>71</v>
      </c>
      <c r="W366" s="3" t="s">
        <v>98</v>
      </c>
      <c r="X366" s="9" t="str">
        <f>HYPERLINK("http://www.saptco.com.sa", "www.saptco.com.sa")</f>
        <v>www.saptco.com.sa</v>
      </c>
      <c r="Y366" s="3" t="s">
        <v>60</v>
      </c>
      <c r="Z366" s="29">
        <v>5647</v>
      </c>
      <c r="AA366" s="3" t="s">
        <v>5785</v>
      </c>
      <c r="AB366" s="3" t="s">
        <v>74</v>
      </c>
      <c r="AC366" s="3" t="s">
        <v>5786</v>
      </c>
      <c r="AD366" s="41">
        <v>1979</v>
      </c>
      <c r="AE366" s="3" t="s">
        <v>60</v>
      </c>
      <c r="AF366" s="53">
        <v>404.88</v>
      </c>
      <c r="AG366" s="53">
        <v>64.02</v>
      </c>
      <c r="AH366" s="53">
        <v>0.63</v>
      </c>
      <c r="AI366" s="53">
        <v>780.85</v>
      </c>
      <c r="AJ366" s="53">
        <v>85.85</v>
      </c>
      <c r="AK366" s="53">
        <v>28.83</v>
      </c>
      <c r="AL366" s="53">
        <v>332.95</v>
      </c>
      <c r="AM366" s="53">
        <v>257.56</v>
      </c>
      <c r="AN366" s="65">
        <v>0.04</v>
      </c>
      <c r="AO366" s="5" t="s">
        <v>179</v>
      </c>
      <c r="AP366" s="3" t="s">
        <v>5787</v>
      </c>
      <c r="AQ366" s="3" t="s">
        <v>5788</v>
      </c>
      <c r="AR366" s="3" t="s">
        <v>79</v>
      </c>
      <c r="AS366" s="3" t="s">
        <v>60</v>
      </c>
      <c r="AT366" s="3" t="s">
        <v>5789</v>
      </c>
      <c r="AU366" s="3" t="s">
        <v>106</v>
      </c>
      <c r="AV366" s="3" t="s">
        <v>5790</v>
      </c>
      <c r="AW366" s="3" t="s">
        <v>5791</v>
      </c>
      <c r="AX366" s="3" t="s">
        <v>109</v>
      </c>
      <c r="AY366" s="3" t="s">
        <v>60</v>
      </c>
      <c r="AZ366" s="5" t="s">
        <v>5792</v>
      </c>
      <c r="BA366" s="3" t="s">
        <v>87</v>
      </c>
      <c r="BB366" s="5" t="s">
        <v>5789</v>
      </c>
      <c r="BC366" s="5" t="s">
        <v>5793</v>
      </c>
      <c r="BD366" s="3" t="s">
        <v>60</v>
      </c>
      <c r="BE366" s="3" t="s">
        <v>88</v>
      </c>
      <c r="BF366" s="3" t="s">
        <v>88</v>
      </c>
    </row>
    <row r="367" spans="1:58" x14ac:dyDescent="0.2">
      <c r="A367" s="2" t="s">
        <v>5794</v>
      </c>
      <c r="B367" s="2" t="s">
        <v>5795</v>
      </c>
      <c r="C367" s="2" t="s">
        <v>60</v>
      </c>
      <c r="D367" s="2" t="s">
        <v>60</v>
      </c>
      <c r="E367" s="2" t="s">
        <v>60</v>
      </c>
      <c r="F367" s="2" t="s">
        <v>60</v>
      </c>
      <c r="G367" s="2" t="s">
        <v>5796</v>
      </c>
      <c r="H367" s="2" t="s">
        <v>60</v>
      </c>
      <c r="I367" s="2" t="s">
        <v>60</v>
      </c>
      <c r="J367" s="2" t="s">
        <v>60</v>
      </c>
      <c r="K367" s="2" t="s">
        <v>5794</v>
      </c>
      <c r="L367" s="2" t="s">
        <v>5797</v>
      </c>
      <c r="M367" s="2" t="s">
        <v>134</v>
      </c>
      <c r="N367" s="2" t="s">
        <v>135</v>
      </c>
      <c r="O367" s="2" t="s">
        <v>136</v>
      </c>
      <c r="P367" s="2" t="s">
        <v>5798</v>
      </c>
      <c r="Q367" s="2" t="s">
        <v>60</v>
      </c>
      <c r="R367" s="2" t="s">
        <v>5799</v>
      </c>
      <c r="S367" s="2" t="s">
        <v>96</v>
      </c>
      <c r="T367" s="16" t="s">
        <v>60</v>
      </c>
      <c r="U367" s="2" t="s">
        <v>1516</v>
      </c>
      <c r="V367" s="2" t="s">
        <v>71</v>
      </c>
      <c r="W367" s="2" t="s">
        <v>98</v>
      </c>
      <c r="X367" s="8" t="str">
        <f>HYPERLINK("http://sinadholding.com", "sinadholding.com")</f>
        <v>sinadholding.com</v>
      </c>
      <c r="Y367" s="8" t="str">
        <f>HYPERLINK("http://www.linkedin.com/company/sinad-holding", "http://www.linkedin.com/company/sinad-holding")</f>
        <v>http://www.linkedin.com/company/sinad-holding</v>
      </c>
      <c r="Z367" s="28">
        <v>3493</v>
      </c>
      <c r="AA367" s="2" t="s">
        <v>5800</v>
      </c>
      <c r="AB367" s="2" t="s">
        <v>74</v>
      </c>
      <c r="AC367" s="2" t="s">
        <v>5801</v>
      </c>
      <c r="AD367" s="40">
        <v>1975</v>
      </c>
      <c r="AE367" s="2" t="s">
        <v>60</v>
      </c>
      <c r="AF367" s="52">
        <v>455.46</v>
      </c>
      <c r="AG367" s="52">
        <v>124.7</v>
      </c>
      <c r="AH367" s="52">
        <v>0.49</v>
      </c>
      <c r="AI367" s="52">
        <v>544.29999999999995</v>
      </c>
      <c r="AJ367" s="52">
        <v>33.99</v>
      </c>
      <c r="AK367" s="52">
        <v>14.87</v>
      </c>
      <c r="AL367" s="52">
        <v>299.62</v>
      </c>
      <c r="AM367" s="52">
        <v>126.76</v>
      </c>
      <c r="AN367" s="64">
        <v>-2.81</v>
      </c>
      <c r="AO367" s="4" t="s">
        <v>179</v>
      </c>
      <c r="AP367" s="2" t="s">
        <v>5802</v>
      </c>
      <c r="AQ367" s="2" t="s">
        <v>5803</v>
      </c>
      <c r="AR367" s="2" t="s">
        <v>5068</v>
      </c>
      <c r="AS367" s="2" t="s">
        <v>60</v>
      </c>
      <c r="AT367" s="2" t="s">
        <v>5804</v>
      </c>
      <c r="AU367" s="2" t="s">
        <v>106</v>
      </c>
      <c r="AV367" s="2" t="s">
        <v>5805</v>
      </c>
      <c r="AW367" s="2" t="s">
        <v>5806</v>
      </c>
      <c r="AX367" s="2" t="s">
        <v>109</v>
      </c>
      <c r="AY367" s="2" t="s">
        <v>60</v>
      </c>
      <c r="AZ367" s="4" t="s">
        <v>3946</v>
      </c>
      <c r="BA367" s="2" t="s">
        <v>87</v>
      </c>
      <c r="BB367" s="4" t="s">
        <v>5804</v>
      </c>
      <c r="BC367" s="4" t="s">
        <v>5807</v>
      </c>
      <c r="BD367" s="2" t="s">
        <v>5808</v>
      </c>
      <c r="BE367" s="2" t="s">
        <v>88</v>
      </c>
      <c r="BF367" s="2" t="s">
        <v>88</v>
      </c>
    </row>
    <row r="368" spans="1:58" x14ac:dyDescent="0.2">
      <c r="A368" s="3" t="s">
        <v>5809</v>
      </c>
      <c r="B368" s="3" t="s">
        <v>5810</v>
      </c>
      <c r="C368" s="3" t="s">
        <v>60</v>
      </c>
      <c r="D368" s="3" t="s">
        <v>60</v>
      </c>
      <c r="E368" s="3" t="s">
        <v>60</v>
      </c>
      <c r="F368" s="3" t="s">
        <v>5811</v>
      </c>
      <c r="G368" s="3" t="s">
        <v>5812</v>
      </c>
      <c r="H368" s="3" t="s">
        <v>60</v>
      </c>
      <c r="I368" s="3" t="s">
        <v>60</v>
      </c>
      <c r="J368" s="3" t="s">
        <v>5813</v>
      </c>
      <c r="K368" s="3" t="s">
        <v>5809</v>
      </c>
      <c r="L368" s="3" t="s">
        <v>5814</v>
      </c>
      <c r="M368" s="3" t="s">
        <v>134</v>
      </c>
      <c r="N368" s="3" t="s">
        <v>728</v>
      </c>
      <c r="O368" s="3" t="s">
        <v>729</v>
      </c>
      <c r="P368" s="3" t="s">
        <v>730</v>
      </c>
      <c r="Q368" s="3" t="s">
        <v>60</v>
      </c>
      <c r="R368" s="3" t="s">
        <v>5815</v>
      </c>
      <c r="S368" s="3" t="s">
        <v>96</v>
      </c>
      <c r="T368" s="17" t="s">
        <v>60</v>
      </c>
      <c r="U368" s="3" t="s">
        <v>97</v>
      </c>
      <c r="V368" s="3" t="s">
        <v>71</v>
      </c>
      <c r="W368" s="3" t="s">
        <v>98</v>
      </c>
      <c r="X368" s="9" t="str">
        <f>HYPERLINK("http://www.aljazirabank.com.sa", "www.aljazirabank.com.sa")</f>
        <v>www.aljazirabank.com.sa</v>
      </c>
      <c r="Y368" s="9" t="str">
        <f>HYPERLINK("http://www.linkedin.com/company/bank-al-jazira", "http://www.linkedin.com/company/bank-al-jazira")</f>
        <v>http://www.linkedin.com/company/bank-al-jazira</v>
      </c>
      <c r="Z368" s="29">
        <v>3208</v>
      </c>
      <c r="AA368" s="3" t="s">
        <v>5816</v>
      </c>
      <c r="AB368" s="3" t="s">
        <v>74</v>
      </c>
      <c r="AC368" s="3" t="s">
        <v>5817</v>
      </c>
      <c r="AD368" s="41">
        <v>1975</v>
      </c>
      <c r="AE368" s="3" t="s">
        <v>60</v>
      </c>
      <c r="AF368" s="53">
        <v>1130.69</v>
      </c>
      <c r="AG368" s="53" t="s">
        <v>60</v>
      </c>
      <c r="AH368" s="53">
        <v>379</v>
      </c>
      <c r="AI368" s="53" t="s">
        <v>60</v>
      </c>
      <c r="AJ368" s="53" t="s">
        <v>60</v>
      </c>
      <c r="AK368" s="53" t="s">
        <v>60</v>
      </c>
      <c r="AL368" s="53">
        <v>4287.9399999999996</v>
      </c>
      <c r="AM368" s="53">
        <v>33301.46</v>
      </c>
      <c r="AN368" s="65">
        <v>15.32</v>
      </c>
      <c r="AO368" s="5" t="s">
        <v>179</v>
      </c>
      <c r="AP368" s="3" t="s">
        <v>5818</v>
      </c>
      <c r="AQ368" s="3" t="s">
        <v>5819</v>
      </c>
      <c r="AR368" s="3" t="s">
        <v>5820</v>
      </c>
      <c r="AS368" s="3" t="s">
        <v>5821</v>
      </c>
      <c r="AT368" s="3" t="s">
        <v>5822</v>
      </c>
      <c r="AU368" s="3" t="s">
        <v>82</v>
      </c>
      <c r="AV368" s="3" t="s">
        <v>5823</v>
      </c>
      <c r="AW368" s="3" t="s">
        <v>5824</v>
      </c>
      <c r="AX368" s="3" t="s">
        <v>85</v>
      </c>
      <c r="AY368" s="3" t="s">
        <v>60</v>
      </c>
      <c r="AZ368" s="5" t="s">
        <v>2099</v>
      </c>
      <c r="BA368" s="3" t="s">
        <v>87</v>
      </c>
      <c r="BB368" s="5" t="s">
        <v>5822</v>
      </c>
      <c r="BC368" s="5" t="s">
        <v>5825</v>
      </c>
      <c r="BD368" s="3" t="s">
        <v>60</v>
      </c>
      <c r="BE368" s="3" t="s">
        <v>88</v>
      </c>
      <c r="BF368" s="3" t="s">
        <v>88</v>
      </c>
    </row>
    <row r="369" spans="1:58" x14ac:dyDescent="0.2">
      <c r="A369" s="2" t="s">
        <v>5826</v>
      </c>
      <c r="B369" s="2" t="s">
        <v>5827</v>
      </c>
      <c r="C369" s="2" t="s">
        <v>60</v>
      </c>
      <c r="D369" s="2" t="s">
        <v>60</v>
      </c>
      <c r="E369" s="2" t="s">
        <v>60</v>
      </c>
      <c r="F369" s="2" t="s">
        <v>60</v>
      </c>
      <c r="G369" s="2" t="s">
        <v>5828</v>
      </c>
      <c r="H369" s="2" t="s">
        <v>60</v>
      </c>
      <c r="I369" s="2" t="s">
        <v>60</v>
      </c>
      <c r="J369" s="2" t="s">
        <v>60</v>
      </c>
      <c r="K369" s="2" t="s">
        <v>5826</v>
      </c>
      <c r="L369" s="2" t="s">
        <v>5829</v>
      </c>
      <c r="M369" s="2" t="s">
        <v>115</v>
      </c>
      <c r="N369" s="2" t="s">
        <v>208</v>
      </c>
      <c r="O369" s="2" t="s">
        <v>209</v>
      </c>
      <c r="P369" s="2" t="s">
        <v>5830</v>
      </c>
      <c r="Q369" s="2" t="s">
        <v>67</v>
      </c>
      <c r="R369" s="2" t="s">
        <v>5831</v>
      </c>
      <c r="S369" s="2" t="s">
        <v>96</v>
      </c>
      <c r="T369" s="16" t="s">
        <v>60</v>
      </c>
      <c r="U369" s="2" t="s">
        <v>70</v>
      </c>
      <c r="V369" s="2" t="s">
        <v>71</v>
      </c>
      <c r="W369" s="2" t="s">
        <v>98</v>
      </c>
      <c r="X369" s="8" t="str">
        <f>HYPERLINK("http://www.akada.com.sa", "www.akada.com.sa")</f>
        <v>www.akada.com.sa</v>
      </c>
      <c r="Y369" s="8" t="str">
        <f>HYPERLINK("http://www.linkedin.com/company/akada-trading-company-llc", "http://www.linkedin.com/company/akada-trading-company-llc")</f>
        <v>http://www.linkedin.com/company/akada-trading-company-llc</v>
      </c>
      <c r="Z369" s="28" t="s">
        <v>60</v>
      </c>
      <c r="AA369" s="2" t="s">
        <v>60</v>
      </c>
      <c r="AB369" s="2" t="s">
        <v>60</v>
      </c>
      <c r="AC369" s="2" t="s">
        <v>60</v>
      </c>
      <c r="AD369" s="40">
        <v>1998</v>
      </c>
      <c r="AE369" s="2" t="s">
        <v>60</v>
      </c>
      <c r="AF369" s="52" t="s">
        <v>60</v>
      </c>
      <c r="AG369" s="52" t="s">
        <v>60</v>
      </c>
      <c r="AH369" s="52" t="s">
        <v>60</v>
      </c>
      <c r="AI369" s="52" t="s">
        <v>60</v>
      </c>
      <c r="AJ369" s="52" t="s">
        <v>60</v>
      </c>
      <c r="AK369" s="52" t="s">
        <v>60</v>
      </c>
      <c r="AL369" s="52" t="s">
        <v>60</v>
      </c>
      <c r="AM369" s="52" t="s">
        <v>60</v>
      </c>
      <c r="AN369" s="64" t="s">
        <v>60</v>
      </c>
      <c r="AO369" s="4" t="s">
        <v>60</v>
      </c>
      <c r="AP369" s="2" t="s">
        <v>5832</v>
      </c>
      <c r="AQ369" s="2" t="s">
        <v>5833</v>
      </c>
      <c r="AR369" s="2" t="s">
        <v>79</v>
      </c>
      <c r="AS369" s="2" t="s">
        <v>5834</v>
      </c>
      <c r="AT369" s="2" t="s">
        <v>5835</v>
      </c>
      <c r="AU369" s="2" t="s">
        <v>106</v>
      </c>
      <c r="AV369" s="2" t="s">
        <v>5836</v>
      </c>
      <c r="AW369" s="2" t="s">
        <v>60</v>
      </c>
      <c r="AX369" s="2" t="s">
        <v>109</v>
      </c>
      <c r="AY369" s="2" t="s">
        <v>60</v>
      </c>
      <c r="AZ369" s="4" t="s">
        <v>5837</v>
      </c>
      <c r="BA369" s="2" t="s">
        <v>87</v>
      </c>
      <c r="BB369" s="4" t="s">
        <v>5835</v>
      </c>
      <c r="BC369" s="4" t="s">
        <v>60</v>
      </c>
      <c r="BD369" s="2" t="s">
        <v>5838</v>
      </c>
      <c r="BE369" s="2" t="s">
        <v>88</v>
      </c>
      <c r="BF369" s="2" t="s">
        <v>88</v>
      </c>
    </row>
    <row r="370" spans="1:58" x14ac:dyDescent="0.2">
      <c r="A370" s="3" t="s">
        <v>5839</v>
      </c>
      <c r="B370" s="3" t="s">
        <v>5840</v>
      </c>
      <c r="C370" s="3" t="s">
        <v>60</v>
      </c>
      <c r="D370" s="3" t="s">
        <v>60</v>
      </c>
      <c r="E370" s="3" t="s">
        <v>5841</v>
      </c>
      <c r="F370" s="3" t="s">
        <v>60</v>
      </c>
      <c r="G370" s="3" t="s">
        <v>5842</v>
      </c>
      <c r="H370" s="3" t="s">
        <v>60</v>
      </c>
      <c r="I370" s="3" t="s">
        <v>60</v>
      </c>
      <c r="J370" s="3" t="s">
        <v>60</v>
      </c>
      <c r="K370" s="3" t="s">
        <v>5839</v>
      </c>
      <c r="L370" s="3" t="s">
        <v>5843</v>
      </c>
      <c r="M370" s="3" t="s">
        <v>134</v>
      </c>
      <c r="N370" s="3" t="s">
        <v>135</v>
      </c>
      <c r="O370" s="3" t="s">
        <v>135</v>
      </c>
      <c r="P370" s="3" t="s">
        <v>1793</v>
      </c>
      <c r="Q370" s="3" t="s">
        <v>60</v>
      </c>
      <c r="R370" s="3" t="s">
        <v>5844</v>
      </c>
      <c r="S370" s="3" t="s">
        <v>96</v>
      </c>
      <c r="T370" s="17" t="s">
        <v>60</v>
      </c>
      <c r="U370" s="3" t="s">
        <v>70</v>
      </c>
      <c r="V370" s="3" t="s">
        <v>71</v>
      </c>
      <c r="W370" s="3" t="s">
        <v>98</v>
      </c>
      <c r="X370" s="9" t="str">
        <f>HYPERLINK("http://www.alujain.sa", "www.alujain.sa")</f>
        <v>www.alujain.sa</v>
      </c>
      <c r="Y370" s="3" t="s">
        <v>60</v>
      </c>
      <c r="Z370" s="29">
        <v>1921</v>
      </c>
      <c r="AA370" s="3" t="s">
        <v>5845</v>
      </c>
      <c r="AB370" s="3" t="s">
        <v>74</v>
      </c>
      <c r="AC370" s="3" t="s">
        <v>5846</v>
      </c>
      <c r="AD370" s="41">
        <v>1991</v>
      </c>
      <c r="AE370" s="3" t="s">
        <v>60</v>
      </c>
      <c r="AF370" s="53">
        <v>354.86</v>
      </c>
      <c r="AG370" s="53">
        <v>18</v>
      </c>
      <c r="AH370" s="53">
        <v>-28.01</v>
      </c>
      <c r="AI370" s="53">
        <v>942.7</v>
      </c>
      <c r="AJ370" s="53">
        <v>22.28</v>
      </c>
      <c r="AK370" s="53">
        <v>-42.06</v>
      </c>
      <c r="AL370" s="53">
        <v>469.28</v>
      </c>
      <c r="AM370" s="53">
        <v>-97.73</v>
      </c>
      <c r="AN370" s="65">
        <v>-2.9</v>
      </c>
      <c r="AO370" s="5" t="s">
        <v>179</v>
      </c>
      <c r="AP370" s="3" t="s">
        <v>5847</v>
      </c>
      <c r="AQ370" s="3" t="s">
        <v>5848</v>
      </c>
      <c r="AR370" s="3" t="s">
        <v>79</v>
      </c>
      <c r="AS370" s="3" t="s">
        <v>5849</v>
      </c>
      <c r="AT370" s="3" t="s">
        <v>5850</v>
      </c>
      <c r="AU370" s="3" t="s">
        <v>106</v>
      </c>
      <c r="AV370" s="3" t="s">
        <v>5851</v>
      </c>
      <c r="AW370" s="3" t="s">
        <v>5664</v>
      </c>
      <c r="AX370" s="3" t="s">
        <v>109</v>
      </c>
      <c r="AY370" s="3" t="s">
        <v>60</v>
      </c>
      <c r="AZ370" s="5" t="s">
        <v>5852</v>
      </c>
      <c r="BA370" s="3" t="s">
        <v>87</v>
      </c>
      <c r="BB370" s="5" t="s">
        <v>5850</v>
      </c>
      <c r="BC370" s="5" t="s">
        <v>5853</v>
      </c>
      <c r="BD370" s="3" t="s">
        <v>5854</v>
      </c>
      <c r="BE370" s="3" t="s">
        <v>88</v>
      </c>
      <c r="BF370" s="3" t="s">
        <v>88</v>
      </c>
    </row>
    <row r="371" spans="1:58" x14ac:dyDescent="0.2">
      <c r="A371" s="2" t="s">
        <v>5855</v>
      </c>
      <c r="B371" s="2" t="s">
        <v>5856</v>
      </c>
      <c r="C371" s="2" t="s">
        <v>60</v>
      </c>
      <c r="D371" s="2" t="s">
        <v>60</v>
      </c>
      <c r="E371" s="2" t="s">
        <v>5857</v>
      </c>
      <c r="F371" s="2" t="s">
        <v>60</v>
      </c>
      <c r="G371" s="2" t="s">
        <v>5858</v>
      </c>
      <c r="H371" s="2" t="s">
        <v>60</v>
      </c>
      <c r="I371" s="2" t="s">
        <v>60</v>
      </c>
      <c r="J371" s="2" t="s">
        <v>5859</v>
      </c>
      <c r="K371" s="2" t="s">
        <v>5855</v>
      </c>
      <c r="L371" s="2" t="s">
        <v>5860</v>
      </c>
      <c r="M371" s="2" t="s">
        <v>63</v>
      </c>
      <c r="N371" s="2" t="s">
        <v>92</v>
      </c>
      <c r="O371" s="2" t="s">
        <v>93</v>
      </c>
      <c r="P371" s="2" t="s">
        <v>5861</v>
      </c>
      <c r="Q371" s="2" t="s">
        <v>5862</v>
      </c>
      <c r="R371" s="2" t="s">
        <v>5863</v>
      </c>
      <c r="S371" s="2" t="s">
        <v>96</v>
      </c>
      <c r="T371" s="16" t="s">
        <v>60</v>
      </c>
      <c r="U371" s="2" t="s">
        <v>97</v>
      </c>
      <c r="V371" s="2" t="s">
        <v>71</v>
      </c>
      <c r="W371" s="2" t="s">
        <v>98</v>
      </c>
      <c r="X371" s="8" t="str">
        <f>HYPERLINK("http://www.bahri.sa", "www.bahri.sa")</f>
        <v>www.bahri.sa</v>
      </c>
      <c r="Y371" s="8" t="str">
        <f>HYPERLINK("http://www.linkedin.com/company/bahri", "http://www.linkedin.com/company/bahri")</f>
        <v>http://www.linkedin.com/company/bahri</v>
      </c>
      <c r="Z371" s="28">
        <v>2400</v>
      </c>
      <c r="AA371" s="2" t="s">
        <v>5864</v>
      </c>
      <c r="AB371" s="2" t="s">
        <v>74</v>
      </c>
      <c r="AC371" s="2" t="s">
        <v>5865</v>
      </c>
      <c r="AD371" s="40">
        <v>1978</v>
      </c>
      <c r="AE371" s="2" t="s">
        <v>60</v>
      </c>
      <c r="AF371" s="52">
        <v>2476.16</v>
      </c>
      <c r="AG371" s="52">
        <v>583.44000000000005</v>
      </c>
      <c r="AH371" s="52">
        <v>513.29999999999995</v>
      </c>
      <c r="AI371" s="52">
        <v>9613.14</v>
      </c>
      <c r="AJ371" s="52">
        <v>1244.45</v>
      </c>
      <c r="AK371" s="52">
        <v>740.42</v>
      </c>
      <c r="AL371" s="52">
        <v>7792.15</v>
      </c>
      <c r="AM371" s="52">
        <v>2624.08</v>
      </c>
      <c r="AN371" s="64">
        <v>0.12</v>
      </c>
      <c r="AO371" s="4" t="s">
        <v>179</v>
      </c>
      <c r="AP371" s="2" t="s">
        <v>5866</v>
      </c>
      <c r="AQ371" s="2" t="s">
        <v>5867</v>
      </c>
      <c r="AR371" s="2" t="s">
        <v>124</v>
      </c>
      <c r="AS371" s="2" t="s">
        <v>5868</v>
      </c>
      <c r="AT371" s="2" t="s">
        <v>5869</v>
      </c>
      <c r="AU371" s="2" t="s">
        <v>106</v>
      </c>
      <c r="AV371" s="2" t="s">
        <v>5870</v>
      </c>
      <c r="AW371" s="2" t="s">
        <v>5871</v>
      </c>
      <c r="AX371" s="2" t="s">
        <v>109</v>
      </c>
      <c r="AY371" s="2" t="s">
        <v>60</v>
      </c>
      <c r="AZ371" s="4" t="s">
        <v>1891</v>
      </c>
      <c r="BA371" s="2" t="s">
        <v>87</v>
      </c>
      <c r="BB371" s="4" t="s">
        <v>5869</v>
      </c>
      <c r="BC371" s="4" t="s">
        <v>5872</v>
      </c>
      <c r="BD371" s="2" t="s">
        <v>5873</v>
      </c>
      <c r="BE371" s="2" t="s">
        <v>88</v>
      </c>
      <c r="BF371" s="2" t="s">
        <v>88</v>
      </c>
    </row>
    <row r="372" spans="1:58" x14ac:dyDescent="0.2">
      <c r="A372" s="3" t="s">
        <v>5874</v>
      </c>
      <c r="B372" s="3" t="s">
        <v>5875</v>
      </c>
      <c r="C372" s="3" t="s">
        <v>60</v>
      </c>
      <c r="D372" s="3" t="s">
        <v>60</v>
      </c>
      <c r="E372" s="3" t="s">
        <v>60</v>
      </c>
      <c r="F372" s="3" t="s">
        <v>60</v>
      </c>
      <c r="G372" s="3" t="s">
        <v>5876</v>
      </c>
      <c r="H372" s="3" t="s">
        <v>60</v>
      </c>
      <c r="I372" s="3" t="s">
        <v>60</v>
      </c>
      <c r="J372" s="3" t="s">
        <v>5877</v>
      </c>
      <c r="K372" s="3" t="s">
        <v>5874</v>
      </c>
      <c r="L372" s="3" t="s">
        <v>5878</v>
      </c>
      <c r="M372" s="3" t="s">
        <v>241</v>
      </c>
      <c r="N372" s="3" t="s">
        <v>242</v>
      </c>
      <c r="O372" s="3" t="s">
        <v>243</v>
      </c>
      <c r="P372" s="3" t="s">
        <v>244</v>
      </c>
      <c r="Q372" s="3" t="s">
        <v>67</v>
      </c>
      <c r="R372" s="3" t="s">
        <v>5879</v>
      </c>
      <c r="S372" s="3" t="s">
        <v>96</v>
      </c>
      <c r="T372" s="17" t="s">
        <v>60</v>
      </c>
      <c r="U372" s="3" t="s">
        <v>97</v>
      </c>
      <c r="V372" s="3" t="s">
        <v>71</v>
      </c>
      <c r="W372" s="3" t="s">
        <v>98</v>
      </c>
      <c r="X372" s="9" t="str">
        <f>HYPERLINK("http://www.epcco.com.sa", "www.epcco.com.sa")</f>
        <v>www.epcco.com.sa</v>
      </c>
      <c r="Y372" s="9" t="str">
        <f>HYPERLINK("http://www.linkedin.com/company/eastern-province-cement-company", "http://www.linkedin.com/company/eastern-province-cement-company")</f>
        <v>http://www.linkedin.com/company/eastern-province-cement-company</v>
      </c>
      <c r="Z372" s="29">
        <v>282</v>
      </c>
      <c r="AA372" s="3" t="s">
        <v>5880</v>
      </c>
      <c r="AB372" s="3" t="s">
        <v>74</v>
      </c>
      <c r="AC372" s="3" t="s">
        <v>5881</v>
      </c>
      <c r="AD372" s="41">
        <v>1982</v>
      </c>
      <c r="AE372" s="3" t="s">
        <v>60</v>
      </c>
      <c r="AF372" s="53">
        <v>334.2</v>
      </c>
      <c r="AG372" s="53">
        <v>94.53</v>
      </c>
      <c r="AH372" s="53">
        <v>59.61</v>
      </c>
      <c r="AI372" s="53">
        <v>567.92999999999995</v>
      </c>
      <c r="AJ372" s="53">
        <v>96.73</v>
      </c>
      <c r="AK372" s="53">
        <v>67.25</v>
      </c>
      <c r="AL372" s="53">
        <v>560.76</v>
      </c>
      <c r="AM372" s="53">
        <v>-12.59</v>
      </c>
      <c r="AN372" s="65">
        <v>7.89</v>
      </c>
      <c r="AO372" s="5" t="s">
        <v>179</v>
      </c>
      <c r="AP372" s="3" t="s">
        <v>5882</v>
      </c>
      <c r="AQ372" s="3" t="s">
        <v>5883</v>
      </c>
      <c r="AR372" s="3" t="s">
        <v>79</v>
      </c>
      <c r="AS372" s="3" t="s">
        <v>5884</v>
      </c>
      <c r="AT372" s="3" t="s">
        <v>5885</v>
      </c>
      <c r="AU372" s="3" t="s">
        <v>847</v>
      </c>
      <c r="AV372" s="3" t="s">
        <v>5886</v>
      </c>
      <c r="AW372" s="3" t="s">
        <v>60</v>
      </c>
      <c r="AX372" s="3" t="s">
        <v>849</v>
      </c>
      <c r="AY372" s="3" t="s">
        <v>60</v>
      </c>
      <c r="AZ372" s="5" t="s">
        <v>4365</v>
      </c>
      <c r="BA372" s="3" t="s">
        <v>87</v>
      </c>
      <c r="BB372" s="5" t="s">
        <v>5885</v>
      </c>
      <c r="BC372" s="5" t="s">
        <v>5887</v>
      </c>
      <c r="BD372" s="3" t="s">
        <v>60</v>
      </c>
      <c r="BE372" s="3" t="s">
        <v>88</v>
      </c>
      <c r="BF372" s="3" t="s">
        <v>88</v>
      </c>
    </row>
    <row r="373" spans="1:58" x14ac:dyDescent="0.2">
      <c r="A373" s="2" t="s">
        <v>5888</v>
      </c>
      <c r="B373" s="2" t="s">
        <v>5889</v>
      </c>
      <c r="C373" s="2" t="s">
        <v>60</v>
      </c>
      <c r="D373" s="2" t="s">
        <v>60</v>
      </c>
      <c r="E373" s="2" t="s">
        <v>5890</v>
      </c>
      <c r="F373" s="2" t="s">
        <v>5891</v>
      </c>
      <c r="G373" s="2" t="s">
        <v>5892</v>
      </c>
      <c r="H373" s="2" t="s">
        <v>60</v>
      </c>
      <c r="I373" s="2" t="s">
        <v>60</v>
      </c>
      <c r="J373" s="2" t="s">
        <v>60</v>
      </c>
      <c r="K373" s="2" t="s">
        <v>5888</v>
      </c>
      <c r="L373" s="2" t="s">
        <v>5893</v>
      </c>
      <c r="M373" s="2" t="s">
        <v>241</v>
      </c>
      <c r="N373" s="2" t="s">
        <v>1219</v>
      </c>
      <c r="O373" s="2" t="s">
        <v>1220</v>
      </c>
      <c r="P373" s="2" t="s">
        <v>5894</v>
      </c>
      <c r="Q373" s="2" t="s">
        <v>60</v>
      </c>
      <c r="R373" s="2" t="s">
        <v>5895</v>
      </c>
      <c r="S373" s="2" t="s">
        <v>96</v>
      </c>
      <c r="T373" s="16" t="s">
        <v>60</v>
      </c>
      <c r="U373" s="2" t="s">
        <v>1516</v>
      </c>
      <c r="V373" s="2" t="s">
        <v>71</v>
      </c>
      <c r="W373" s="2" t="s">
        <v>98</v>
      </c>
      <c r="X373" s="8" t="str">
        <f>HYPERLINK("http://www.jazadco.com.sa", "www.jazadco.com.sa")</f>
        <v>www.jazadco.com.sa</v>
      </c>
      <c r="Y373" s="8" t="str">
        <f>HYPERLINK("http://www.linkedin.com/company/jazadco", "http://www.linkedin.com/company/jazadco")</f>
        <v>http://www.linkedin.com/company/jazadco</v>
      </c>
      <c r="Z373" s="28">
        <v>229</v>
      </c>
      <c r="AA373" s="2" t="s">
        <v>5896</v>
      </c>
      <c r="AB373" s="2" t="s">
        <v>74</v>
      </c>
      <c r="AC373" s="2" t="s">
        <v>5897</v>
      </c>
      <c r="AD373" s="40">
        <v>1993</v>
      </c>
      <c r="AE373" s="2" t="s">
        <v>60</v>
      </c>
      <c r="AF373" s="52">
        <v>28.07</v>
      </c>
      <c r="AG373" s="52">
        <v>9.73</v>
      </c>
      <c r="AH373" s="52">
        <v>-0.51</v>
      </c>
      <c r="AI373" s="52">
        <v>152.07</v>
      </c>
      <c r="AJ373" s="52">
        <v>5.74</v>
      </c>
      <c r="AK373" s="52">
        <v>2.77</v>
      </c>
      <c r="AL373" s="52">
        <v>117.6</v>
      </c>
      <c r="AM373" s="52">
        <v>6.21</v>
      </c>
      <c r="AN373" s="64">
        <v>47.22</v>
      </c>
      <c r="AO373" s="4" t="s">
        <v>179</v>
      </c>
      <c r="AP373" s="2" t="s">
        <v>5898</v>
      </c>
      <c r="AQ373" s="2" t="s">
        <v>5899</v>
      </c>
      <c r="AR373" s="2" t="s">
        <v>5900</v>
      </c>
      <c r="AS373" s="2" t="s">
        <v>60</v>
      </c>
      <c r="AT373" s="2" t="s">
        <v>5901</v>
      </c>
      <c r="AU373" s="2" t="s">
        <v>5902</v>
      </c>
      <c r="AV373" s="2" t="s">
        <v>5903</v>
      </c>
      <c r="AW373" s="2" t="s">
        <v>5904</v>
      </c>
      <c r="AX373" s="2" t="s">
        <v>5905</v>
      </c>
      <c r="AY373" s="2" t="s">
        <v>60</v>
      </c>
      <c r="AZ373" s="4" t="s">
        <v>60</v>
      </c>
      <c r="BA373" s="2" t="s">
        <v>87</v>
      </c>
      <c r="BB373" s="4" t="s">
        <v>5901</v>
      </c>
      <c r="BC373" s="4" t="s">
        <v>5906</v>
      </c>
      <c r="BD373" s="2" t="s">
        <v>5907</v>
      </c>
      <c r="BE373" s="2" t="s">
        <v>88</v>
      </c>
      <c r="BF373" s="2" t="s">
        <v>88</v>
      </c>
    </row>
    <row r="374" spans="1:58" x14ac:dyDescent="0.2">
      <c r="A374" s="3" t="s">
        <v>5908</v>
      </c>
      <c r="B374" s="3" t="s">
        <v>5909</v>
      </c>
      <c r="C374" s="3" t="s">
        <v>60</v>
      </c>
      <c r="D374" s="3" t="s">
        <v>60</v>
      </c>
      <c r="E374" s="3" t="s">
        <v>60</v>
      </c>
      <c r="F374" s="3" t="s">
        <v>5910</v>
      </c>
      <c r="G374" s="3" t="s">
        <v>5911</v>
      </c>
      <c r="H374" s="3" t="s">
        <v>60</v>
      </c>
      <c r="I374" s="3" t="s">
        <v>60</v>
      </c>
      <c r="J374" s="3" t="s">
        <v>60</v>
      </c>
      <c r="K374" s="3" t="s">
        <v>5908</v>
      </c>
      <c r="L374" s="3" t="s">
        <v>5912</v>
      </c>
      <c r="M374" s="3" t="s">
        <v>1175</v>
      </c>
      <c r="N374" s="3" t="s">
        <v>1176</v>
      </c>
      <c r="O374" s="3" t="s">
        <v>1177</v>
      </c>
      <c r="P374" s="3" t="s">
        <v>5913</v>
      </c>
      <c r="Q374" s="3" t="s">
        <v>1392</v>
      </c>
      <c r="R374" s="3" t="s">
        <v>5914</v>
      </c>
      <c r="S374" s="3" t="s">
        <v>96</v>
      </c>
      <c r="T374" s="17" t="s">
        <v>60</v>
      </c>
      <c r="U374" s="3" t="s">
        <v>97</v>
      </c>
      <c r="V374" s="3" t="s">
        <v>71</v>
      </c>
      <c r="W374" s="3" t="s">
        <v>98</v>
      </c>
      <c r="X374" s="9" t="str">
        <f>HYPERLINK("http://www.almasafi.com.sa", "www.almasafi.com.sa")</f>
        <v>www.almasafi.com.sa</v>
      </c>
      <c r="Y374" s="3" t="s">
        <v>60</v>
      </c>
      <c r="Z374" s="29">
        <v>54798</v>
      </c>
      <c r="AA374" s="3" t="s">
        <v>5915</v>
      </c>
      <c r="AB374" s="3" t="s">
        <v>74</v>
      </c>
      <c r="AC374" s="3" t="s">
        <v>5916</v>
      </c>
      <c r="AD374" s="41">
        <v>1960</v>
      </c>
      <c r="AE374" s="3" t="s">
        <v>60</v>
      </c>
      <c r="AF374" s="53">
        <v>1.32</v>
      </c>
      <c r="AG374" s="53" t="s">
        <v>60</v>
      </c>
      <c r="AH374" s="53">
        <v>-15.59</v>
      </c>
      <c r="AI374" s="53">
        <v>171.27</v>
      </c>
      <c r="AJ374" s="53">
        <v>-12.42</v>
      </c>
      <c r="AK374" s="53">
        <v>-12.51</v>
      </c>
      <c r="AL374" s="53">
        <v>206.96</v>
      </c>
      <c r="AM374" s="53">
        <v>-75.31</v>
      </c>
      <c r="AN374" s="65">
        <v>-68.91</v>
      </c>
      <c r="AO374" s="5" t="s">
        <v>179</v>
      </c>
      <c r="AP374" s="3" t="s">
        <v>5917</v>
      </c>
      <c r="AQ374" s="3" t="s">
        <v>5918</v>
      </c>
      <c r="AR374" s="3" t="s">
        <v>79</v>
      </c>
      <c r="AS374" s="3" t="s">
        <v>60</v>
      </c>
      <c r="AT374" s="3" t="s">
        <v>5919</v>
      </c>
      <c r="AU374" s="3" t="s">
        <v>82</v>
      </c>
      <c r="AV374" s="3" t="s">
        <v>5920</v>
      </c>
      <c r="AW374" s="3" t="s">
        <v>60</v>
      </c>
      <c r="AX374" s="3" t="s">
        <v>85</v>
      </c>
      <c r="AY374" s="3" t="s">
        <v>60</v>
      </c>
      <c r="AZ374" s="5" t="s">
        <v>5921</v>
      </c>
      <c r="BA374" s="3" t="s">
        <v>87</v>
      </c>
      <c r="BB374" s="5" t="s">
        <v>5919</v>
      </c>
      <c r="BC374" s="5" t="s">
        <v>5922</v>
      </c>
      <c r="BD374" s="3" t="s">
        <v>5923</v>
      </c>
      <c r="BE374" s="3" t="s">
        <v>88</v>
      </c>
      <c r="BF374" s="3" t="s">
        <v>88</v>
      </c>
    </row>
    <row r="375" spans="1:58" x14ac:dyDescent="0.2">
      <c r="A375" s="2" t="s">
        <v>5924</v>
      </c>
      <c r="B375" s="2" t="s">
        <v>5925</v>
      </c>
      <c r="C375" s="2" t="s">
        <v>60</v>
      </c>
      <c r="D375" s="2" t="s">
        <v>60</v>
      </c>
      <c r="E375" s="2" t="s">
        <v>60</v>
      </c>
      <c r="F375" s="2" t="s">
        <v>5926</v>
      </c>
      <c r="G375" s="2" t="s">
        <v>5927</v>
      </c>
      <c r="H375" s="2" t="s">
        <v>60</v>
      </c>
      <c r="I375" s="2" t="s">
        <v>60</v>
      </c>
      <c r="J375" s="2" t="s">
        <v>60</v>
      </c>
      <c r="K375" s="2" t="s">
        <v>5924</v>
      </c>
      <c r="L375" s="2" t="s">
        <v>5928</v>
      </c>
      <c r="M375" s="2" t="s">
        <v>115</v>
      </c>
      <c r="N375" s="2" t="s">
        <v>116</v>
      </c>
      <c r="O375" s="2" t="s">
        <v>2010</v>
      </c>
      <c r="P375" s="2" t="s">
        <v>2011</v>
      </c>
      <c r="Q375" s="2" t="s">
        <v>60</v>
      </c>
      <c r="R375" s="2" t="s">
        <v>5929</v>
      </c>
      <c r="S375" s="2" t="s">
        <v>96</v>
      </c>
      <c r="T375" s="16" t="s">
        <v>60</v>
      </c>
      <c r="U375" s="2" t="s">
        <v>97</v>
      </c>
      <c r="V375" s="2" t="s">
        <v>71</v>
      </c>
      <c r="W375" s="2" t="s">
        <v>98</v>
      </c>
      <c r="X375" s="8" t="str">
        <f>HYPERLINK("http://www.sasco.com.sa", "www.sasco.com.sa")</f>
        <v>www.sasco.com.sa</v>
      </c>
      <c r="Y375" s="8" t="str">
        <f>HYPERLINK("http://www.linkedin.com/company/saudi-automotive-services-company-sasco-", "http://www.linkedin.com/company/saudi-automotive-services-company-sasco-")</f>
        <v>http://www.linkedin.com/company/saudi-automotive-services-company-sasco-</v>
      </c>
      <c r="Z375" s="28">
        <v>1498</v>
      </c>
      <c r="AA375" s="2" t="s">
        <v>5930</v>
      </c>
      <c r="AB375" s="2" t="s">
        <v>74</v>
      </c>
      <c r="AC375" s="2" t="s">
        <v>5931</v>
      </c>
      <c r="AD375" s="40">
        <v>1982</v>
      </c>
      <c r="AE375" s="2" t="s">
        <v>60</v>
      </c>
      <c r="AF375" s="52">
        <v>3009.94</v>
      </c>
      <c r="AG375" s="52">
        <v>73.67</v>
      </c>
      <c r="AH375" s="52">
        <v>13.99</v>
      </c>
      <c r="AI375" s="52">
        <v>2279.39</v>
      </c>
      <c r="AJ375" s="52">
        <v>177.44</v>
      </c>
      <c r="AK375" s="52">
        <v>63.26</v>
      </c>
      <c r="AL375" s="52">
        <v>1028.28</v>
      </c>
      <c r="AM375" s="52">
        <v>1172.1099999999999</v>
      </c>
      <c r="AN375" s="64">
        <v>14.01</v>
      </c>
      <c r="AO375" s="4" t="s">
        <v>179</v>
      </c>
      <c r="AP375" s="2" t="s">
        <v>5932</v>
      </c>
      <c r="AQ375" s="2" t="s">
        <v>5933</v>
      </c>
      <c r="AR375" s="2" t="s">
        <v>5934</v>
      </c>
      <c r="AS375" s="2" t="s">
        <v>60</v>
      </c>
      <c r="AT375" s="2" t="s">
        <v>60</v>
      </c>
      <c r="AU375" s="2" t="s">
        <v>106</v>
      </c>
      <c r="AV375" s="2" t="s">
        <v>5935</v>
      </c>
      <c r="AW375" s="2" t="s">
        <v>5936</v>
      </c>
      <c r="AX375" s="2" t="s">
        <v>109</v>
      </c>
      <c r="AY375" s="2" t="s">
        <v>60</v>
      </c>
      <c r="AZ375" s="4" t="s">
        <v>5937</v>
      </c>
      <c r="BA375" s="2" t="s">
        <v>87</v>
      </c>
      <c r="BB375" s="4" t="s">
        <v>60</v>
      </c>
      <c r="BC375" s="4" t="s">
        <v>5938</v>
      </c>
      <c r="BD375" s="2" t="s">
        <v>60</v>
      </c>
      <c r="BE375" s="2" t="s">
        <v>88</v>
      </c>
      <c r="BF375" s="2" t="s">
        <v>88</v>
      </c>
    </row>
    <row r="376" spans="1:58" x14ac:dyDescent="0.2">
      <c r="A376" s="3" t="s">
        <v>5939</v>
      </c>
      <c r="B376" s="3" t="s">
        <v>5940</v>
      </c>
      <c r="C376" s="3" t="s">
        <v>60</v>
      </c>
      <c r="D376" s="3" t="s">
        <v>60</v>
      </c>
      <c r="E376" s="3" t="s">
        <v>60</v>
      </c>
      <c r="F376" s="3" t="s">
        <v>60</v>
      </c>
      <c r="G376" s="3" t="s">
        <v>5941</v>
      </c>
      <c r="H376" s="3" t="s">
        <v>60</v>
      </c>
      <c r="I376" s="3" t="s">
        <v>60</v>
      </c>
      <c r="J376" s="3" t="s">
        <v>60</v>
      </c>
      <c r="K376" s="3" t="s">
        <v>5939</v>
      </c>
      <c r="L376" s="3" t="s">
        <v>5942</v>
      </c>
      <c r="M376" s="3" t="s">
        <v>241</v>
      </c>
      <c r="N376" s="3" t="s">
        <v>839</v>
      </c>
      <c r="O376" s="3" t="s">
        <v>2402</v>
      </c>
      <c r="P376" s="3" t="s">
        <v>2403</v>
      </c>
      <c r="Q376" s="3" t="s">
        <v>67</v>
      </c>
      <c r="R376" s="3" t="s">
        <v>5943</v>
      </c>
      <c r="S376" s="3" t="s">
        <v>96</v>
      </c>
      <c r="T376" s="17" t="s">
        <v>60</v>
      </c>
      <c r="U376" s="3" t="s">
        <v>97</v>
      </c>
      <c r="V376" s="3" t="s">
        <v>71</v>
      </c>
      <c r="W376" s="3" t="s">
        <v>98</v>
      </c>
      <c r="X376" s="9" t="str">
        <f>HYPERLINK("http://www.saudichemical.com", "www.saudichemical.com")</f>
        <v>www.saudichemical.com</v>
      </c>
      <c r="Y376" s="3" t="s">
        <v>60</v>
      </c>
      <c r="Z376" s="29">
        <v>300</v>
      </c>
      <c r="AA376" s="3" t="s">
        <v>5944</v>
      </c>
      <c r="AB376" s="3" t="s">
        <v>74</v>
      </c>
      <c r="AC376" s="3" t="s">
        <v>5945</v>
      </c>
      <c r="AD376" s="41">
        <v>1972</v>
      </c>
      <c r="AE376" s="3" t="s">
        <v>60</v>
      </c>
      <c r="AF376" s="53">
        <v>1852.84</v>
      </c>
      <c r="AG376" s="53">
        <v>247.45</v>
      </c>
      <c r="AH376" s="53">
        <v>77.89</v>
      </c>
      <c r="AI376" s="53">
        <v>2054.1799999999998</v>
      </c>
      <c r="AJ376" s="53">
        <v>134.65</v>
      </c>
      <c r="AK376" s="53">
        <v>117.03</v>
      </c>
      <c r="AL376" s="53">
        <v>1877.6</v>
      </c>
      <c r="AM376" s="53">
        <v>314.52</v>
      </c>
      <c r="AN376" s="65">
        <v>15.55</v>
      </c>
      <c r="AO376" s="5" t="s">
        <v>179</v>
      </c>
      <c r="AP376" s="3" t="s">
        <v>5946</v>
      </c>
      <c r="AQ376" s="3" t="s">
        <v>5947</v>
      </c>
      <c r="AR376" s="3" t="s">
        <v>1874</v>
      </c>
      <c r="AS376" s="3" t="s">
        <v>60</v>
      </c>
      <c r="AT376" s="3" t="s">
        <v>5948</v>
      </c>
      <c r="AU376" s="3" t="s">
        <v>106</v>
      </c>
      <c r="AV376" s="3" t="s">
        <v>5949</v>
      </c>
      <c r="AW376" s="3" t="s">
        <v>60</v>
      </c>
      <c r="AX376" s="3" t="s">
        <v>109</v>
      </c>
      <c r="AY376" s="3" t="s">
        <v>60</v>
      </c>
      <c r="AZ376" s="5" t="s">
        <v>1350</v>
      </c>
      <c r="BA376" s="3" t="s">
        <v>87</v>
      </c>
      <c r="BB376" s="5" t="s">
        <v>5948</v>
      </c>
      <c r="BC376" s="5" t="s">
        <v>5950</v>
      </c>
      <c r="BD376" s="3" t="s">
        <v>5951</v>
      </c>
      <c r="BE376" s="3" t="s">
        <v>88</v>
      </c>
      <c r="BF376" s="3" t="s">
        <v>88</v>
      </c>
    </row>
    <row r="377" spans="1:58" x14ac:dyDescent="0.2">
      <c r="A377" s="2" t="s">
        <v>5952</v>
      </c>
      <c r="B377" s="2" t="s">
        <v>5953</v>
      </c>
      <c r="C377" s="2" t="s">
        <v>60</v>
      </c>
      <c r="D377" s="2" t="s">
        <v>60</v>
      </c>
      <c r="E377" s="2" t="s">
        <v>60</v>
      </c>
      <c r="F377" s="2" t="s">
        <v>5954</v>
      </c>
      <c r="G377" s="2" t="s">
        <v>5955</v>
      </c>
      <c r="H377" s="2" t="s">
        <v>60</v>
      </c>
      <c r="I377" s="2" t="s">
        <v>60</v>
      </c>
      <c r="J377" s="2" t="s">
        <v>60</v>
      </c>
      <c r="K377" s="2" t="s">
        <v>5952</v>
      </c>
      <c r="L377" s="2" t="s">
        <v>5956</v>
      </c>
      <c r="M377" s="2" t="s">
        <v>134</v>
      </c>
      <c r="N377" s="2" t="s">
        <v>565</v>
      </c>
      <c r="O377" s="2" t="s">
        <v>3188</v>
      </c>
      <c r="P377" s="2" t="s">
        <v>5957</v>
      </c>
      <c r="Q377" s="2" t="s">
        <v>60</v>
      </c>
      <c r="R377" s="2" t="s">
        <v>5958</v>
      </c>
      <c r="S377" s="2" t="s">
        <v>96</v>
      </c>
      <c r="T377" s="16" t="s">
        <v>60</v>
      </c>
      <c r="U377" s="2" t="s">
        <v>70</v>
      </c>
      <c r="V377" s="2" t="s">
        <v>71</v>
      </c>
      <c r="W377" s="2" t="s">
        <v>175</v>
      </c>
      <c r="X377" s="8" t="str">
        <f>HYPERLINK("http://www.saudienaya.com", "www.saudienaya.com")</f>
        <v>www.saudienaya.com</v>
      </c>
      <c r="Y377" s="8" t="str">
        <f>HYPERLINK("http://www.linkedin.com/company/saudienayaco", "http://www.linkedin.com/company/saudienayaco")</f>
        <v>http://www.linkedin.com/company/saudienayaco</v>
      </c>
      <c r="Z377" s="28">
        <v>1179</v>
      </c>
      <c r="AA377" s="2" t="s">
        <v>5959</v>
      </c>
      <c r="AB377" s="2" t="s">
        <v>74</v>
      </c>
      <c r="AC377" s="2" t="s">
        <v>5960</v>
      </c>
      <c r="AD377" s="40">
        <v>2011</v>
      </c>
      <c r="AE377" s="2" t="s">
        <v>60</v>
      </c>
      <c r="AF377" s="52">
        <v>55.03</v>
      </c>
      <c r="AG377" s="52" t="s">
        <v>60</v>
      </c>
      <c r="AH377" s="52">
        <v>-2.11</v>
      </c>
      <c r="AI377" s="52">
        <v>1.58</v>
      </c>
      <c r="AJ377" s="52">
        <v>-1.36</v>
      </c>
      <c r="AK377" s="52">
        <v>-1.96</v>
      </c>
      <c r="AL377" s="52">
        <v>46.8</v>
      </c>
      <c r="AM377" s="52">
        <v>-55.48</v>
      </c>
      <c r="AN377" s="64">
        <v>-18.62</v>
      </c>
      <c r="AO377" s="4" t="s">
        <v>179</v>
      </c>
      <c r="AP377" s="2" t="s">
        <v>5961</v>
      </c>
      <c r="AQ377" s="2" t="s">
        <v>5962</v>
      </c>
      <c r="AR377" s="2" t="s">
        <v>5963</v>
      </c>
      <c r="AS377" s="2" t="s">
        <v>5964</v>
      </c>
      <c r="AT377" s="2" t="s">
        <v>5965</v>
      </c>
      <c r="AU377" s="2" t="s">
        <v>82</v>
      </c>
      <c r="AV377" s="2" t="s">
        <v>5966</v>
      </c>
      <c r="AW377" s="2" t="s">
        <v>5967</v>
      </c>
      <c r="AX377" s="2" t="s">
        <v>85</v>
      </c>
      <c r="AY377" s="2" t="s">
        <v>60</v>
      </c>
      <c r="AZ377" s="4" t="s">
        <v>5968</v>
      </c>
      <c r="BA377" s="2" t="s">
        <v>87</v>
      </c>
      <c r="BB377" s="4" t="s">
        <v>5965</v>
      </c>
      <c r="BC377" s="4" t="s">
        <v>60</v>
      </c>
      <c r="BD377" s="2" t="s">
        <v>5969</v>
      </c>
      <c r="BE377" s="2" t="s">
        <v>88</v>
      </c>
      <c r="BF377" s="2" t="s">
        <v>88</v>
      </c>
    </row>
    <row r="378" spans="1:58" x14ac:dyDescent="0.2">
      <c r="A378" s="3" t="s">
        <v>5970</v>
      </c>
      <c r="B378" s="3" t="s">
        <v>5971</v>
      </c>
      <c r="C378" s="3" t="s">
        <v>60</v>
      </c>
      <c r="D378" s="3" t="s">
        <v>60</v>
      </c>
      <c r="E378" s="3" t="s">
        <v>60</v>
      </c>
      <c r="F378" s="3" t="s">
        <v>5972</v>
      </c>
      <c r="G378" s="3" t="s">
        <v>5973</v>
      </c>
      <c r="H378" s="3" t="s">
        <v>60</v>
      </c>
      <c r="I378" s="3" t="s">
        <v>60</v>
      </c>
      <c r="J378" s="3" t="s">
        <v>5974</v>
      </c>
      <c r="K378" s="3" t="s">
        <v>5970</v>
      </c>
      <c r="L378" s="3" t="s">
        <v>5975</v>
      </c>
      <c r="M378" s="3" t="s">
        <v>241</v>
      </c>
      <c r="N378" s="3" t="s">
        <v>839</v>
      </c>
      <c r="O378" s="3" t="s">
        <v>840</v>
      </c>
      <c r="P378" s="3" t="s">
        <v>5976</v>
      </c>
      <c r="Q378" s="3" t="s">
        <v>1392</v>
      </c>
      <c r="R378" s="3" t="s">
        <v>5977</v>
      </c>
      <c r="S378" s="3" t="s">
        <v>372</v>
      </c>
      <c r="T378" s="17">
        <v>744.93</v>
      </c>
      <c r="U378" s="3" t="s">
        <v>97</v>
      </c>
      <c r="V378" s="3" t="s">
        <v>71</v>
      </c>
      <c r="W378" s="3" t="s">
        <v>373</v>
      </c>
      <c r="X378" s="9" t="str">
        <f>HYPERLINK("http://www.sipchem.com", "www.sipchem.com")</f>
        <v>www.sipchem.com</v>
      </c>
      <c r="Y378" s="9" t="str">
        <f>HYPERLINK("http://www.linkedin.com/company/sipchem", "http://www.linkedin.com/company/sipchem")</f>
        <v>http://www.linkedin.com/company/sipchem</v>
      </c>
      <c r="Z378" s="29">
        <v>1736</v>
      </c>
      <c r="AA378" s="3" t="s">
        <v>5978</v>
      </c>
      <c r="AB378" s="3" t="s">
        <v>74</v>
      </c>
      <c r="AC378" s="3" t="s">
        <v>5979</v>
      </c>
      <c r="AD378" s="41">
        <v>1999</v>
      </c>
      <c r="AE378" s="3" t="s">
        <v>60</v>
      </c>
      <c r="AF378" s="53">
        <v>1858.55</v>
      </c>
      <c r="AG378" s="53">
        <v>146.38</v>
      </c>
      <c r="AH378" s="53">
        <v>-112.51</v>
      </c>
      <c r="AI378" s="53">
        <v>4419.87</v>
      </c>
      <c r="AJ378" s="53">
        <v>176.35</v>
      </c>
      <c r="AK378" s="53">
        <v>-74.66</v>
      </c>
      <c r="AL378" s="53">
        <v>2904.55</v>
      </c>
      <c r="AM378" s="53">
        <v>321.08</v>
      </c>
      <c r="AN378" s="65">
        <v>-5.17</v>
      </c>
      <c r="AO378" s="5" t="s">
        <v>179</v>
      </c>
      <c r="AP378" s="3" t="s">
        <v>5980</v>
      </c>
      <c r="AQ378" s="3" t="s">
        <v>5981</v>
      </c>
      <c r="AR378" s="3" t="s">
        <v>79</v>
      </c>
      <c r="AS378" s="3" t="s">
        <v>5982</v>
      </c>
      <c r="AT378" s="3" t="s">
        <v>5983</v>
      </c>
      <c r="AU378" s="3" t="s">
        <v>700</v>
      </c>
      <c r="AV378" s="3" t="s">
        <v>5984</v>
      </c>
      <c r="AW378" s="3" t="s">
        <v>5985</v>
      </c>
      <c r="AX378" s="3" t="s">
        <v>703</v>
      </c>
      <c r="AY378" s="3" t="s">
        <v>60</v>
      </c>
      <c r="AZ378" s="5" t="s">
        <v>917</v>
      </c>
      <c r="BA378" s="3" t="s">
        <v>87</v>
      </c>
      <c r="BB378" s="5" t="s">
        <v>5983</v>
      </c>
      <c r="BC378" s="5" t="s">
        <v>60</v>
      </c>
      <c r="BD378" s="3" t="s">
        <v>5986</v>
      </c>
      <c r="BE378" s="3" t="s">
        <v>88</v>
      </c>
      <c r="BF378" s="3" t="s">
        <v>88</v>
      </c>
    </row>
    <row r="379" spans="1:58" x14ac:dyDescent="0.2">
      <c r="A379" s="2" t="s">
        <v>5987</v>
      </c>
      <c r="B379" s="2" t="s">
        <v>5988</v>
      </c>
      <c r="C379" s="2" t="s">
        <v>60</v>
      </c>
      <c r="D379" s="2" t="s">
        <v>60</v>
      </c>
      <c r="E379" s="2" t="s">
        <v>5989</v>
      </c>
      <c r="F379" s="2" t="s">
        <v>5990</v>
      </c>
      <c r="G379" s="2" t="s">
        <v>5991</v>
      </c>
      <c r="H379" s="2" t="s">
        <v>60</v>
      </c>
      <c r="I379" s="2" t="s">
        <v>60</v>
      </c>
      <c r="J379" s="2" t="s">
        <v>60</v>
      </c>
      <c r="K379" s="2" t="s">
        <v>5987</v>
      </c>
      <c r="L379" s="2" t="s">
        <v>5992</v>
      </c>
      <c r="M379" s="2" t="s">
        <v>63</v>
      </c>
      <c r="N379" s="2" t="s">
        <v>92</v>
      </c>
      <c r="O379" s="2" t="s">
        <v>3109</v>
      </c>
      <c r="P379" s="2" t="s">
        <v>3238</v>
      </c>
      <c r="Q379" s="2" t="s">
        <v>60</v>
      </c>
      <c r="R379" s="2" t="s">
        <v>5993</v>
      </c>
      <c r="S379" s="2" t="s">
        <v>96</v>
      </c>
      <c r="T379" s="16" t="s">
        <v>60</v>
      </c>
      <c r="U379" s="2" t="s">
        <v>97</v>
      </c>
      <c r="V379" s="2" t="s">
        <v>71</v>
      </c>
      <c r="W379" s="2" t="s">
        <v>98</v>
      </c>
      <c r="X379" s="8" t="str">
        <f>HYPERLINK("http://www.sisco.com.sa", "www.sisco.com.sa")</f>
        <v>www.sisco.com.sa</v>
      </c>
      <c r="Y379" s="8" t="str">
        <f>HYPERLINK("http://www.linkedin.com/company/siscoholding", "http://www.linkedin.com/company/siscoholding")</f>
        <v>http://www.linkedin.com/company/siscoholding</v>
      </c>
      <c r="Z379" s="28">
        <v>2559</v>
      </c>
      <c r="AA379" s="2" t="s">
        <v>5994</v>
      </c>
      <c r="AB379" s="2" t="s">
        <v>74</v>
      </c>
      <c r="AC379" s="2" t="s">
        <v>5995</v>
      </c>
      <c r="AD379" s="40">
        <v>1988</v>
      </c>
      <c r="AE379" s="2" t="s">
        <v>60</v>
      </c>
      <c r="AF379" s="52">
        <v>380.46</v>
      </c>
      <c r="AG379" s="52">
        <v>184.82</v>
      </c>
      <c r="AH379" s="52">
        <v>21.57</v>
      </c>
      <c r="AI379" s="52">
        <v>1073.49</v>
      </c>
      <c r="AJ379" s="52">
        <v>189.77</v>
      </c>
      <c r="AK379" s="52">
        <v>123.91</v>
      </c>
      <c r="AL379" s="52">
        <v>633.47</v>
      </c>
      <c r="AM379" s="52">
        <v>97.04</v>
      </c>
      <c r="AN379" s="64">
        <v>-1.47</v>
      </c>
      <c r="AO379" s="4" t="s">
        <v>179</v>
      </c>
      <c r="AP379" s="2" t="s">
        <v>5996</v>
      </c>
      <c r="AQ379" s="2" t="s">
        <v>5997</v>
      </c>
      <c r="AR379" s="2" t="s">
        <v>79</v>
      </c>
      <c r="AS379" s="2" t="s">
        <v>60</v>
      </c>
      <c r="AT379" s="2" t="s">
        <v>5998</v>
      </c>
      <c r="AU379" s="2" t="s">
        <v>82</v>
      </c>
      <c r="AV379" s="2" t="s">
        <v>5999</v>
      </c>
      <c r="AW379" s="2" t="s">
        <v>6000</v>
      </c>
      <c r="AX379" s="2" t="s">
        <v>85</v>
      </c>
      <c r="AY379" s="2" t="s">
        <v>60</v>
      </c>
      <c r="AZ379" s="4" t="s">
        <v>6001</v>
      </c>
      <c r="BA379" s="2" t="s">
        <v>87</v>
      </c>
      <c r="BB379" s="4" t="s">
        <v>5998</v>
      </c>
      <c r="BC379" s="4" t="s">
        <v>60</v>
      </c>
      <c r="BD379" s="2" t="s">
        <v>60</v>
      </c>
      <c r="BE379" s="2" t="s">
        <v>88</v>
      </c>
      <c r="BF379" s="2" t="s">
        <v>88</v>
      </c>
    </row>
    <row r="380" spans="1:58" x14ac:dyDescent="0.2">
      <c r="A380" s="3" t="s">
        <v>6002</v>
      </c>
      <c r="B380" s="3" t="s">
        <v>6003</v>
      </c>
      <c r="C380" s="3" t="s">
        <v>60</v>
      </c>
      <c r="D380" s="3" t="s">
        <v>60</v>
      </c>
      <c r="E380" s="3" t="s">
        <v>60</v>
      </c>
      <c r="F380" s="3" t="s">
        <v>60</v>
      </c>
      <c r="G380" s="3" t="s">
        <v>6004</v>
      </c>
      <c r="H380" s="3" t="s">
        <v>60</v>
      </c>
      <c r="I380" s="3" t="s">
        <v>60</v>
      </c>
      <c r="J380" s="3" t="s">
        <v>60</v>
      </c>
      <c r="K380" s="3" t="s">
        <v>6002</v>
      </c>
      <c r="L380" s="3" t="s">
        <v>6005</v>
      </c>
      <c r="M380" s="3" t="s">
        <v>63</v>
      </c>
      <c r="N380" s="3" t="s">
        <v>64</v>
      </c>
      <c r="O380" s="3" t="s">
        <v>65</v>
      </c>
      <c r="P380" s="3" t="s">
        <v>657</v>
      </c>
      <c r="Q380" s="3" t="s">
        <v>260</v>
      </c>
      <c r="R380" s="3" t="s">
        <v>6006</v>
      </c>
      <c r="S380" s="3" t="s">
        <v>96</v>
      </c>
      <c r="T380" s="17" t="s">
        <v>60</v>
      </c>
      <c r="U380" s="3" t="s">
        <v>97</v>
      </c>
      <c r="V380" s="3" t="s">
        <v>71</v>
      </c>
      <c r="W380" s="3" t="s">
        <v>98</v>
      </c>
      <c r="X380" s="9" t="str">
        <f>HYPERLINK("http://tcc-sa.com", "tcc-sa.com")</f>
        <v>tcc-sa.com</v>
      </c>
      <c r="Y380" s="3" t="s">
        <v>60</v>
      </c>
      <c r="Z380" s="29">
        <v>410</v>
      </c>
      <c r="AA380" s="3" t="s">
        <v>6007</v>
      </c>
      <c r="AB380" s="3" t="s">
        <v>74</v>
      </c>
      <c r="AC380" s="3" t="s">
        <v>6008</v>
      </c>
      <c r="AD380" s="41">
        <v>1994</v>
      </c>
      <c r="AE380" s="3" t="s">
        <v>60</v>
      </c>
      <c r="AF380" s="53">
        <v>77.400000000000006</v>
      </c>
      <c r="AG380" s="53">
        <v>18.97</v>
      </c>
      <c r="AH380" s="53">
        <v>11.84</v>
      </c>
      <c r="AI380" s="53">
        <v>253.31</v>
      </c>
      <c r="AJ380" s="53">
        <v>24.94</v>
      </c>
      <c r="AK380" s="53">
        <v>12.41</v>
      </c>
      <c r="AL380" s="53">
        <v>209.76</v>
      </c>
      <c r="AM380" s="53">
        <v>6.53</v>
      </c>
      <c r="AN380" s="65">
        <v>-11.61</v>
      </c>
      <c r="AO380" s="5" t="s">
        <v>179</v>
      </c>
      <c r="AP380" s="3" t="s">
        <v>6009</v>
      </c>
      <c r="AQ380" s="3" t="s">
        <v>6010</v>
      </c>
      <c r="AR380" s="3" t="s">
        <v>1874</v>
      </c>
      <c r="AS380" s="3" t="s">
        <v>60</v>
      </c>
      <c r="AT380" s="3" t="s">
        <v>6011</v>
      </c>
      <c r="AU380" s="3" t="s">
        <v>5616</v>
      </c>
      <c r="AV380" s="3" t="s">
        <v>6012</v>
      </c>
      <c r="AW380" s="3" t="s">
        <v>60</v>
      </c>
      <c r="AX380" s="3" t="s">
        <v>5618</v>
      </c>
      <c r="AY380" s="3" t="s">
        <v>60</v>
      </c>
      <c r="AZ380" s="5" t="s">
        <v>6013</v>
      </c>
      <c r="BA380" s="3" t="s">
        <v>87</v>
      </c>
      <c r="BB380" s="5" t="s">
        <v>6011</v>
      </c>
      <c r="BC380" s="5" t="s">
        <v>6014</v>
      </c>
      <c r="BD380" s="3" t="s">
        <v>6015</v>
      </c>
      <c r="BE380" s="3" t="s">
        <v>88</v>
      </c>
      <c r="BF380" s="3" t="s">
        <v>88</v>
      </c>
    </row>
    <row r="381" spans="1:58" x14ac:dyDescent="0.2">
      <c r="A381" s="2" t="s">
        <v>6016</v>
      </c>
      <c r="B381" s="2" t="s">
        <v>6017</v>
      </c>
      <c r="C381" s="2" t="s">
        <v>60</v>
      </c>
      <c r="D381" s="2" t="s">
        <v>60</v>
      </c>
      <c r="E381" s="2" t="s">
        <v>6018</v>
      </c>
      <c r="F381" s="2" t="s">
        <v>60</v>
      </c>
      <c r="G381" s="2" t="s">
        <v>6019</v>
      </c>
      <c r="H381" s="2" t="s">
        <v>60</v>
      </c>
      <c r="I381" s="2" t="s">
        <v>60</v>
      </c>
      <c r="J381" s="2" t="s">
        <v>60</v>
      </c>
      <c r="K381" s="2" t="s">
        <v>6016</v>
      </c>
      <c r="L381" s="2" t="s">
        <v>6020</v>
      </c>
      <c r="M381" s="2" t="s">
        <v>115</v>
      </c>
      <c r="N381" s="2" t="s">
        <v>116</v>
      </c>
      <c r="O381" s="2" t="s">
        <v>117</v>
      </c>
      <c r="P381" s="2" t="s">
        <v>118</v>
      </c>
      <c r="Q381" s="2" t="s">
        <v>60</v>
      </c>
      <c r="R381" s="2" t="s">
        <v>6021</v>
      </c>
      <c r="S381" s="2" t="s">
        <v>96</v>
      </c>
      <c r="T381" s="16" t="s">
        <v>60</v>
      </c>
      <c r="U381" s="2" t="s">
        <v>97</v>
      </c>
      <c r="V381" s="2" t="s">
        <v>71</v>
      </c>
      <c r="W381" s="2" t="s">
        <v>98</v>
      </c>
      <c r="X381" s="8" t="str">
        <f>HYPERLINK("http://www.taiba.com.sa", "www.taiba.com.sa")</f>
        <v>www.taiba.com.sa</v>
      </c>
      <c r="Y381" s="8" t="str">
        <f>HYPERLINK("http://www.linkedin.com/company/taibainvest", "http://www.linkedin.com/company/taibainvest")</f>
        <v>http://www.linkedin.com/company/taibainvest</v>
      </c>
      <c r="Z381" s="28">
        <v>406</v>
      </c>
      <c r="AA381" s="2" t="s">
        <v>6022</v>
      </c>
      <c r="AB381" s="2" t="s">
        <v>74</v>
      </c>
      <c r="AC381" s="2" t="s">
        <v>6023</v>
      </c>
      <c r="AD381" s="40">
        <v>1988</v>
      </c>
      <c r="AE381" s="2" t="s">
        <v>60</v>
      </c>
      <c r="AF381" s="52">
        <v>357.14</v>
      </c>
      <c r="AG381" s="52">
        <v>144.31</v>
      </c>
      <c r="AH381" s="52">
        <v>103.55</v>
      </c>
      <c r="AI381" s="52">
        <v>3412.49</v>
      </c>
      <c r="AJ381" s="52">
        <v>172.05</v>
      </c>
      <c r="AK381" s="52">
        <v>128.13999999999999</v>
      </c>
      <c r="AL381" s="52">
        <v>2490.56</v>
      </c>
      <c r="AM381" s="52">
        <v>533.91</v>
      </c>
      <c r="AN381" s="64">
        <v>16.25</v>
      </c>
      <c r="AO381" s="4" t="s">
        <v>179</v>
      </c>
      <c r="AP381" s="2" t="s">
        <v>6024</v>
      </c>
      <c r="AQ381" s="2" t="s">
        <v>6025</v>
      </c>
      <c r="AR381" s="2" t="s">
        <v>79</v>
      </c>
      <c r="AS381" s="2" t="s">
        <v>6026</v>
      </c>
      <c r="AT381" s="2" t="s">
        <v>6027</v>
      </c>
      <c r="AU381" s="2" t="s">
        <v>553</v>
      </c>
      <c r="AV381" s="2" t="s">
        <v>6028</v>
      </c>
      <c r="AW381" s="2" t="s">
        <v>60</v>
      </c>
      <c r="AX381" s="2" t="s">
        <v>556</v>
      </c>
      <c r="AY381" s="2" t="s">
        <v>60</v>
      </c>
      <c r="AZ381" s="4" t="s">
        <v>6029</v>
      </c>
      <c r="BA381" s="2" t="s">
        <v>87</v>
      </c>
      <c r="BB381" s="4" t="s">
        <v>6027</v>
      </c>
      <c r="BC381" s="4" t="s">
        <v>6030</v>
      </c>
      <c r="BD381" s="2" t="s">
        <v>6031</v>
      </c>
      <c r="BE381" s="2" t="s">
        <v>88</v>
      </c>
      <c r="BF381" s="2" t="s">
        <v>88</v>
      </c>
    </row>
    <row r="382" spans="1:58" x14ac:dyDescent="0.2">
      <c r="A382" s="3" t="s">
        <v>6032</v>
      </c>
      <c r="B382" s="3" t="s">
        <v>6033</v>
      </c>
      <c r="C382" s="3" t="s">
        <v>60</v>
      </c>
      <c r="D382" s="3" t="s">
        <v>60</v>
      </c>
      <c r="E382" s="3" t="s">
        <v>6034</v>
      </c>
      <c r="F382" s="3" t="s">
        <v>60</v>
      </c>
      <c r="G382" s="3" t="s">
        <v>60</v>
      </c>
      <c r="H382" s="3" t="s">
        <v>60</v>
      </c>
      <c r="I382" s="3" t="s">
        <v>60</v>
      </c>
      <c r="J382" s="3" t="s">
        <v>60</v>
      </c>
      <c r="K382" s="3" t="s">
        <v>6032</v>
      </c>
      <c r="L382" s="3" t="s">
        <v>6035</v>
      </c>
      <c r="M382" s="3" t="s">
        <v>63</v>
      </c>
      <c r="N382" s="3" t="s">
        <v>64</v>
      </c>
      <c r="O382" s="3" t="s">
        <v>1128</v>
      </c>
      <c r="P382" s="3" t="s">
        <v>6036</v>
      </c>
      <c r="Q382" s="3" t="s">
        <v>60</v>
      </c>
      <c r="R382" s="3" t="s">
        <v>6037</v>
      </c>
      <c r="S382" s="3" t="s">
        <v>96</v>
      </c>
      <c r="T382" s="17" t="s">
        <v>60</v>
      </c>
      <c r="U382" s="3" t="s">
        <v>97</v>
      </c>
      <c r="V382" s="3" t="s">
        <v>71</v>
      </c>
      <c r="W382" s="3" t="s">
        <v>98</v>
      </c>
      <c r="X382" s="9" t="str">
        <f>HYPERLINK("http://www.thimarfresh.com", "www.thimarfresh.com")</f>
        <v>www.thimarfresh.com</v>
      </c>
      <c r="Y382" s="3" t="s">
        <v>60</v>
      </c>
      <c r="Z382" s="29">
        <v>345</v>
      </c>
      <c r="AA382" s="3" t="s">
        <v>6038</v>
      </c>
      <c r="AB382" s="3" t="s">
        <v>74</v>
      </c>
      <c r="AC382" s="3" t="s">
        <v>6039</v>
      </c>
      <c r="AD382" s="41">
        <v>1987</v>
      </c>
      <c r="AE382" s="3" t="s">
        <v>60</v>
      </c>
      <c r="AF382" s="53">
        <v>0.46</v>
      </c>
      <c r="AG382" s="53" t="s">
        <v>60</v>
      </c>
      <c r="AH382" s="53">
        <v>-0.99</v>
      </c>
      <c r="AI382" s="53">
        <v>76.08</v>
      </c>
      <c r="AJ382" s="53">
        <v>-0.78</v>
      </c>
      <c r="AK382" s="53">
        <v>-1.06</v>
      </c>
      <c r="AL382" s="53">
        <v>62.15</v>
      </c>
      <c r="AM382" s="53">
        <v>0.25</v>
      </c>
      <c r="AN382" s="65">
        <v>2291.67</v>
      </c>
      <c r="AO382" s="5" t="s">
        <v>179</v>
      </c>
      <c r="AP382" s="3" t="s">
        <v>60</v>
      </c>
      <c r="AQ382" s="3" t="s">
        <v>60</v>
      </c>
      <c r="AR382" s="3" t="s">
        <v>60</v>
      </c>
      <c r="AS382" s="3" t="s">
        <v>60</v>
      </c>
      <c r="AT382" s="3" t="s">
        <v>60</v>
      </c>
      <c r="AU382" s="3" t="s">
        <v>106</v>
      </c>
      <c r="AV382" s="3" t="s">
        <v>6040</v>
      </c>
      <c r="AW382" s="3" t="s">
        <v>6041</v>
      </c>
      <c r="AX382" s="3" t="s">
        <v>109</v>
      </c>
      <c r="AY382" s="3" t="s">
        <v>60</v>
      </c>
      <c r="AZ382" s="5" t="s">
        <v>6042</v>
      </c>
      <c r="BA382" s="3" t="s">
        <v>87</v>
      </c>
      <c r="BB382" s="5" t="s">
        <v>6043</v>
      </c>
      <c r="BC382" s="5" t="s">
        <v>6044</v>
      </c>
      <c r="BD382" s="3" t="s">
        <v>60</v>
      </c>
      <c r="BE382" s="3" t="s">
        <v>88</v>
      </c>
      <c r="BF382" s="3" t="s">
        <v>88</v>
      </c>
    </row>
    <row r="384" spans="1:58" x14ac:dyDescent="0.2">
      <c r="A384" s="134" t="s">
        <v>6045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44"/>
  <sheetViews>
    <sheetView workbookViewId="0"/>
  </sheetViews>
  <sheetFormatPr baseColWidth="10" defaultColWidth="8.83203125" defaultRowHeight="15" x14ac:dyDescent="0.2"/>
  <sheetData>
    <row r="1" spans="1:1" x14ac:dyDescent="0.2">
      <c r="A1" s="2"/>
    </row>
    <row r="2" spans="1:1" x14ac:dyDescent="0.2">
      <c r="A2" s="3"/>
    </row>
    <row r="3" spans="1:1" x14ac:dyDescent="0.2">
      <c r="A3" s="4"/>
    </row>
    <row r="4" spans="1:1" x14ac:dyDescent="0.2">
      <c r="A4" s="5"/>
    </row>
    <row r="5" spans="1:1" x14ac:dyDescent="0.2">
      <c r="A5" s="6"/>
    </row>
    <row r="6" spans="1:1" x14ac:dyDescent="0.2">
      <c r="A6" s="7"/>
    </row>
    <row r="7" spans="1:1" x14ac:dyDescent="0.2">
      <c r="A7" s="8"/>
    </row>
    <row r="8" spans="1:1" x14ac:dyDescent="0.2">
      <c r="A8" s="9"/>
    </row>
    <row r="9" spans="1:1" x14ac:dyDescent="0.2">
      <c r="A9" s="10"/>
    </row>
    <row r="10" spans="1:1" x14ac:dyDescent="0.2">
      <c r="A10" s="11"/>
    </row>
    <row r="11" spans="1:1" x14ac:dyDescent="0.2">
      <c r="A11" s="12"/>
    </row>
    <row r="12" spans="1:1" x14ac:dyDescent="0.2">
      <c r="A12" s="13"/>
    </row>
    <row r="13" spans="1:1" x14ac:dyDescent="0.2">
      <c r="A13" s="2"/>
    </row>
    <row r="14" spans="1:1" x14ac:dyDescent="0.2">
      <c r="A14" s="3"/>
    </row>
    <row r="15" spans="1:1" x14ac:dyDescent="0.2">
      <c r="A15" s="4"/>
    </row>
    <row r="16" spans="1:1" x14ac:dyDescent="0.2">
      <c r="A16" s="5"/>
    </row>
    <row r="17" spans="1:1" x14ac:dyDescent="0.2">
      <c r="A17" s="6"/>
    </row>
    <row r="18" spans="1:1" x14ac:dyDescent="0.2">
      <c r="A18" s="7"/>
    </row>
    <row r="19" spans="1:1" x14ac:dyDescent="0.2">
      <c r="A19" s="8"/>
    </row>
    <row r="20" spans="1:1" x14ac:dyDescent="0.2">
      <c r="A20" s="9"/>
    </row>
    <row r="21" spans="1:1" x14ac:dyDescent="0.2">
      <c r="A21" s="10"/>
    </row>
    <row r="22" spans="1:1" x14ac:dyDescent="0.2">
      <c r="A22" s="11"/>
    </row>
    <row r="23" spans="1:1" x14ac:dyDescent="0.2">
      <c r="A23" s="12"/>
    </row>
    <row r="24" spans="1:1" x14ac:dyDescent="0.2">
      <c r="A24" s="13"/>
    </row>
    <row r="25" spans="1:1" x14ac:dyDescent="0.2">
      <c r="A25" s="14"/>
    </row>
    <row r="26" spans="1:1" x14ac:dyDescent="0.2">
      <c r="A26" s="15"/>
    </row>
    <row r="27" spans="1:1" x14ac:dyDescent="0.2">
      <c r="A27" s="16"/>
    </row>
    <row r="28" spans="1:1" x14ac:dyDescent="0.2">
      <c r="A28" s="17"/>
    </row>
    <row r="29" spans="1:1" x14ac:dyDescent="0.2">
      <c r="A29" s="18"/>
    </row>
    <row r="30" spans="1:1" x14ac:dyDescent="0.2">
      <c r="A30" s="19"/>
    </row>
    <row r="31" spans="1:1" x14ac:dyDescent="0.2">
      <c r="A31" s="20"/>
    </row>
    <row r="32" spans="1:1" x14ac:dyDescent="0.2">
      <c r="A32" s="21"/>
    </row>
    <row r="33" spans="1:1" x14ac:dyDescent="0.2">
      <c r="A33" s="22"/>
    </row>
    <row r="34" spans="1:1" x14ac:dyDescent="0.2">
      <c r="A34" s="23"/>
    </row>
    <row r="35" spans="1:1" x14ac:dyDescent="0.2">
      <c r="A35" s="24"/>
    </row>
    <row r="36" spans="1:1" x14ac:dyDescent="0.2">
      <c r="A36" s="25"/>
    </row>
    <row r="37" spans="1:1" x14ac:dyDescent="0.2">
      <c r="A37" s="26"/>
    </row>
    <row r="38" spans="1:1" x14ac:dyDescent="0.2">
      <c r="A38" s="27"/>
    </row>
    <row r="39" spans="1:1" x14ac:dyDescent="0.2">
      <c r="A39" s="28"/>
    </row>
    <row r="40" spans="1:1" x14ac:dyDescent="0.2">
      <c r="A40" s="29"/>
    </row>
    <row r="41" spans="1:1" x14ac:dyDescent="0.2">
      <c r="A41" s="30"/>
    </row>
    <row r="42" spans="1:1" x14ac:dyDescent="0.2">
      <c r="A42" s="31"/>
    </row>
    <row r="43" spans="1:1" x14ac:dyDescent="0.2">
      <c r="A43" s="32"/>
    </row>
    <row r="44" spans="1:1" x14ac:dyDescent="0.2">
      <c r="A44" s="33"/>
    </row>
    <row r="45" spans="1:1" x14ac:dyDescent="0.2">
      <c r="A45" s="34"/>
    </row>
    <row r="46" spans="1:1" x14ac:dyDescent="0.2">
      <c r="A46" s="35"/>
    </row>
    <row r="47" spans="1:1" x14ac:dyDescent="0.2">
      <c r="A47" s="36"/>
    </row>
    <row r="48" spans="1:1" x14ac:dyDescent="0.2">
      <c r="A48" s="37"/>
    </row>
    <row r="49" spans="1:1" x14ac:dyDescent="0.2">
      <c r="A49" s="38"/>
    </row>
    <row r="50" spans="1:1" x14ac:dyDescent="0.2">
      <c r="A50" s="39"/>
    </row>
    <row r="51" spans="1:1" x14ac:dyDescent="0.2">
      <c r="A51" s="40"/>
    </row>
    <row r="52" spans="1:1" x14ac:dyDescent="0.2">
      <c r="A52" s="41"/>
    </row>
    <row r="53" spans="1:1" x14ac:dyDescent="0.2">
      <c r="A53" s="42"/>
    </row>
    <row r="54" spans="1:1" x14ac:dyDescent="0.2">
      <c r="A54" s="43"/>
    </row>
    <row r="55" spans="1:1" x14ac:dyDescent="0.2">
      <c r="A55" s="44"/>
    </row>
    <row r="56" spans="1:1" x14ac:dyDescent="0.2">
      <c r="A56" s="45"/>
    </row>
    <row r="57" spans="1:1" x14ac:dyDescent="0.2">
      <c r="A57" s="46"/>
    </row>
    <row r="58" spans="1:1" x14ac:dyDescent="0.2">
      <c r="A58" s="47"/>
    </row>
    <row r="59" spans="1:1" x14ac:dyDescent="0.2">
      <c r="A59" s="48"/>
    </row>
    <row r="60" spans="1:1" x14ac:dyDescent="0.2">
      <c r="A60" s="49"/>
    </row>
    <row r="61" spans="1:1" x14ac:dyDescent="0.2">
      <c r="A61" s="50"/>
    </row>
    <row r="62" spans="1:1" x14ac:dyDescent="0.2">
      <c r="A62" s="51"/>
    </row>
    <row r="63" spans="1:1" x14ac:dyDescent="0.2">
      <c r="A63" s="52"/>
    </row>
    <row r="64" spans="1:1" x14ac:dyDescent="0.2">
      <c r="A64" s="53"/>
    </row>
    <row r="65" spans="1:1" x14ac:dyDescent="0.2">
      <c r="A65" s="54"/>
    </row>
    <row r="66" spans="1:1" x14ac:dyDescent="0.2">
      <c r="A66" s="55"/>
    </row>
    <row r="67" spans="1:1" x14ac:dyDescent="0.2">
      <c r="A67" s="56"/>
    </row>
    <row r="68" spans="1:1" x14ac:dyDescent="0.2">
      <c r="A68" s="57"/>
    </row>
    <row r="69" spans="1:1" x14ac:dyDescent="0.2">
      <c r="A69" s="58"/>
    </row>
    <row r="70" spans="1:1" x14ac:dyDescent="0.2">
      <c r="A70" s="59"/>
    </row>
    <row r="71" spans="1:1" x14ac:dyDescent="0.2">
      <c r="A71" s="60"/>
    </row>
    <row r="72" spans="1:1" x14ac:dyDescent="0.2">
      <c r="A72" s="61"/>
    </row>
    <row r="73" spans="1:1" x14ac:dyDescent="0.2">
      <c r="A73" s="62"/>
    </row>
    <row r="74" spans="1:1" x14ac:dyDescent="0.2">
      <c r="A74" s="63"/>
    </row>
    <row r="75" spans="1:1" x14ac:dyDescent="0.2">
      <c r="A75" s="64"/>
    </row>
    <row r="76" spans="1:1" x14ac:dyDescent="0.2">
      <c r="A76" s="65"/>
    </row>
    <row r="77" spans="1:1" x14ac:dyDescent="0.2">
      <c r="A77" s="66"/>
    </row>
    <row r="78" spans="1:1" x14ac:dyDescent="0.2">
      <c r="A78" s="67"/>
    </row>
    <row r="79" spans="1:1" x14ac:dyDescent="0.2">
      <c r="A79" s="68"/>
    </row>
    <row r="80" spans="1:1" x14ac:dyDescent="0.2">
      <c r="A80" s="69"/>
    </row>
    <row r="81" spans="1:1" x14ac:dyDescent="0.2">
      <c r="A81" s="70"/>
    </row>
    <row r="82" spans="1:1" x14ac:dyDescent="0.2">
      <c r="A82" s="71"/>
    </row>
    <row r="83" spans="1:1" x14ac:dyDescent="0.2">
      <c r="A83" s="72"/>
    </row>
    <row r="84" spans="1:1" x14ac:dyDescent="0.2">
      <c r="A84" s="73"/>
    </row>
    <row r="85" spans="1:1" x14ac:dyDescent="0.2">
      <c r="A85" s="74"/>
    </row>
    <row r="86" spans="1:1" x14ac:dyDescent="0.2">
      <c r="A86" s="75"/>
    </row>
    <row r="87" spans="1:1" x14ac:dyDescent="0.2">
      <c r="A87" s="76"/>
    </row>
    <row r="88" spans="1:1" x14ac:dyDescent="0.2">
      <c r="A88" s="77"/>
    </row>
    <row r="89" spans="1:1" x14ac:dyDescent="0.2">
      <c r="A89" s="78"/>
    </row>
    <row r="90" spans="1:1" x14ac:dyDescent="0.2">
      <c r="A90" s="79"/>
    </row>
    <row r="91" spans="1:1" x14ac:dyDescent="0.2">
      <c r="A91" s="80"/>
    </row>
    <row r="92" spans="1:1" x14ac:dyDescent="0.2">
      <c r="A92" s="81"/>
    </row>
    <row r="93" spans="1:1" x14ac:dyDescent="0.2">
      <c r="A93" s="82"/>
    </row>
    <row r="94" spans="1:1" x14ac:dyDescent="0.2">
      <c r="A94" s="83"/>
    </row>
    <row r="95" spans="1:1" x14ac:dyDescent="0.2">
      <c r="A95" s="84"/>
    </row>
    <row r="96" spans="1:1" x14ac:dyDescent="0.2">
      <c r="A96" s="85"/>
    </row>
    <row r="97" spans="1:1" x14ac:dyDescent="0.2">
      <c r="A97" s="86"/>
    </row>
    <row r="98" spans="1:1" x14ac:dyDescent="0.2">
      <c r="A98" s="87"/>
    </row>
    <row r="99" spans="1:1" x14ac:dyDescent="0.2">
      <c r="A99" s="88"/>
    </row>
    <row r="100" spans="1:1" x14ac:dyDescent="0.2">
      <c r="A100" s="89"/>
    </row>
    <row r="101" spans="1:1" x14ac:dyDescent="0.2">
      <c r="A101" s="90"/>
    </row>
    <row r="102" spans="1:1" x14ac:dyDescent="0.2">
      <c r="A102" s="91"/>
    </row>
    <row r="103" spans="1:1" x14ac:dyDescent="0.2">
      <c r="A103" s="92"/>
    </row>
    <row r="104" spans="1:1" x14ac:dyDescent="0.2">
      <c r="A104" s="93"/>
    </row>
    <row r="105" spans="1:1" x14ac:dyDescent="0.2">
      <c r="A105" s="94"/>
    </row>
    <row r="106" spans="1:1" x14ac:dyDescent="0.2">
      <c r="A106" s="95"/>
    </row>
    <row r="107" spans="1:1" x14ac:dyDescent="0.2">
      <c r="A107" s="96"/>
    </row>
    <row r="108" spans="1:1" x14ac:dyDescent="0.2">
      <c r="A108" s="97"/>
    </row>
    <row r="109" spans="1:1" x14ac:dyDescent="0.2">
      <c r="A109" s="98"/>
    </row>
    <row r="110" spans="1:1" x14ac:dyDescent="0.2">
      <c r="A110" s="99"/>
    </row>
    <row r="111" spans="1:1" x14ac:dyDescent="0.2">
      <c r="A111" s="100"/>
    </row>
    <row r="112" spans="1:1" x14ac:dyDescent="0.2">
      <c r="A112" s="101"/>
    </row>
    <row r="113" spans="1:1" x14ac:dyDescent="0.2">
      <c r="A113" s="102"/>
    </row>
    <row r="114" spans="1:1" x14ac:dyDescent="0.2">
      <c r="A114" s="103"/>
    </row>
    <row r="115" spans="1:1" x14ac:dyDescent="0.2">
      <c r="A115" s="104"/>
    </row>
    <row r="116" spans="1:1" x14ac:dyDescent="0.2">
      <c r="A116" s="105"/>
    </row>
    <row r="117" spans="1:1" x14ac:dyDescent="0.2">
      <c r="A117" s="106"/>
    </row>
    <row r="118" spans="1:1" x14ac:dyDescent="0.2">
      <c r="A118" s="107"/>
    </row>
    <row r="119" spans="1:1" x14ac:dyDescent="0.2">
      <c r="A119" s="108"/>
    </row>
    <row r="120" spans="1:1" x14ac:dyDescent="0.2">
      <c r="A120" s="109"/>
    </row>
    <row r="121" spans="1:1" x14ac:dyDescent="0.2">
      <c r="A121" s="110"/>
    </row>
    <row r="122" spans="1:1" x14ac:dyDescent="0.2">
      <c r="A122" s="111"/>
    </row>
    <row r="123" spans="1:1" x14ac:dyDescent="0.2">
      <c r="A123" s="112"/>
    </row>
    <row r="124" spans="1:1" x14ac:dyDescent="0.2">
      <c r="A124" s="113"/>
    </row>
    <row r="125" spans="1:1" x14ac:dyDescent="0.2">
      <c r="A125" s="114"/>
    </row>
    <row r="126" spans="1:1" x14ac:dyDescent="0.2">
      <c r="A126" s="115"/>
    </row>
    <row r="127" spans="1:1" x14ac:dyDescent="0.2">
      <c r="A127" s="116"/>
    </row>
    <row r="128" spans="1:1" x14ac:dyDescent="0.2">
      <c r="A128" s="117"/>
    </row>
    <row r="129" spans="1:1" x14ac:dyDescent="0.2">
      <c r="A129" s="118"/>
    </row>
    <row r="130" spans="1:1" x14ac:dyDescent="0.2">
      <c r="A130" s="119"/>
    </row>
    <row r="131" spans="1:1" x14ac:dyDescent="0.2">
      <c r="A131" s="120"/>
    </row>
    <row r="132" spans="1:1" x14ac:dyDescent="0.2">
      <c r="A132" s="121"/>
    </row>
    <row r="133" spans="1:1" x14ac:dyDescent="0.2">
      <c r="A133" s="122"/>
    </row>
    <row r="134" spans="1:1" x14ac:dyDescent="0.2">
      <c r="A134" s="123"/>
    </row>
    <row r="135" spans="1:1" x14ac:dyDescent="0.2">
      <c r="A135" s="124"/>
    </row>
    <row r="136" spans="1:1" x14ac:dyDescent="0.2">
      <c r="A136" s="125"/>
    </row>
    <row r="137" spans="1:1" x14ac:dyDescent="0.2">
      <c r="A137" s="126"/>
    </row>
    <row r="138" spans="1:1" x14ac:dyDescent="0.2">
      <c r="A138" s="127"/>
    </row>
    <row r="139" spans="1:1" x14ac:dyDescent="0.2">
      <c r="A139" s="128"/>
    </row>
    <row r="140" spans="1:1" x14ac:dyDescent="0.2">
      <c r="A140" s="129"/>
    </row>
    <row r="141" spans="1:1" x14ac:dyDescent="0.2">
      <c r="A141" s="130"/>
    </row>
    <row r="142" spans="1:1" x14ac:dyDescent="0.2">
      <c r="A142" s="131"/>
    </row>
    <row r="143" spans="1:1" x14ac:dyDescent="0.2">
      <c r="A143" s="132"/>
    </row>
    <row r="144" spans="1:1" x14ac:dyDescent="0.2">
      <c r="A144" s="1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showGridLines="0" workbookViewId="0"/>
  </sheetViews>
  <sheetFormatPr baseColWidth="10" defaultColWidth="8.83203125" defaultRowHeight="15" x14ac:dyDescent="0.2"/>
  <cols>
    <col min="1" max="1" width="10.5" customWidth="1"/>
    <col min="2" max="2" width="49.1640625" customWidth="1"/>
    <col min="3" max="3" width="27.6640625" customWidth="1"/>
    <col min="4" max="4" width="4.5" customWidth="1"/>
    <col min="5" max="5" width="22.1640625" customWidth="1"/>
  </cols>
  <sheetData>
    <row r="1" spans="1:5" ht="20" x14ac:dyDescent="0.2">
      <c r="A1" s="135" t="s">
        <v>6046</v>
      </c>
    </row>
    <row r="3" spans="1:5" x14ac:dyDescent="0.2">
      <c r="A3" s="136" t="s">
        <v>6047</v>
      </c>
    </row>
    <row r="4" spans="1:5" x14ac:dyDescent="0.2">
      <c r="A4" s="137" t="s">
        <v>6048</v>
      </c>
    </row>
    <row r="6" spans="1:5" x14ac:dyDescent="0.2">
      <c r="A6" s="136" t="s">
        <v>6049</v>
      </c>
      <c r="C6" s="137" t="s">
        <v>6050</v>
      </c>
      <c r="E6" s="136" t="s">
        <v>6051</v>
      </c>
    </row>
    <row r="8" spans="1:5" x14ac:dyDescent="0.2">
      <c r="A8" s="136" t="s">
        <v>6052</v>
      </c>
    </row>
    <row r="9" spans="1:5" x14ac:dyDescent="0.2">
      <c r="A9" s="138" t="s">
        <v>6053</v>
      </c>
      <c r="B9" s="136" t="s">
        <v>6054</v>
      </c>
    </row>
    <row r="10" spans="1:5" x14ac:dyDescent="0.2">
      <c r="A10" s="138" t="s">
        <v>6055</v>
      </c>
      <c r="B10" s="136" t="s">
        <v>6056</v>
      </c>
    </row>
    <row r="11" spans="1:5" x14ac:dyDescent="0.2">
      <c r="A11" s="138" t="s">
        <v>6057</v>
      </c>
      <c r="B11" s="136" t="s">
        <v>6058</v>
      </c>
    </row>
    <row r="13" spans="1:5" x14ac:dyDescent="0.2">
      <c r="A13" s="136" t="s">
        <v>6059</v>
      </c>
      <c r="B13" s="137" t="s">
        <v>6048</v>
      </c>
    </row>
    <row r="15" spans="1:5" x14ac:dyDescent="0.2">
      <c r="A15" s="134" t="s">
        <v>6045</v>
      </c>
    </row>
  </sheetData>
  <sheetProtection algorithmName="SHA-512" hashValue="SaKZ8wVbt06NWcQN6n5/ua63AC+JcobY4cpA+LLwFcdsqEwpP+SuO36e2NZEuLEUPcBi6vdkuDia5l9PnRPiKQ==" saltValue="HElsSbgyCYZOSeuGno7TrQ==" spinCount="100000" sheet="1" objects="1" scenarios="1"/>
  <hyperlinks>
    <hyperlink ref="A4" r:id="rId1" xr:uid="{00000000-0004-0000-0200-000000000000}"/>
    <hyperlink ref="C6" r:id="rId2" xr:uid="{00000000-0004-0000-0200-000001000000}"/>
    <hyperlink ref="B13" r:id="rId3" xr:uid="{00000000-0004-0000-02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Jason Raziano</cp:lastModifiedBy>
  <dcterms:created xsi:type="dcterms:W3CDTF">2026-02-05T17:35:58Z</dcterms:created>
  <dcterms:modified xsi:type="dcterms:W3CDTF">2026-02-05T17:35:58Z</dcterms:modified>
</cp:coreProperties>
</file>